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codeName="ThisWorkbook"/>
  <xr:revisionPtr revIDLastSave="0" documentId="8_{DCE2D283-121C-4726-8635-9E1103F674F5}" xr6:coauthVersionLast="47" xr6:coauthVersionMax="47" xr10:uidLastSave="{00000000-0000-0000-0000-000000000000}"/>
  <bookViews>
    <workbookView xWindow="0" yWindow="0" windowWidth="0" windowHeight="0" firstSheet="3" activeTab="3" xr2:uid="{00000000-000D-0000-FFFF-FFFF00000000}"/>
  </bookViews>
  <sheets>
    <sheet name="Raw-Data" sheetId="1" r:id="rId1"/>
    <sheet name="Clean-Data" sheetId="2" r:id="rId2"/>
    <sheet name="Analysis" sheetId="3" r:id="rId3"/>
    <sheet name="Dashboard" sheetId="4" r:id="rId4"/>
  </sheets>
  <definedNames>
    <definedName name="_xlnm._FilterDatabase" localSheetId="0" hidden="1">'Raw-Data'!$A$1:$J$1001</definedName>
    <definedName name="_xlnm._FilterDatabase" localSheetId="1" hidden="1">'Clean-Data'!$A$1:$P$1001</definedName>
  </definedNames>
  <calcPr calcId="191028" refMode="R1C1" iterateCount="0" calcOnSave="0" concurrentCalc="0"/>
  <pivotCaches>
    <pivotCache cacheId="17" r:id="rId5"/>
    <pivotCache cacheId="1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" l="1"/>
  <c r="C4" i="4"/>
  <c r="E4" i="4"/>
  <c r="G4" i="4"/>
  <c r="I4" i="4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2" i="2"/>
  <c r="B9" i="3"/>
  <c r="B7" i="3"/>
  <c r="B6" i="3"/>
  <c r="B4" i="3"/>
  <c r="B3" i="3"/>
  <c r="B2" i="3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2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2" i="2"/>
  <c r="O3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2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3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2" i="2"/>
  <c r="B10" i="3" l="1"/>
  <c r="B8" i="3"/>
  <c r="B5" i="3"/>
</calcChain>
</file>

<file path=xl/sharedStrings.xml><?xml version="1.0" encoding="utf-8"?>
<sst xmlns="http://schemas.openxmlformats.org/spreadsheetml/2006/main" count="12115" uniqueCount="2071">
  <si>
    <t>ticket_id</t>
  </si>
  <si>
    <t>created_at</t>
  </si>
  <si>
    <t>customer_id</t>
  </si>
  <si>
    <t>channel</t>
  </si>
  <si>
    <t>priority</t>
  </si>
  <si>
    <t>category</t>
  </si>
  <si>
    <t>first_response_min</t>
  </si>
  <si>
    <t>resolution_min</t>
  </si>
  <si>
    <t>status</t>
  </si>
  <si>
    <t>satisfaction</t>
  </si>
  <si>
    <t>TCK-000001</t>
  </si>
  <si>
    <t>2025-07-01T00:00:00Z</t>
  </si>
  <si>
    <t>Chat</t>
  </si>
  <si>
    <t>Urgent</t>
  </si>
  <si>
    <t>Data import</t>
  </si>
  <si>
    <t>closed</t>
  </si>
  <si>
    <t>TCK-000002</t>
  </si>
  <si>
    <t>2025-07-01T08:45:36Z</t>
  </si>
  <si>
    <t>Social</t>
  </si>
  <si>
    <t>High</t>
  </si>
  <si>
    <t>resolved</t>
  </si>
  <si>
    <t>TCK-000003</t>
  </si>
  <si>
    <t>2025-07-01T17:31:12Z</t>
  </si>
  <si>
    <t>Performance</t>
  </si>
  <si>
    <t>TCK-000004</t>
  </si>
  <si>
    <t>2025-07-02T02:16:48Z</t>
  </si>
  <si>
    <t>Web form</t>
  </si>
  <si>
    <t>Normal</t>
  </si>
  <si>
    <t>Billing</t>
  </si>
  <si>
    <t>open</t>
  </si>
  <si>
    <t>TCK-000005</t>
  </si>
  <si>
    <t>2025-07-02T11:02:24Z</t>
  </si>
  <si>
    <t>Email</t>
  </si>
  <si>
    <t>Low</t>
  </si>
  <si>
    <t>Feature request</t>
  </si>
  <si>
    <t>TCK-000006</t>
  </si>
  <si>
    <t>2025-07-02T19:48:00Z</t>
  </si>
  <si>
    <t>TCK-000007</t>
  </si>
  <si>
    <t>2025-07-03T04:33:36Z</t>
  </si>
  <si>
    <t>TCK-000008</t>
  </si>
  <si>
    <t>2025-07-03T13:19:12Z</t>
  </si>
  <si>
    <t>TCK-000009</t>
  </si>
  <si>
    <t>2025-07-03T22:04:48Z</t>
  </si>
  <si>
    <t>Integration</t>
  </si>
  <si>
    <t>pending</t>
  </si>
  <si>
    <t>TCK-000010</t>
  </si>
  <si>
    <t>2025-07-04T06:50:24Z</t>
  </si>
  <si>
    <t>Phone</t>
  </si>
  <si>
    <t>TCK-000011</t>
  </si>
  <si>
    <t>2025-07-04T15:36:00Z</t>
  </si>
  <si>
    <t>TCK-000012</t>
  </si>
  <si>
    <t>2025-07-05T00:21:36Z</t>
  </si>
  <si>
    <t>TCK-000013</t>
  </si>
  <si>
    <t>2025-07-05T09:07:12Z</t>
  </si>
  <si>
    <t>Bug report</t>
  </si>
  <si>
    <t>TCK-000014</t>
  </si>
  <si>
    <t>2025-07-05T17:52:48Z</t>
  </si>
  <si>
    <t>TCK-000015</t>
  </si>
  <si>
    <t>2025-07-06T02:38:24Z</t>
  </si>
  <si>
    <t>Export</t>
  </si>
  <si>
    <t>TCK-000016</t>
  </si>
  <si>
    <t>2025-07-06T11:24:00Z</t>
  </si>
  <si>
    <t>TCK-000017</t>
  </si>
  <si>
    <t>2025-07-06T20:09:36Z</t>
  </si>
  <si>
    <t>Account</t>
  </si>
  <si>
    <t>TCK-000018</t>
  </si>
  <si>
    <t>2025-07-07T04:55:12Z</t>
  </si>
  <si>
    <t>TCK-000019</t>
  </si>
  <si>
    <t>2025-07-07T13:40:48Z</t>
  </si>
  <si>
    <t>TCK-000020</t>
  </si>
  <si>
    <t>2025-07-07T22:26:24Z</t>
  </si>
  <si>
    <t>Login</t>
  </si>
  <si>
    <t>TCK-000021</t>
  </si>
  <si>
    <t>2025-07-08T07:12:00Z</t>
  </si>
  <si>
    <t>TCK-000022</t>
  </si>
  <si>
    <t>2025-07-08T15:57:36Z</t>
  </si>
  <si>
    <t>TCK-000023</t>
  </si>
  <si>
    <t>2025-07-09T00:43:12Z</t>
  </si>
  <si>
    <t>TCK-000024</t>
  </si>
  <si>
    <t>2025-07-09T09:28:48Z</t>
  </si>
  <si>
    <t>TCK-000025</t>
  </si>
  <si>
    <t>2025-07-09T18:14:24Z</t>
  </si>
  <si>
    <t>TCK-000026</t>
  </si>
  <si>
    <t>2025-07-10T03:00:00Z</t>
  </si>
  <si>
    <t>TCK-000027</t>
  </si>
  <si>
    <t>2025-07-10T11:45:36Z</t>
  </si>
  <si>
    <t>TCK-000028</t>
  </si>
  <si>
    <t>2025-07-10T20:31:12Z</t>
  </si>
  <si>
    <t>TCK-000029</t>
  </si>
  <si>
    <t>2025-07-11T05:16:48Z</t>
  </si>
  <si>
    <t>TCK-000030</t>
  </si>
  <si>
    <t>2025-07-11T14:02:24Z</t>
  </si>
  <si>
    <t>TCK-000031</t>
  </si>
  <si>
    <t>2025-07-11T22:48:00Z</t>
  </si>
  <si>
    <t>TCK-000032</t>
  </si>
  <si>
    <t>2025-07-12T07:33:36Z</t>
  </si>
  <si>
    <t>TCK-000033</t>
  </si>
  <si>
    <t>2025-07-12T16:19:12Z</t>
  </si>
  <si>
    <t>TCK-000034</t>
  </si>
  <si>
    <t>2025-07-13T01:04:48Z</t>
  </si>
  <si>
    <t>TCK-000035</t>
  </si>
  <si>
    <t>2025-07-13T09:50:24Z</t>
  </si>
  <si>
    <t>TCK-000036</t>
  </si>
  <si>
    <t>2025-07-13T18:36:00Z</t>
  </si>
  <si>
    <t>TCK-000037</t>
  </si>
  <si>
    <t>2025-07-14T03:21:36Z</t>
  </si>
  <si>
    <t>TCK-000038</t>
  </si>
  <si>
    <t>2025-07-14T12:07:12Z</t>
  </si>
  <si>
    <t>TCK-000039</t>
  </si>
  <si>
    <t>2025-07-14T20:52:48Z</t>
  </si>
  <si>
    <t>TCK-000040</t>
  </si>
  <si>
    <t>2025-07-15T05:38:24Z</t>
  </si>
  <si>
    <t>TCK-000041</t>
  </si>
  <si>
    <t>2025-07-15T14:24:00Z</t>
  </si>
  <si>
    <t>TCK-000042</t>
  </si>
  <si>
    <t>2025-07-15T23:09:36Z</t>
  </si>
  <si>
    <t>TCK-000043</t>
  </si>
  <si>
    <t>2025-07-16T07:55:12Z</t>
  </si>
  <si>
    <t>TCK-000044</t>
  </si>
  <si>
    <t>2025-07-16T16:40:48Z</t>
  </si>
  <si>
    <t>TCK-000045</t>
  </si>
  <si>
    <t>2025-07-17T01:26:24Z</t>
  </si>
  <si>
    <t>TCK-000046</t>
  </si>
  <si>
    <t>2025-07-17T10:12:00Z</t>
  </si>
  <si>
    <t>TCK-000047</t>
  </si>
  <si>
    <t>2025-07-17T18:57:36Z</t>
  </si>
  <si>
    <t>TCK-000048</t>
  </si>
  <si>
    <t>2025-07-18T03:43:12Z</t>
  </si>
  <si>
    <t>TCK-000049</t>
  </si>
  <si>
    <t>2025-07-18T12:28:48Z</t>
  </si>
  <si>
    <t>TCK-000050</t>
  </si>
  <si>
    <t>2025-07-18T21:14:24Z</t>
  </si>
  <si>
    <t>TCK-000051</t>
  </si>
  <si>
    <t>2025-07-19T06:00:00Z</t>
  </si>
  <si>
    <t>TCK-000052</t>
  </si>
  <si>
    <t>2025-07-19T14:45:36Z</t>
  </si>
  <si>
    <t>TCK-000053</t>
  </si>
  <si>
    <t>2025-07-19T23:31:12Z</t>
  </si>
  <si>
    <t>TCK-000054</t>
  </si>
  <si>
    <t>2025-07-20T08:16:48Z</t>
  </si>
  <si>
    <t>TCK-000055</t>
  </si>
  <si>
    <t>2025-07-20T17:02:24Z</t>
  </si>
  <si>
    <t>TCK-000056</t>
  </si>
  <si>
    <t>2025-07-21T01:48:00Z</t>
  </si>
  <si>
    <t>TCK-000057</t>
  </si>
  <si>
    <t>2025-07-21T10:33:36Z</t>
  </si>
  <si>
    <t>TCK-000058</t>
  </si>
  <si>
    <t>2025-07-21T19:19:12Z</t>
  </si>
  <si>
    <t>TCK-000059</t>
  </si>
  <si>
    <t>2025-07-22T04:04:48Z</t>
  </si>
  <si>
    <t>TCK-000060</t>
  </si>
  <si>
    <t>2025-07-22T12:50:24Z</t>
  </si>
  <si>
    <t>TCK-000061</t>
  </si>
  <si>
    <t>2025-07-22T21:36:00Z</t>
  </si>
  <si>
    <t>TCK-000062</t>
  </si>
  <si>
    <t>2025-07-23T06:21:36Z</t>
  </si>
  <si>
    <t>TCK-000063</t>
  </si>
  <si>
    <t>2025-07-23T15:07:12Z</t>
  </si>
  <si>
    <t>TCK-000064</t>
  </si>
  <si>
    <t>2025-07-23T23:52:48Z</t>
  </si>
  <si>
    <t>TCK-000065</t>
  </si>
  <si>
    <t>2025-07-24T08:38:24Z</t>
  </si>
  <si>
    <t>TCK-000066</t>
  </si>
  <si>
    <t>2025-07-24T17:24:00Z</t>
  </si>
  <si>
    <t>TCK-000067</t>
  </si>
  <si>
    <t>2025-07-25T02:09:36Z</t>
  </si>
  <si>
    <t>TCK-000068</t>
  </si>
  <si>
    <t>2025-07-25T10:55:12Z</t>
  </si>
  <si>
    <t>TCK-000069</t>
  </si>
  <si>
    <t>2025-07-25T19:40:48Z</t>
  </si>
  <si>
    <t>TCK-000070</t>
  </si>
  <si>
    <t>2025-07-26T04:26:24Z</t>
  </si>
  <si>
    <t>TCK-000071</t>
  </si>
  <si>
    <t>2025-07-26T13:12:00Z</t>
  </si>
  <si>
    <t>TCK-000072</t>
  </si>
  <si>
    <t>2025-07-26T21:57:36Z</t>
  </si>
  <si>
    <t>TCK-000073</t>
  </si>
  <si>
    <t>2025-07-27T06:43:12Z</t>
  </si>
  <si>
    <t>TCK-000074</t>
  </si>
  <si>
    <t>2025-07-27T15:28:48Z</t>
  </si>
  <si>
    <t>TCK-000075</t>
  </si>
  <si>
    <t>2025-07-28T00:14:24Z</t>
  </si>
  <si>
    <t>TCK-000076</t>
  </si>
  <si>
    <t>2025-07-28T09:00:00Z</t>
  </si>
  <si>
    <t>TCK-000077</t>
  </si>
  <si>
    <t>2025-07-28T17:45:36Z</t>
  </si>
  <si>
    <t>TCK-000078</t>
  </si>
  <si>
    <t>2025-07-29T02:31:12Z</t>
  </si>
  <si>
    <t>TCK-000079</t>
  </si>
  <si>
    <t>2025-07-29T11:16:48Z</t>
  </si>
  <si>
    <t>TCK-000080</t>
  </si>
  <si>
    <t>2025-07-29T20:02:24Z</t>
  </si>
  <si>
    <t>TCK-000081</t>
  </si>
  <si>
    <t>2025-07-30T04:48:00Z</t>
  </si>
  <si>
    <t>TCK-000082</t>
  </si>
  <si>
    <t>2025-07-30T13:33:36Z</t>
  </si>
  <si>
    <t>TCK-000083</t>
  </si>
  <si>
    <t>2025-07-30T22:19:12Z</t>
  </si>
  <si>
    <t>TCK-000084</t>
  </si>
  <si>
    <t>2025-07-31T07:04:48Z</t>
  </si>
  <si>
    <t>TCK-000085</t>
  </si>
  <si>
    <t>2025-07-31T15:50:24Z</t>
  </si>
  <si>
    <t>TCK-000086</t>
  </si>
  <si>
    <t>2025-08-01T00:36:00Z</t>
  </si>
  <si>
    <t>TCK-000087</t>
  </si>
  <si>
    <t>2025-08-01T09:21:36Z</t>
  </si>
  <si>
    <t>TCK-000088</t>
  </si>
  <si>
    <t>2025-08-01T18:07:12Z</t>
  </si>
  <si>
    <t>TCK-000089</t>
  </si>
  <si>
    <t>2025-08-02T02:52:48Z</t>
  </si>
  <si>
    <t>TCK-000090</t>
  </si>
  <si>
    <t>2025-08-02T11:38:24Z</t>
  </si>
  <si>
    <t>TCK-000091</t>
  </si>
  <si>
    <t>2025-08-02T20:24:00Z</t>
  </si>
  <si>
    <t>TCK-000092</t>
  </si>
  <si>
    <t>2025-08-03T05:09:36Z</t>
  </si>
  <si>
    <t>TCK-000093</t>
  </si>
  <si>
    <t>2025-08-03T13:55:12Z</t>
  </si>
  <si>
    <t>TCK-000094</t>
  </si>
  <si>
    <t>2025-08-03T22:40:48Z</t>
  </si>
  <si>
    <t>TCK-000095</t>
  </si>
  <si>
    <t>2025-08-04T07:26:24Z</t>
  </si>
  <si>
    <t>TCK-000096</t>
  </si>
  <si>
    <t>2025-08-04T16:12:00Z</t>
  </si>
  <si>
    <t>TCK-000097</t>
  </si>
  <si>
    <t>2025-08-05T00:57:36Z</t>
  </si>
  <si>
    <t>TCK-000098</t>
  </si>
  <si>
    <t>2025-08-05T09:43:12Z</t>
  </si>
  <si>
    <t>TCK-000099</t>
  </si>
  <si>
    <t>2025-08-05T18:28:48Z</t>
  </si>
  <si>
    <t>TCK-000100</t>
  </si>
  <si>
    <t>2025-08-06T03:14:24Z</t>
  </si>
  <si>
    <t>TCK-000101</t>
  </si>
  <si>
    <t>2025-08-06T12:00:00Z</t>
  </si>
  <si>
    <t>TCK-000102</t>
  </si>
  <si>
    <t>2025-08-06T20:45:36Z</t>
  </si>
  <si>
    <t>TCK-000103</t>
  </si>
  <si>
    <t>2025-08-07T05:31:12Z</t>
  </si>
  <si>
    <t>TCK-000104</t>
  </si>
  <si>
    <t>2025-08-07T14:16:48Z</t>
  </si>
  <si>
    <t>TCK-000105</t>
  </si>
  <si>
    <t>2025-08-07T23:02:24Z</t>
  </si>
  <si>
    <t>TCK-000106</t>
  </si>
  <si>
    <t>2025-08-08T07:48:00Z</t>
  </si>
  <si>
    <t>TCK-000107</t>
  </si>
  <si>
    <t>2025-08-08T16:33:36Z</t>
  </si>
  <si>
    <t>TCK-000108</t>
  </si>
  <si>
    <t>2025-08-09T01:19:12Z</t>
  </si>
  <si>
    <t>TCK-000109</t>
  </si>
  <si>
    <t>2025-08-09T10:04:48Z</t>
  </si>
  <si>
    <t>TCK-000110</t>
  </si>
  <si>
    <t>2025-08-09T18:50:24Z</t>
  </si>
  <si>
    <t>TCK-000111</t>
  </si>
  <si>
    <t>2025-08-10T03:36:00Z</t>
  </si>
  <si>
    <t>TCK-000112</t>
  </si>
  <si>
    <t>2025-08-10T12:21:36Z</t>
  </si>
  <si>
    <t>TCK-000113</t>
  </si>
  <si>
    <t>2025-08-10T21:07:12Z</t>
  </si>
  <si>
    <t>TCK-000114</t>
  </si>
  <si>
    <t>2025-08-11T05:52:48Z</t>
  </si>
  <si>
    <t>TCK-000115</t>
  </si>
  <si>
    <t>2025-08-11T14:38:24Z</t>
  </si>
  <si>
    <t>TCK-000116</t>
  </si>
  <si>
    <t>2025-08-11T23:24:00Z</t>
  </si>
  <si>
    <t>TCK-000117</t>
  </si>
  <si>
    <t>2025-08-12T08:09:36Z</t>
  </si>
  <si>
    <t>TCK-000118</t>
  </si>
  <si>
    <t>2025-08-12T16:55:12Z</t>
  </si>
  <si>
    <t>TCK-000119</t>
  </si>
  <si>
    <t>2025-08-13T01:40:48Z</t>
  </si>
  <si>
    <t>TCK-000120</t>
  </si>
  <si>
    <t>2025-08-13T10:26:24Z</t>
  </si>
  <si>
    <t>TCK-000121</t>
  </si>
  <si>
    <t>2025-08-13T19:12:00Z</t>
  </si>
  <si>
    <t>TCK-000122</t>
  </si>
  <si>
    <t>2025-08-14T03:57:36Z</t>
  </si>
  <si>
    <t>TCK-000123</t>
  </si>
  <si>
    <t>2025-08-14T12:43:12Z</t>
  </si>
  <si>
    <t>TCK-000124</t>
  </si>
  <si>
    <t>2025-08-14T21:28:48Z</t>
  </si>
  <si>
    <t>TCK-000125</t>
  </si>
  <si>
    <t>2025-08-15T06:14:24Z</t>
  </si>
  <si>
    <t>TCK-000126</t>
  </si>
  <si>
    <t>2025-08-15T15:00:00Z</t>
  </si>
  <si>
    <t>TCK-000127</t>
  </si>
  <si>
    <t>2025-08-15T23:45:36Z</t>
  </si>
  <si>
    <t>TCK-000128</t>
  </si>
  <si>
    <t>2025-08-16T08:31:12Z</t>
  </si>
  <si>
    <t>TCK-000129</t>
  </si>
  <si>
    <t>2025-08-16T17:16:48Z</t>
  </si>
  <si>
    <t>TCK-000130</t>
  </si>
  <si>
    <t>2025-08-17T02:02:24Z</t>
  </si>
  <si>
    <t>TCK-000131</t>
  </si>
  <si>
    <t>2025-08-17T10:48:00Z</t>
  </si>
  <si>
    <t>TCK-000132</t>
  </si>
  <si>
    <t>2025-08-17T19:33:36Z</t>
  </si>
  <si>
    <t>TCK-000133</t>
  </si>
  <si>
    <t>2025-08-18T04:19:12Z</t>
  </si>
  <si>
    <t>TCK-000134</t>
  </si>
  <si>
    <t>2025-08-18T13:04:48Z</t>
  </si>
  <si>
    <t>TCK-000135</t>
  </si>
  <si>
    <t>2025-08-18T21:50:24Z</t>
  </si>
  <si>
    <t>TCK-000136</t>
  </si>
  <si>
    <t>2025-08-19T06:36:00Z</t>
  </si>
  <si>
    <t>TCK-000137</t>
  </si>
  <si>
    <t>2025-08-19T15:21:36Z</t>
  </si>
  <si>
    <t>TCK-000138</t>
  </si>
  <si>
    <t>2025-08-20T00:07:12Z</t>
  </si>
  <si>
    <t>TCK-000139</t>
  </si>
  <si>
    <t>2025-08-20T08:52:48Z</t>
  </si>
  <si>
    <t>TCK-000140</t>
  </si>
  <si>
    <t>2025-08-20T17:38:24Z</t>
  </si>
  <si>
    <t>TCK-000141</t>
  </si>
  <si>
    <t>2025-08-21T02:24:00Z</t>
  </si>
  <si>
    <t>TCK-000142</t>
  </si>
  <si>
    <t>2025-08-21T11:09:36Z</t>
  </si>
  <si>
    <t>TCK-000143</t>
  </si>
  <si>
    <t>2025-08-21T19:55:12Z</t>
  </si>
  <si>
    <t>TCK-000144</t>
  </si>
  <si>
    <t>2025-08-22T04:40:48Z</t>
  </si>
  <si>
    <t>TCK-000145</t>
  </si>
  <si>
    <t>2025-08-22T13:26:24Z</t>
  </si>
  <si>
    <t>TCK-000146</t>
  </si>
  <si>
    <t>2025-08-22T22:12:00Z</t>
  </si>
  <si>
    <t>TCK-000147</t>
  </si>
  <si>
    <t>2025-08-23T06:57:36Z</t>
  </si>
  <si>
    <t>TCK-000148</t>
  </si>
  <si>
    <t>2025-08-23T15:43:12Z</t>
  </si>
  <si>
    <t>TCK-000149</t>
  </si>
  <si>
    <t>2025-08-24T00:28:48Z</t>
  </si>
  <si>
    <t>TCK-000150</t>
  </si>
  <si>
    <t>2025-08-24T09:14:24Z</t>
  </si>
  <si>
    <t>TCK-000151</t>
  </si>
  <si>
    <t>2025-08-24T18:00:00Z</t>
  </si>
  <si>
    <t>TCK-000152</t>
  </si>
  <si>
    <t>2025-08-25T02:45:36Z</t>
  </si>
  <si>
    <t>TCK-000153</t>
  </si>
  <si>
    <t>2025-08-25T11:31:12Z</t>
  </si>
  <si>
    <t>TCK-000154</t>
  </si>
  <si>
    <t>2025-08-25T20:16:48Z</t>
  </si>
  <si>
    <t>TCK-000155</t>
  </si>
  <si>
    <t>2025-08-26T05:02:24Z</t>
  </si>
  <si>
    <t>TCK-000156</t>
  </si>
  <si>
    <t>2025-08-26T13:48:00Z</t>
  </si>
  <si>
    <t>TCK-000157</t>
  </si>
  <si>
    <t>2025-08-26T22:33:36Z</t>
  </si>
  <si>
    <t>TCK-000158</t>
  </si>
  <si>
    <t>2025-08-27T07:19:12Z</t>
  </si>
  <si>
    <t>TCK-000159</t>
  </si>
  <si>
    <t>2025-08-27T16:04:48Z</t>
  </si>
  <si>
    <t>TCK-000160</t>
  </si>
  <si>
    <t>2025-08-28T00:50:24Z</t>
  </si>
  <si>
    <t>TCK-000161</t>
  </si>
  <si>
    <t>2025-08-28T09:36:00Z</t>
  </si>
  <si>
    <t>TCK-000162</t>
  </si>
  <si>
    <t>2025-08-28T18:21:36Z</t>
  </si>
  <si>
    <t>TCK-000163</t>
  </si>
  <si>
    <t>2025-08-29T03:07:12Z</t>
  </si>
  <si>
    <t>TCK-000164</t>
  </si>
  <si>
    <t>2025-08-29T11:52:48Z</t>
  </si>
  <si>
    <t>TCK-000165</t>
  </si>
  <si>
    <t>2025-08-29T20:38:24Z</t>
  </si>
  <si>
    <t>TCK-000166</t>
  </si>
  <si>
    <t>2025-08-30T05:24:00Z</t>
  </si>
  <si>
    <t>TCK-000167</t>
  </si>
  <si>
    <t>2025-08-30T14:09:36Z</t>
  </si>
  <si>
    <t>TCK-000168</t>
  </si>
  <si>
    <t>2025-08-30T22:55:12Z</t>
  </si>
  <si>
    <t>TCK-000169</t>
  </si>
  <si>
    <t>2025-08-31T07:40:48Z</t>
  </si>
  <si>
    <t>TCK-000170</t>
  </si>
  <si>
    <t>2025-08-31T16:26:24Z</t>
  </si>
  <si>
    <t>TCK-000171</t>
  </si>
  <si>
    <t>2025-09-01T01:12:00Z</t>
  </si>
  <si>
    <t>TCK-000172</t>
  </si>
  <si>
    <t>2025-09-01T09:57:36Z</t>
  </si>
  <si>
    <t>TCK-000173</t>
  </si>
  <si>
    <t>2025-09-01T18:43:12Z</t>
  </si>
  <si>
    <t>TCK-000174</t>
  </si>
  <si>
    <t>2025-09-02T03:28:48Z</t>
  </si>
  <si>
    <t>TCK-000175</t>
  </si>
  <si>
    <t>2025-09-02T12:14:24Z</t>
  </si>
  <si>
    <t>TCK-000176</t>
  </si>
  <si>
    <t>2025-09-02T21:00:00Z</t>
  </si>
  <si>
    <t>TCK-000177</t>
  </si>
  <si>
    <t>2025-09-03T05:45:36Z</t>
  </si>
  <si>
    <t>TCK-000178</t>
  </si>
  <si>
    <t>2025-09-03T14:31:12Z</t>
  </si>
  <si>
    <t>TCK-000179</t>
  </si>
  <si>
    <t>2025-09-03T23:16:48Z</t>
  </si>
  <si>
    <t>TCK-000180</t>
  </si>
  <si>
    <t>2025-09-04T08:02:24Z</t>
  </si>
  <si>
    <t>TCK-000181</t>
  </si>
  <si>
    <t>2025-09-04T16:48:00Z</t>
  </si>
  <si>
    <t>TCK-000182</t>
  </si>
  <si>
    <t>2025-09-05T01:33:36Z</t>
  </si>
  <si>
    <t>TCK-000183</t>
  </si>
  <si>
    <t>2025-09-05T10:19:12Z</t>
  </si>
  <si>
    <t>TCK-000184</t>
  </si>
  <si>
    <t>2025-09-05T19:04:48Z</t>
  </si>
  <si>
    <t>TCK-000185</t>
  </si>
  <si>
    <t>2025-09-06T03:50:24Z</t>
  </si>
  <si>
    <t>TCK-000186</t>
  </si>
  <si>
    <t>2025-09-06T12:36:00Z</t>
  </si>
  <si>
    <t>TCK-000187</t>
  </si>
  <si>
    <t>2025-09-06T21:21:36Z</t>
  </si>
  <si>
    <t>TCK-000188</t>
  </si>
  <si>
    <t>2025-09-07T06:07:12Z</t>
  </si>
  <si>
    <t>TCK-000189</t>
  </si>
  <si>
    <t>2025-09-07T14:52:48Z</t>
  </si>
  <si>
    <t>TCK-000190</t>
  </si>
  <si>
    <t>2025-09-07T23:38:24Z</t>
  </si>
  <si>
    <t>TCK-000191</t>
  </si>
  <si>
    <t>2025-09-08T08:24:00Z</t>
  </si>
  <si>
    <t>TCK-000192</t>
  </si>
  <si>
    <t>2025-09-08T17:09:36Z</t>
  </si>
  <si>
    <t>TCK-000193</t>
  </si>
  <si>
    <t>2025-09-09T01:55:12Z</t>
  </si>
  <si>
    <t>TCK-000194</t>
  </si>
  <si>
    <t>2025-09-09T10:40:48Z</t>
  </si>
  <si>
    <t>TCK-000195</t>
  </si>
  <si>
    <t>2025-09-09T19:26:24Z</t>
  </si>
  <si>
    <t>TCK-000196</t>
  </si>
  <si>
    <t>2025-09-10T04:12:00Z</t>
  </si>
  <si>
    <t>TCK-000197</t>
  </si>
  <si>
    <t>2025-09-10T12:57:36Z</t>
  </si>
  <si>
    <t>TCK-000198</t>
  </si>
  <si>
    <t>2025-09-10T21:43:12Z</t>
  </si>
  <si>
    <t>TCK-000199</t>
  </si>
  <si>
    <t>2025-09-11T06:28:48Z</t>
  </si>
  <si>
    <t>TCK-000200</t>
  </si>
  <si>
    <t>2025-09-11T15:14:24Z</t>
  </si>
  <si>
    <t>TCK-000201</t>
  </si>
  <si>
    <t>2025-09-12T00:00:00Z</t>
  </si>
  <si>
    <t>TCK-000202</t>
  </si>
  <si>
    <t>2025-09-12T08:45:36Z</t>
  </si>
  <si>
    <t>TCK-000203</t>
  </si>
  <si>
    <t>2025-09-12T17:31:12Z</t>
  </si>
  <si>
    <t>TCK-000204</t>
  </si>
  <si>
    <t>2025-09-13T02:16:48Z</t>
  </si>
  <si>
    <t>TCK-000205</t>
  </si>
  <si>
    <t>2025-09-13T11:02:24Z</t>
  </si>
  <si>
    <t>TCK-000206</t>
  </si>
  <si>
    <t>2025-09-13T19:48:00Z</t>
  </si>
  <si>
    <t>TCK-000207</t>
  </si>
  <si>
    <t>2025-09-14T04:33:36Z</t>
  </si>
  <si>
    <t>TCK-000208</t>
  </si>
  <si>
    <t>2025-09-14T13:19:12Z</t>
  </si>
  <si>
    <t>TCK-000209</t>
  </si>
  <si>
    <t>2025-09-14T22:04:48Z</t>
  </si>
  <si>
    <t>TCK-000210</t>
  </si>
  <si>
    <t>2025-09-15T06:50:24Z</t>
  </si>
  <si>
    <t>TCK-000211</t>
  </si>
  <si>
    <t>2025-09-15T15:36:00Z</t>
  </si>
  <si>
    <t>TCK-000212</t>
  </si>
  <si>
    <t>2025-09-16T00:21:36Z</t>
  </si>
  <si>
    <t>TCK-000213</t>
  </si>
  <si>
    <t>2025-09-16T09:07:12Z</t>
  </si>
  <si>
    <t>TCK-000214</t>
  </si>
  <si>
    <t>2025-09-16T17:52:48Z</t>
  </si>
  <si>
    <t>TCK-000215</t>
  </si>
  <si>
    <t>2025-09-17T02:38:24Z</t>
  </si>
  <si>
    <t>TCK-000216</t>
  </si>
  <si>
    <t>2025-09-17T11:24:00Z</t>
  </si>
  <si>
    <t>TCK-000217</t>
  </si>
  <si>
    <t>2025-09-17T20:09:36Z</t>
  </si>
  <si>
    <t>TCK-000218</t>
  </si>
  <si>
    <t>2025-09-18T04:55:12Z</t>
  </si>
  <si>
    <t>TCK-000219</t>
  </si>
  <si>
    <t>2025-09-18T13:40:48Z</t>
  </si>
  <si>
    <t>TCK-000220</t>
  </si>
  <si>
    <t>2025-09-18T22:26:24Z</t>
  </si>
  <si>
    <t>TCK-000221</t>
  </si>
  <si>
    <t>2025-09-19T07:12:00Z</t>
  </si>
  <si>
    <t>TCK-000222</t>
  </si>
  <si>
    <t>2025-09-19T15:57:36Z</t>
  </si>
  <si>
    <t>TCK-000223</t>
  </si>
  <si>
    <t>2025-09-20T00:43:12Z</t>
  </si>
  <si>
    <t>TCK-000224</t>
  </si>
  <si>
    <t>2025-09-20T09:28:48Z</t>
  </si>
  <si>
    <t>TCK-000225</t>
  </si>
  <si>
    <t>2025-09-20T18:14:24Z</t>
  </si>
  <si>
    <t>TCK-000226</t>
  </si>
  <si>
    <t>2025-09-21T03:00:00Z</t>
  </si>
  <si>
    <t>TCK-000227</t>
  </si>
  <si>
    <t>2025-09-21T11:45:36Z</t>
  </si>
  <si>
    <t>TCK-000228</t>
  </si>
  <si>
    <t>2025-09-21T20:31:12Z</t>
  </si>
  <si>
    <t>TCK-000229</t>
  </si>
  <si>
    <t>2025-09-22T05:16:48Z</t>
  </si>
  <si>
    <t>TCK-000230</t>
  </si>
  <si>
    <t>2025-09-22T14:02:24Z</t>
  </si>
  <si>
    <t>TCK-000231</t>
  </si>
  <si>
    <t>2025-09-22T22:48:00Z</t>
  </si>
  <si>
    <t>TCK-000232</t>
  </si>
  <si>
    <t>2025-09-23T07:33:36Z</t>
  </si>
  <si>
    <t>TCK-000233</t>
  </si>
  <si>
    <t>2025-09-23T16:19:12Z</t>
  </si>
  <si>
    <t>TCK-000234</t>
  </si>
  <si>
    <t>2025-09-24T01:04:48Z</t>
  </si>
  <si>
    <t>TCK-000235</t>
  </si>
  <si>
    <t>2025-09-24T09:50:24Z</t>
  </si>
  <si>
    <t>TCK-000236</t>
  </si>
  <si>
    <t>2025-09-24T18:36:00Z</t>
  </si>
  <si>
    <t>TCK-000237</t>
  </si>
  <si>
    <t>2025-09-25T03:21:36Z</t>
  </si>
  <si>
    <t>TCK-000238</t>
  </si>
  <si>
    <t>2025-09-25T12:07:12Z</t>
  </si>
  <si>
    <t>TCK-000239</t>
  </si>
  <si>
    <t>2025-09-25T20:52:48Z</t>
  </si>
  <si>
    <t>TCK-000240</t>
  </si>
  <si>
    <t>2025-09-26T05:38:24Z</t>
  </si>
  <si>
    <t>TCK-000241</t>
  </si>
  <si>
    <t>2025-09-26T14:24:00Z</t>
  </si>
  <si>
    <t>TCK-000242</t>
  </si>
  <si>
    <t>2025-09-26T23:09:36Z</t>
  </si>
  <si>
    <t>TCK-000243</t>
  </si>
  <si>
    <t>2025-09-27T07:55:12Z</t>
  </si>
  <si>
    <t>TCK-000244</t>
  </si>
  <si>
    <t>2025-09-27T16:40:48Z</t>
  </si>
  <si>
    <t>TCK-000245</t>
  </si>
  <si>
    <t>2025-09-28T01:26:24Z</t>
  </si>
  <si>
    <t>TCK-000246</t>
  </si>
  <si>
    <t>2025-09-28T10:12:00Z</t>
  </si>
  <si>
    <t>TCK-000247</t>
  </si>
  <si>
    <t>2025-09-28T18:57:36Z</t>
  </si>
  <si>
    <t>TCK-000248</t>
  </si>
  <si>
    <t>2025-09-29T03:43:12Z</t>
  </si>
  <si>
    <t>TCK-000249</t>
  </si>
  <si>
    <t>2025-09-29T12:28:48Z</t>
  </si>
  <si>
    <t>TCK-000250</t>
  </si>
  <si>
    <t>2025-09-29T21:14:24Z</t>
  </si>
  <si>
    <t>TCK-000251</t>
  </si>
  <si>
    <t>2025-09-30T06:00:00Z</t>
  </si>
  <si>
    <t>TCK-000252</t>
  </si>
  <si>
    <t>2025-09-30T14:45:36Z</t>
  </si>
  <si>
    <t>TCK-000253</t>
  </si>
  <si>
    <t>2025-09-30T23:31:12Z</t>
  </si>
  <si>
    <t>TCK-000254</t>
  </si>
  <si>
    <t>2025-10-01T08:16:48Z</t>
  </si>
  <si>
    <t>TCK-000255</t>
  </si>
  <si>
    <t>2025-10-01T17:02:24Z</t>
  </si>
  <si>
    <t>TCK-000256</t>
  </si>
  <si>
    <t>2025-10-02T01:48:00Z</t>
  </si>
  <si>
    <t>TCK-000257</t>
  </si>
  <si>
    <t>2025-10-02T10:33:36Z</t>
  </si>
  <si>
    <t>TCK-000258</t>
  </si>
  <si>
    <t>2025-10-02T19:19:12Z</t>
  </si>
  <si>
    <t>TCK-000259</t>
  </si>
  <si>
    <t>2025-10-03T04:04:48Z</t>
  </si>
  <si>
    <t>TCK-000260</t>
  </si>
  <si>
    <t>2025-10-03T12:50:24Z</t>
  </si>
  <si>
    <t>TCK-000261</t>
  </si>
  <si>
    <t>2025-10-03T21:36:00Z</t>
  </si>
  <si>
    <t>TCK-000262</t>
  </si>
  <si>
    <t>2025-10-04T06:21:36Z</t>
  </si>
  <si>
    <t>TCK-000263</t>
  </si>
  <si>
    <t>2025-10-04T15:07:12Z</t>
  </si>
  <si>
    <t>TCK-000264</t>
  </si>
  <si>
    <t>2025-10-04T23:52:48Z</t>
  </si>
  <si>
    <t>TCK-000265</t>
  </si>
  <si>
    <t>2025-10-05T08:38:24Z</t>
  </si>
  <si>
    <t>TCK-000266</t>
  </si>
  <si>
    <t>2025-10-05T17:24:00Z</t>
  </si>
  <si>
    <t>TCK-000267</t>
  </si>
  <si>
    <t>2025-10-06T02:09:36Z</t>
  </si>
  <si>
    <t>TCK-000268</t>
  </si>
  <si>
    <t>2025-10-06T10:55:12Z</t>
  </si>
  <si>
    <t>TCK-000269</t>
  </si>
  <si>
    <t>2025-10-06T19:40:48Z</t>
  </si>
  <si>
    <t>TCK-000270</t>
  </si>
  <si>
    <t>2025-10-07T04:26:24Z</t>
  </si>
  <si>
    <t>TCK-000271</t>
  </si>
  <si>
    <t>2025-10-07T13:12:00Z</t>
  </si>
  <si>
    <t>TCK-000272</t>
  </si>
  <si>
    <t>2025-10-07T21:57:36Z</t>
  </si>
  <si>
    <t>TCK-000273</t>
  </si>
  <si>
    <t>2025-10-08T06:43:12Z</t>
  </si>
  <si>
    <t>TCK-000274</t>
  </si>
  <si>
    <t>2025-10-08T15:28:48Z</t>
  </si>
  <si>
    <t>TCK-000275</t>
  </si>
  <si>
    <t>2025-10-09T00:14:24Z</t>
  </si>
  <si>
    <t>TCK-000276</t>
  </si>
  <si>
    <t>2025-10-09T09:00:00Z</t>
  </si>
  <si>
    <t>TCK-000277</t>
  </si>
  <si>
    <t>2025-10-09T17:45:36Z</t>
  </si>
  <si>
    <t>TCK-000278</t>
  </si>
  <si>
    <t>2025-10-10T02:31:12Z</t>
  </si>
  <si>
    <t>TCK-000279</t>
  </si>
  <si>
    <t>2025-10-10T11:16:48Z</t>
  </si>
  <si>
    <t>TCK-000280</t>
  </si>
  <si>
    <t>2025-10-10T20:02:24Z</t>
  </si>
  <si>
    <t>TCK-000281</t>
  </si>
  <si>
    <t>2025-10-11T04:48:00Z</t>
  </si>
  <si>
    <t>TCK-000282</t>
  </si>
  <si>
    <t>2025-10-11T13:33:36Z</t>
  </si>
  <si>
    <t>TCK-000283</t>
  </si>
  <si>
    <t>2025-10-11T22:19:12Z</t>
  </si>
  <si>
    <t>TCK-000284</t>
  </si>
  <si>
    <t>2025-10-12T07:04:48Z</t>
  </si>
  <si>
    <t>TCK-000285</t>
  </si>
  <si>
    <t>2025-10-12T15:50:24Z</t>
  </si>
  <si>
    <t>TCK-000286</t>
  </si>
  <si>
    <t>2025-10-13T00:36:00Z</t>
  </si>
  <si>
    <t>TCK-000287</t>
  </si>
  <si>
    <t>2025-10-13T09:21:36Z</t>
  </si>
  <si>
    <t>TCK-000288</t>
  </si>
  <si>
    <t>2025-10-13T18:07:12Z</t>
  </si>
  <si>
    <t>TCK-000289</t>
  </si>
  <si>
    <t>2025-10-14T02:52:48Z</t>
  </si>
  <si>
    <t>TCK-000290</t>
  </si>
  <si>
    <t>2025-10-14T11:38:24Z</t>
  </si>
  <si>
    <t>TCK-000291</t>
  </si>
  <si>
    <t>2025-10-14T20:24:00Z</t>
  </si>
  <si>
    <t>TCK-000292</t>
  </si>
  <si>
    <t>2025-10-15T05:09:36Z</t>
  </si>
  <si>
    <t>TCK-000293</t>
  </si>
  <si>
    <t>2025-10-15T13:55:12Z</t>
  </si>
  <si>
    <t>TCK-000294</t>
  </si>
  <si>
    <t>2025-10-15T22:40:48Z</t>
  </si>
  <si>
    <t>TCK-000295</t>
  </si>
  <si>
    <t>2025-10-16T07:26:24Z</t>
  </si>
  <si>
    <t>TCK-000296</t>
  </si>
  <si>
    <t>2025-10-16T16:12:00Z</t>
  </si>
  <si>
    <t>TCK-000297</t>
  </si>
  <si>
    <t>2025-10-17T00:57:36Z</t>
  </si>
  <si>
    <t>TCK-000298</t>
  </si>
  <si>
    <t>2025-10-17T09:43:12Z</t>
  </si>
  <si>
    <t>TCK-000299</t>
  </si>
  <si>
    <t>2025-10-17T18:28:48Z</t>
  </si>
  <si>
    <t>TCK-000300</t>
  </si>
  <si>
    <t>2025-10-18T03:14:24Z</t>
  </si>
  <si>
    <t>TCK-000301</t>
  </si>
  <si>
    <t>2025-10-18T12:00:00Z</t>
  </si>
  <si>
    <t>TCK-000302</t>
  </si>
  <si>
    <t>2025-10-18T20:45:36Z</t>
  </si>
  <si>
    <t>TCK-000303</t>
  </si>
  <si>
    <t>2025-10-19T05:31:12Z</t>
  </si>
  <si>
    <t>TCK-000304</t>
  </si>
  <si>
    <t>2025-10-19T14:16:48Z</t>
  </si>
  <si>
    <t>TCK-000305</t>
  </si>
  <si>
    <t>2025-10-19T23:02:24Z</t>
  </si>
  <si>
    <t>TCK-000306</t>
  </si>
  <si>
    <t>2025-10-20T07:48:00Z</t>
  </si>
  <si>
    <t>TCK-000307</t>
  </si>
  <si>
    <t>2025-10-20T16:33:36Z</t>
  </si>
  <si>
    <t>TCK-000308</t>
  </si>
  <si>
    <t>2025-10-21T01:19:12Z</t>
  </si>
  <si>
    <t>TCK-000309</t>
  </si>
  <si>
    <t>2025-10-21T10:04:48Z</t>
  </si>
  <si>
    <t>TCK-000310</t>
  </si>
  <si>
    <t>2025-10-21T18:50:24Z</t>
  </si>
  <si>
    <t>TCK-000311</t>
  </si>
  <si>
    <t>2025-10-22T03:36:00Z</t>
  </si>
  <si>
    <t>TCK-000312</t>
  </si>
  <si>
    <t>2025-10-22T12:21:36Z</t>
  </si>
  <si>
    <t>TCK-000313</t>
  </si>
  <si>
    <t>2025-10-22T21:07:12Z</t>
  </si>
  <si>
    <t>TCK-000314</t>
  </si>
  <si>
    <t>2025-10-23T05:52:48Z</t>
  </si>
  <si>
    <t>TCK-000315</t>
  </si>
  <si>
    <t>2025-10-23T14:38:24Z</t>
  </si>
  <si>
    <t>TCK-000316</t>
  </si>
  <si>
    <t>2025-10-23T23:24:00Z</t>
  </si>
  <si>
    <t>TCK-000317</t>
  </si>
  <si>
    <t>2025-10-24T08:09:36Z</t>
  </si>
  <si>
    <t>TCK-000318</t>
  </si>
  <si>
    <t>2025-10-24T16:55:12Z</t>
  </si>
  <si>
    <t>TCK-000319</t>
  </si>
  <si>
    <t>2025-10-25T01:40:48Z</t>
  </si>
  <si>
    <t>TCK-000320</t>
  </si>
  <si>
    <t>2025-10-25T10:26:24Z</t>
  </si>
  <si>
    <t>TCK-000321</t>
  </si>
  <si>
    <t>2025-10-25T19:12:00Z</t>
  </si>
  <si>
    <t>TCK-000322</t>
  </si>
  <si>
    <t>2025-10-26T03:57:36Z</t>
  </si>
  <si>
    <t>TCK-000323</t>
  </si>
  <si>
    <t>2025-10-26T12:43:12Z</t>
  </si>
  <si>
    <t>TCK-000324</t>
  </si>
  <si>
    <t>2025-10-26T21:28:48Z</t>
  </si>
  <si>
    <t>TCK-000325</t>
  </si>
  <si>
    <t>2025-10-27T06:14:24Z</t>
  </si>
  <si>
    <t>TCK-000326</t>
  </si>
  <si>
    <t>2025-10-27T15:00:00Z</t>
  </si>
  <si>
    <t>TCK-000327</t>
  </si>
  <si>
    <t>2025-10-27T23:45:36Z</t>
  </si>
  <si>
    <t>TCK-000328</t>
  </si>
  <si>
    <t>2025-10-28T08:31:12Z</t>
  </si>
  <si>
    <t>TCK-000329</t>
  </si>
  <si>
    <t>2025-10-28T17:16:48Z</t>
  </si>
  <si>
    <t>TCK-000330</t>
  </si>
  <si>
    <t>2025-10-29T02:02:24Z</t>
  </si>
  <si>
    <t>TCK-000331</t>
  </si>
  <si>
    <t>2025-10-29T10:48:00Z</t>
  </si>
  <si>
    <t>TCK-000332</t>
  </si>
  <si>
    <t>2025-10-29T19:33:36Z</t>
  </si>
  <si>
    <t>TCK-000333</t>
  </si>
  <si>
    <t>2025-10-30T04:19:12Z</t>
  </si>
  <si>
    <t>TCK-000334</t>
  </si>
  <si>
    <t>2025-10-30T13:04:48Z</t>
  </si>
  <si>
    <t>TCK-000335</t>
  </si>
  <si>
    <t>2025-10-30T21:50:24Z</t>
  </si>
  <si>
    <t>TCK-000336</t>
  </si>
  <si>
    <t>2025-10-31T06:36:00Z</t>
  </si>
  <si>
    <t>TCK-000337</t>
  </si>
  <si>
    <t>2025-10-31T15:21:36Z</t>
  </si>
  <si>
    <t>TCK-000338</t>
  </si>
  <si>
    <t>2025-11-01T00:07:12Z</t>
  </si>
  <si>
    <t>TCK-000339</t>
  </si>
  <si>
    <t>2025-11-01T08:52:48Z</t>
  </si>
  <si>
    <t>TCK-000340</t>
  </si>
  <si>
    <t>2025-11-01T17:38:24Z</t>
  </si>
  <si>
    <t>TCK-000341</t>
  </si>
  <si>
    <t>2025-11-02T02:24:00Z</t>
  </si>
  <si>
    <t>TCK-000342</t>
  </si>
  <si>
    <t>2025-11-02T11:09:36Z</t>
  </si>
  <si>
    <t>TCK-000343</t>
  </si>
  <si>
    <t>2025-11-02T19:55:12Z</t>
  </si>
  <si>
    <t>TCK-000344</t>
  </si>
  <si>
    <t>2025-11-03T04:40:48Z</t>
  </si>
  <si>
    <t>TCK-000345</t>
  </si>
  <si>
    <t>2025-11-03T13:26:24Z</t>
  </si>
  <si>
    <t>TCK-000346</t>
  </si>
  <si>
    <t>2025-11-03T22:12:00Z</t>
  </si>
  <si>
    <t>TCK-000347</t>
  </si>
  <si>
    <t>2025-11-04T06:57:36Z</t>
  </si>
  <si>
    <t>TCK-000348</t>
  </si>
  <si>
    <t>2025-11-04T15:43:12Z</t>
  </si>
  <si>
    <t>TCK-000349</t>
  </si>
  <si>
    <t>2025-11-05T00:28:48Z</t>
  </si>
  <si>
    <t>TCK-000350</t>
  </si>
  <si>
    <t>2025-11-05T09:14:24Z</t>
  </si>
  <si>
    <t>TCK-000351</t>
  </si>
  <si>
    <t>2025-11-05T18:00:00Z</t>
  </si>
  <si>
    <t>TCK-000352</t>
  </si>
  <si>
    <t>2025-11-06T02:45:36Z</t>
  </si>
  <si>
    <t>TCK-000353</t>
  </si>
  <si>
    <t>2025-11-06T11:31:12Z</t>
  </si>
  <si>
    <t>TCK-000354</t>
  </si>
  <si>
    <t>2025-11-06T20:16:48Z</t>
  </si>
  <si>
    <t>TCK-000355</t>
  </si>
  <si>
    <t>2025-11-07T05:02:24Z</t>
  </si>
  <si>
    <t>TCK-000356</t>
  </si>
  <si>
    <t>2025-11-07T13:48:00Z</t>
  </si>
  <si>
    <t>TCK-000357</t>
  </si>
  <si>
    <t>2025-11-07T22:33:36Z</t>
  </si>
  <si>
    <t>TCK-000358</t>
  </si>
  <si>
    <t>2025-11-08T07:19:12Z</t>
  </si>
  <si>
    <t>TCK-000359</t>
  </si>
  <si>
    <t>2025-11-08T16:04:48Z</t>
  </si>
  <si>
    <t>TCK-000360</t>
  </si>
  <si>
    <t>2025-11-09T00:50:24Z</t>
  </si>
  <si>
    <t>TCK-000361</t>
  </si>
  <si>
    <t>2025-11-09T09:36:00Z</t>
  </si>
  <si>
    <t>TCK-000362</t>
  </si>
  <si>
    <t>2025-11-09T18:21:36Z</t>
  </si>
  <si>
    <t>TCK-000363</t>
  </si>
  <si>
    <t>2025-11-10T03:07:12Z</t>
  </si>
  <si>
    <t>TCK-000364</t>
  </si>
  <si>
    <t>2025-11-10T11:52:48Z</t>
  </si>
  <si>
    <t>TCK-000365</t>
  </si>
  <si>
    <t>2025-11-10T20:38:24Z</t>
  </si>
  <si>
    <t>TCK-000366</t>
  </si>
  <si>
    <t>2025-11-11T05:24:00Z</t>
  </si>
  <si>
    <t>TCK-000367</t>
  </si>
  <si>
    <t>2025-11-11T14:09:36Z</t>
  </si>
  <si>
    <t>TCK-000368</t>
  </si>
  <si>
    <t>2025-11-11T22:55:12Z</t>
  </si>
  <si>
    <t>TCK-000369</t>
  </si>
  <si>
    <t>2025-11-12T07:40:48Z</t>
  </si>
  <si>
    <t>TCK-000370</t>
  </si>
  <si>
    <t>2025-11-12T16:26:24Z</t>
  </si>
  <si>
    <t>TCK-000371</t>
  </si>
  <si>
    <t>2025-11-13T01:12:00Z</t>
  </si>
  <si>
    <t>TCK-000372</t>
  </si>
  <si>
    <t>2025-11-13T09:57:36Z</t>
  </si>
  <si>
    <t>TCK-000373</t>
  </si>
  <si>
    <t>2025-11-13T18:43:12Z</t>
  </si>
  <si>
    <t>TCK-000374</t>
  </si>
  <si>
    <t>2025-11-14T03:28:48Z</t>
  </si>
  <si>
    <t>TCK-000375</t>
  </si>
  <si>
    <t>2025-11-14T12:14:24Z</t>
  </si>
  <si>
    <t>TCK-000376</t>
  </si>
  <si>
    <t>2025-11-14T21:00:00Z</t>
  </si>
  <si>
    <t>TCK-000377</t>
  </si>
  <si>
    <t>2025-11-15T05:45:36Z</t>
  </si>
  <si>
    <t>TCK-000378</t>
  </si>
  <si>
    <t>2025-11-15T14:31:12Z</t>
  </si>
  <si>
    <t>TCK-000379</t>
  </si>
  <si>
    <t>2025-11-15T23:16:48Z</t>
  </si>
  <si>
    <t>TCK-000380</t>
  </si>
  <si>
    <t>2025-11-16T08:02:24Z</t>
  </si>
  <si>
    <t>TCK-000381</t>
  </si>
  <si>
    <t>2025-11-16T16:48:00Z</t>
  </si>
  <si>
    <t>TCK-000382</t>
  </si>
  <si>
    <t>2025-11-17T01:33:36Z</t>
  </si>
  <si>
    <t>TCK-000383</t>
  </si>
  <si>
    <t>2025-11-17T10:19:12Z</t>
  </si>
  <si>
    <t>TCK-000384</t>
  </si>
  <si>
    <t>2025-11-17T19:04:48Z</t>
  </si>
  <si>
    <t>TCK-000385</t>
  </si>
  <si>
    <t>2025-11-18T03:50:24Z</t>
  </si>
  <si>
    <t>TCK-000386</t>
  </si>
  <si>
    <t>2025-11-18T12:36:00Z</t>
  </si>
  <si>
    <t>TCK-000387</t>
  </si>
  <si>
    <t>2025-11-18T21:21:36Z</t>
  </si>
  <si>
    <t>TCK-000388</t>
  </si>
  <si>
    <t>2025-11-19T06:07:12Z</t>
  </si>
  <si>
    <t>TCK-000389</t>
  </si>
  <si>
    <t>2025-11-19T14:52:48Z</t>
  </si>
  <si>
    <t>TCK-000390</t>
  </si>
  <si>
    <t>2025-11-19T23:38:24Z</t>
  </si>
  <si>
    <t>TCK-000391</t>
  </si>
  <si>
    <t>2025-11-20T08:24:00Z</t>
  </si>
  <si>
    <t>TCK-000392</t>
  </si>
  <si>
    <t>2025-11-20T17:09:36Z</t>
  </si>
  <si>
    <t>TCK-000393</t>
  </si>
  <si>
    <t>2025-11-21T01:55:12Z</t>
  </si>
  <si>
    <t>TCK-000394</t>
  </si>
  <si>
    <t>2025-11-21T10:40:48Z</t>
  </si>
  <si>
    <t>TCK-000395</t>
  </si>
  <si>
    <t>2025-11-21T19:26:24Z</t>
  </si>
  <si>
    <t>TCK-000396</t>
  </si>
  <si>
    <t>2025-11-22T04:12:00Z</t>
  </si>
  <si>
    <t>TCK-000397</t>
  </si>
  <si>
    <t>2025-11-22T12:57:36Z</t>
  </si>
  <si>
    <t>TCK-000398</t>
  </si>
  <si>
    <t>2025-11-22T21:43:12Z</t>
  </si>
  <si>
    <t>TCK-000399</t>
  </si>
  <si>
    <t>2025-11-23T06:28:48Z</t>
  </si>
  <si>
    <t>TCK-000400</t>
  </si>
  <si>
    <t>2025-11-23T15:14:24Z</t>
  </si>
  <si>
    <t>TCK-000401</t>
  </si>
  <si>
    <t>2025-11-24T00:00:00Z</t>
  </si>
  <si>
    <t>TCK-000402</t>
  </si>
  <si>
    <t>2025-11-24T08:45:36Z</t>
  </si>
  <si>
    <t>TCK-000403</t>
  </si>
  <si>
    <t>2025-11-24T17:31:12Z</t>
  </si>
  <si>
    <t>TCK-000404</t>
  </si>
  <si>
    <t>2025-11-25T02:16:48Z</t>
  </si>
  <si>
    <t>TCK-000405</t>
  </si>
  <si>
    <t>2025-11-25T11:02:24Z</t>
  </si>
  <si>
    <t>TCK-000406</t>
  </si>
  <si>
    <t>2025-11-25T19:48:00Z</t>
  </si>
  <si>
    <t>TCK-000407</t>
  </si>
  <si>
    <t>2025-11-26T04:33:36Z</t>
  </si>
  <si>
    <t>TCK-000408</t>
  </si>
  <si>
    <t>2025-11-26T13:19:12Z</t>
  </si>
  <si>
    <t>TCK-000409</t>
  </si>
  <si>
    <t>2025-11-26T22:04:48Z</t>
  </si>
  <si>
    <t>TCK-000410</t>
  </si>
  <si>
    <t>2025-11-27T06:50:24Z</t>
  </si>
  <si>
    <t>TCK-000411</t>
  </si>
  <si>
    <t>2025-11-27T15:36:00Z</t>
  </si>
  <si>
    <t>TCK-000412</t>
  </si>
  <si>
    <t>2025-11-28T00:21:36Z</t>
  </si>
  <si>
    <t>TCK-000413</t>
  </si>
  <si>
    <t>2025-11-28T09:07:12Z</t>
  </si>
  <si>
    <t>TCK-000414</t>
  </si>
  <si>
    <t>2025-11-28T17:52:48Z</t>
  </si>
  <si>
    <t>TCK-000415</t>
  </si>
  <si>
    <t>2025-11-29T02:38:24Z</t>
  </si>
  <si>
    <t>TCK-000416</t>
  </si>
  <si>
    <t>2025-11-29T11:24:00Z</t>
  </si>
  <si>
    <t>TCK-000417</t>
  </si>
  <si>
    <t>2025-11-29T20:09:36Z</t>
  </si>
  <si>
    <t>TCK-000418</t>
  </si>
  <si>
    <t>2025-11-30T04:55:12Z</t>
  </si>
  <si>
    <t>TCK-000419</t>
  </si>
  <si>
    <t>2025-11-30T13:40:48Z</t>
  </si>
  <si>
    <t>TCK-000420</t>
  </si>
  <si>
    <t>2025-11-30T22:26:24Z</t>
  </si>
  <si>
    <t>TCK-000421</t>
  </si>
  <si>
    <t>2025-12-01T07:12:00Z</t>
  </si>
  <si>
    <t>TCK-000422</t>
  </si>
  <si>
    <t>2025-12-01T15:57:36Z</t>
  </si>
  <si>
    <t>TCK-000423</t>
  </si>
  <si>
    <t>2025-12-02T00:43:12Z</t>
  </si>
  <si>
    <t>TCK-000424</t>
  </si>
  <si>
    <t>2025-12-02T09:28:48Z</t>
  </si>
  <si>
    <t>TCK-000425</t>
  </si>
  <si>
    <t>2025-12-02T18:14:24Z</t>
  </si>
  <si>
    <t>TCK-000426</t>
  </si>
  <si>
    <t>2025-12-03T03:00:00Z</t>
  </si>
  <si>
    <t>TCK-000427</t>
  </si>
  <si>
    <t>2025-12-03T11:45:36Z</t>
  </si>
  <si>
    <t>TCK-000428</t>
  </si>
  <si>
    <t>2025-12-03T20:31:12Z</t>
  </si>
  <si>
    <t>TCK-000429</t>
  </si>
  <si>
    <t>2025-12-04T05:16:48Z</t>
  </si>
  <si>
    <t>TCK-000430</t>
  </si>
  <si>
    <t>2025-12-04T14:02:24Z</t>
  </si>
  <si>
    <t>TCK-000431</t>
  </si>
  <si>
    <t>2025-12-04T22:48:00Z</t>
  </si>
  <si>
    <t>TCK-000432</t>
  </si>
  <si>
    <t>2025-12-05T07:33:36Z</t>
  </si>
  <si>
    <t>TCK-000433</t>
  </si>
  <si>
    <t>2025-12-05T16:19:12Z</t>
  </si>
  <si>
    <t>TCK-000434</t>
  </si>
  <si>
    <t>2025-12-06T01:04:48Z</t>
  </si>
  <si>
    <t>TCK-000435</t>
  </si>
  <si>
    <t>2025-12-06T09:50:24Z</t>
  </si>
  <si>
    <t>TCK-000436</t>
  </si>
  <si>
    <t>2025-12-06T18:36:00Z</t>
  </si>
  <si>
    <t>TCK-000437</t>
  </si>
  <si>
    <t>2025-12-07T03:21:36Z</t>
  </si>
  <si>
    <t>TCK-000438</t>
  </si>
  <si>
    <t>2025-12-07T12:07:12Z</t>
  </si>
  <si>
    <t>TCK-000439</t>
  </si>
  <si>
    <t>2025-12-07T20:52:48Z</t>
  </si>
  <si>
    <t>TCK-000440</t>
  </si>
  <si>
    <t>2025-12-08T05:38:24Z</t>
  </si>
  <si>
    <t>TCK-000441</t>
  </si>
  <si>
    <t>2025-12-08T14:24:00Z</t>
  </si>
  <si>
    <t>TCK-000442</t>
  </si>
  <si>
    <t>2025-12-08T23:09:36Z</t>
  </si>
  <si>
    <t>TCK-000443</t>
  </si>
  <si>
    <t>2025-12-09T07:55:12Z</t>
  </si>
  <si>
    <t>TCK-000444</t>
  </si>
  <si>
    <t>2025-12-09T16:40:48Z</t>
  </si>
  <si>
    <t>TCK-000445</t>
  </si>
  <si>
    <t>2025-12-10T01:26:24Z</t>
  </si>
  <si>
    <t>TCK-000446</t>
  </si>
  <si>
    <t>2025-12-10T10:12:00Z</t>
  </si>
  <si>
    <t>TCK-000447</t>
  </si>
  <si>
    <t>2025-12-10T18:57:36Z</t>
  </si>
  <si>
    <t>TCK-000448</t>
  </si>
  <si>
    <t>2025-12-11T03:43:12Z</t>
  </si>
  <si>
    <t>TCK-000449</t>
  </si>
  <si>
    <t>2025-12-11T12:28:48Z</t>
  </si>
  <si>
    <t>TCK-000450</t>
  </si>
  <si>
    <t>2025-12-11T21:14:24Z</t>
  </si>
  <si>
    <t>TCK-000451</t>
  </si>
  <si>
    <t>2025-12-12T06:00:00Z</t>
  </si>
  <si>
    <t>TCK-000452</t>
  </si>
  <si>
    <t>2025-12-12T14:45:36Z</t>
  </si>
  <si>
    <t>TCK-000453</t>
  </si>
  <si>
    <t>2025-12-12T23:31:12Z</t>
  </si>
  <si>
    <t>TCK-000454</t>
  </si>
  <si>
    <t>2025-12-13T08:16:48Z</t>
  </si>
  <si>
    <t>TCK-000455</t>
  </si>
  <si>
    <t>2025-12-13T17:02:24Z</t>
  </si>
  <si>
    <t>TCK-000456</t>
  </si>
  <si>
    <t>2025-12-14T01:48:00Z</t>
  </si>
  <si>
    <t>TCK-000457</t>
  </si>
  <si>
    <t>2025-12-14T10:33:36Z</t>
  </si>
  <si>
    <t>TCK-000458</t>
  </si>
  <si>
    <t>2025-12-14T19:19:12Z</t>
  </si>
  <si>
    <t>TCK-000459</t>
  </si>
  <si>
    <t>2025-12-15T04:04:48Z</t>
  </si>
  <si>
    <t>TCK-000460</t>
  </si>
  <si>
    <t>2025-12-15T12:50:24Z</t>
  </si>
  <si>
    <t>TCK-000461</t>
  </si>
  <si>
    <t>2025-12-15T21:36:00Z</t>
  </si>
  <si>
    <t>TCK-000462</t>
  </si>
  <si>
    <t>2025-12-16T06:21:36Z</t>
  </si>
  <si>
    <t>TCK-000463</t>
  </si>
  <si>
    <t>2025-12-16T15:07:12Z</t>
  </si>
  <si>
    <t>TCK-000464</t>
  </si>
  <si>
    <t>2025-12-16T23:52:48Z</t>
  </si>
  <si>
    <t>TCK-000465</t>
  </si>
  <si>
    <t>2025-12-17T08:38:24Z</t>
  </si>
  <si>
    <t>TCK-000466</t>
  </si>
  <si>
    <t>2025-12-17T17:24:00Z</t>
  </si>
  <si>
    <t>TCK-000467</t>
  </si>
  <si>
    <t>2025-12-18T02:09:36Z</t>
  </si>
  <si>
    <t>TCK-000468</t>
  </si>
  <si>
    <t>2025-12-18T10:55:12Z</t>
  </si>
  <si>
    <t>TCK-000469</t>
  </si>
  <si>
    <t>2025-12-18T19:40:48Z</t>
  </si>
  <si>
    <t>TCK-000470</t>
  </si>
  <si>
    <t>2025-12-19T04:26:24Z</t>
  </si>
  <si>
    <t>TCK-000471</t>
  </si>
  <si>
    <t>2025-12-19T13:12:00Z</t>
  </si>
  <si>
    <t>TCK-000472</t>
  </si>
  <si>
    <t>2025-12-19T21:57:36Z</t>
  </si>
  <si>
    <t>TCK-000473</t>
  </si>
  <si>
    <t>2025-12-20T06:43:12Z</t>
  </si>
  <si>
    <t>TCK-000474</t>
  </si>
  <si>
    <t>2025-12-20T15:28:48Z</t>
  </si>
  <si>
    <t>TCK-000475</t>
  </si>
  <si>
    <t>2025-12-21T00:14:24Z</t>
  </si>
  <si>
    <t>TCK-000476</t>
  </si>
  <si>
    <t>2025-12-21T09:00:00Z</t>
  </si>
  <si>
    <t>TCK-000477</t>
  </si>
  <si>
    <t>2025-12-21T17:45:36Z</t>
  </si>
  <si>
    <t>TCK-000478</t>
  </si>
  <si>
    <t>2025-12-22T02:31:12Z</t>
  </si>
  <si>
    <t>TCK-000479</t>
  </si>
  <si>
    <t>2025-12-22T11:16:48Z</t>
  </si>
  <si>
    <t>TCK-000480</t>
  </si>
  <si>
    <t>2025-12-22T20:02:24Z</t>
  </si>
  <si>
    <t>TCK-000481</t>
  </si>
  <si>
    <t>2025-12-23T04:48:00Z</t>
  </si>
  <si>
    <t>TCK-000482</t>
  </si>
  <si>
    <t>2025-12-23T13:33:36Z</t>
  </si>
  <si>
    <t>TCK-000483</t>
  </si>
  <si>
    <t>2025-12-23T22:19:12Z</t>
  </si>
  <si>
    <t>TCK-000484</t>
  </si>
  <si>
    <t>2025-12-24T07:04:48Z</t>
  </si>
  <si>
    <t>TCK-000485</t>
  </si>
  <si>
    <t>2025-12-24T15:50:24Z</t>
  </si>
  <si>
    <t>TCK-000486</t>
  </si>
  <si>
    <t>2025-12-25T00:36:00Z</t>
  </si>
  <si>
    <t>TCK-000487</t>
  </si>
  <si>
    <t>2025-12-25T09:21:36Z</t>
  </si>
  <si>
    <t>TCK-000488</t>
  </si>
  <si>
    <t>2025-12-25T18:07:12Z</t>
  </si>
  <si>
    <t>TCK-000489</t>
  </si>
  <si>
    <t>2025-12-26T02:52:48Z</t>
  </si>
  <si>
    <t>TCK-000490</t>
  </si>
  <si>
    <t>2025-12-26T11:38:24Z</t>
  </si>
  <si>
    <t>TCK-000491</t>
  </si>
  <si>
    <t>2025-12-26T20:24:00Z</t>
  </si>
  <si>
    <t>TCK-000492</t>
  </si>
  <si>
    <t>2025-12-27T05:09:36Z</t>
  </si>
  <si>
    <t>TCK-000493</t>
  </si>
  <si>
    <t>2025-12-27T13:55:12Z</t>
  </si>
  <si>
    <t>TCK-000494</t>
  </si>
  <si>
    <t>2025-12-27T22:40:48Z</t>
  </si>
  <si>
    <t>TCK-000495</t>
  </si>
  <si>
    <t>2025-12-28T07:26:24Z</t>
  </si>
  <si>
    <t>TCK-000496</t>
  </si>
  <si>
    <t>2025-12-28T16:12:00Z</t>
  </si>
  <si>
    <t>TCK-000497</t>
  </si>
  <si>
    <t>2025-12-29T00:57:36Z</t>
  </si>
  <si>
    <t>TCK-000498</t>
  </si>
  <si>
    <t>2025-12-29T09:43:12Z</t>
  </si>
  <si>
    <t>TCK-000499</t>
  </si>
  <si>
    <t>2025-12-29T18:28:48Z</t>
  </si>
  <si>
    <t>TCK-000500</t>
  </si>
  <si>
    <t>2025-12-30T03:14:24Z</t>
  </si>
  <si>
    <t>TCK-000501</t>
  </si>
  <si>
    <t>2025-12-30T12:00:00Z</t>
  </si>
  <si>
    <t>TCK-000502</t>
  </si>
  <si>
    <t>2025-12-30T20:45:36Z</t>
  </si>
  <si>
    <t>TCK-000503</t>
  </si>
  <si>
    <t>2025-12-31T05:31:12Z</t>
  </si>
  <si>
    <t>TCK-000504</t>
  </si>
  <si>
    <t>2025-12-31T14:16:48Z</t>
  </si>
  <si>
    <t>TCK-000505</t>
  </si>
  <si>
    <t>2025-12-31T23:02:24Z</t>
  </si>
  <si>
    <t>TCK-000506</t>
  </si>
  <si>
    <t>2026-01-01T07:48:00Z</t>
  </si>
  <si>
    <t>TCK-000507</t>
  </si>
  <si>
    <t>2026-01-01T16:33:36Z</t>
  </si>
  <si>
    <t>TCK-000508</t>
  </si>
  <si>
    <t>2026-01-02T01:19:12Z</t>
  </si>
  <si>
    <t>TCK-000509</t>
  </si>
  <si>
    <t>2026-01-02T10:04:48Z</t>
  </si>
  <si>
    <t>TCK-000510</t>
  </si>
  <si>
    <t>2026-01-02T18:50:24Z</t>
  </si>
  <si>
    <t>TCK-000511</t>
  </si>
  <si>
    <t>2026-01-03T03:36:00Z</t>
  </si>
  <si>
    <t>TCK-000512</t>
  </si>
  <si>
    <t>2026-01-03T12:21:36Z</t>
  </si>
  <si>
    <t>TCK-000513</t>
  </si>
  <si>
    <t>2026-01-03T21:07:12Z</t>
  </si>
  <si>
    <t>TCK-000514</t>
  </si>
  <si>
    <t>2026-01-04T05:52:48Z</t>
  </si>
  <si>
    <t>TCK-000515</t>
  </si>
  <si>
    <t>2026-01-04T14:38:24Z</t>
  </si>
  <si>
    <t>TCK-000516</t>
  </si>
  <si>
    <t>2026-01-04T23:24:00Z</t>
  </si>
  <si>
    <t>TCK-000517</t>
  </si>
  <si>
    <t>2026-01-05T08:09:36Z</t>
  </si>
  <si>
    <t>TCK-000518</t>
  </si>
  <si>
    <t>2026-01-05T16:55:12Z</t>
  </si>
  <si>
    <t>TCK-000519</t>
  </si>
  <si>
    <t>2026-01-06T01:40:48Z</t>
  </si>
  <si>
    <t>TCK-000520</t>
  </si>
  <si>
    <t>2026-01-06T10:26:24Z</t>
  </si>
  <si>
    <t>TCK-000521</t>
  </si>
  <si>
    <t>2026-01-06T19:12:00Z</t>
  </si>
  <si>
    <t>TCK-000522</t>
  </si>
  <si>
    <t>2026-01-07T03:57:36Z</t>
  </si>
  <si>
    <t>TCK-000523</t>
  </si>
  <si>
    <t>2026-01-07T12:43:12Z</t>
  </si>
  <si>
    <t>TCK-000524</t>
  </si>
  <si>
    <t>2026-01-07T21:28:48Z</t>
  </si>
  <si>
    <t>TCK-000525</t>
  </si>
  <si>
    <t>2026-01-08T06:14:24Z</t>
  </si>
  <si>
    <t>TCK-000526</t>
  </si>
  <si>
    <t>2026-01-08T15:00:00Z</t>
  </si>
  <si>
    <t>TCK-000527</t>
  </si>
  <si>
    <t>2026-01-08T23:45:36Z</t>
  </si>
  <si>
    <t>TCK-000528</t>
  </si>
  <si>
    <t>2026-01-09T08:31:12Z</t>
  </si>
  <si>
    <t>TCK-000529</t>
  </si>
  <si>
    <t>2026-01-09T17:16:48Z</t>
  </si>
  <si>
    <t>TCK-000530</t>
  </si>
  <si>
    <t>2026-01-10T02:02:24Z</t>
  </si>
  <si>
    <t>TCK-000531</t>
  </si>
  <si>
    <t>2026-01-10T10:48:00Z</t>
  </si>
  <si>
    <t>TCK-000532</t>
  </si>
  <si>
    <t>2026-01-10T19:33:36Z</t>
  </si>
  <si>
    <t>TCK-000533</t>
  </si>
  <si>
    <t>2026-01-11T04:19:12Z</t>
  </si>
  <si>
    <t>TCK-000534</t>
  </si>
  <si>
    <t>2026-01-11T13:04:48Z</t>
  </si>
  <si>
    <t>TCK-000535</t>
  </si>
  <si>
    <t>2026-01-11T21:50:24Z</t>
  </si>
  <si>
    <t>TCK-000536</t>
  </si>
  <si>
    <t>2026-01-12T06:36:00Z</t>
  </si>
  <si>
    <t>TCK-000537</t>
  </si>
  <si>
    <t>2026-01-12T15:21:36Z</t>
  </si>
  <si>
    <t>TCK-000538</t>
  </si>
  <si>
    <t>2026-01-13T00:07:12Z</t>
  </si>
  <si>
    <t>TCK-000539</t>
  </si>
  <si>
    <t>2026-01-13T08:52:48Z</t>
  </si>
  <si>
    <t>TCK-000540</t>
  </si>
  <si>
    <t>2026-01-13T17:38:24Z</t>
  </si>
  <si>
    <t>TCK-000541</t>
  </si>
  <si>
    <t>2026-01-14T02:24:00Z</t>
  </si>
  <si>
    <t>TCK-000542</t>
  </si>
  <si>
    <t>2026-01-14T11:09:36Z</t>
  </si>
  <si>
    <t>TCK-000543</t>
  </si>
  <si>
    <t>2026-01-14T19:55:12Z</t>
  </si>
  <si>
    <t>TCK-000544</t>
  </si>
  <si>
    <t>2026-01-15T04:40:48Z</t>
  </si>
  <si>
    <t>TCK-000545</t>
  </si>
  <si>
    <t>2026-01-15T13:26:24Z</t>
  </si>
  <si>
    <t>TCK-000546</t>
  </si>
  <si>
    <t>2026-01-15T22:12:00Z</t>
  </si>
  <si>
    <t>TCK-000547</t>
  </si>
  <si>
    <t>2026-01-16T06:57:36Z</t>
  </si>
  <si>
    <t>TCK-000548</t>
  </si>
  <si>
    <t>2026-01-16T15:43:12Z</t>
  </si>
  <si>
    <t>TCK-000549</t>
  </si>
  <si>
    <t>2026-01-17T00:28:48Z</t>
  </si>
  <si>
    <t>TCK-000550</t>
  </si>
  <si>
    <t>2026-01-17T09:14:24Z</t>
  </si>
  <si>
    <t>TCK-000551</t>
  </si>
  <si>
    <t>2026-01-17T18:00:00Z</t>
  </si>
  <si>
    <t>TCK-000552</t>
  </si>
  <si>
    <t>2026-01-18T02:45:36Z</t>
  </si>
  <si>
    <t>TCK-000553</t>
  </si>
  <si>
    <t>2026-01-18T11:31:12Z</t>
  </si>
  <si>
    <t>TCK-000554</t>
  </si>
  <si>
    <t>2026-01-18T20:16:48Z</t>
  </si>
  <si>
    <t>TCK-000555</t>
  </si>
  <si>
    <t>2026-01-19T05:02:24Z</t>
  </si>
  <si>
    <t>TCK-000556</t>
  </si>
  <si>
    <t>2026-01-19T13:48:00Z</t>
  </si>
  <si>
    <t>TCK-000557</t>
  </si>
  <si>
    <t>2026-01-19T22:33:36Z</t>
  </si>
  <si>
    <t>TCK-000558</t>
  </si>
  <si>
    <t>2026-01-20T07:19:12Z</t>
  </si>
  <si>
    <t>TCK-000559</t>
  </si>
  <si>
    <t>2026-01-20T16:04:48Z</t>
  </si>
  <si>
    <t>TCK-000560</t>
  </si>
  <si>
    <t>2026-01-21T00:50:24Z</t>
  </si>
  <si>
    <t>TCK-000561</t>
  </si>
  <si>
    <t>2026-01-21T09:36:00Z</t>
  </si>
  <si>
    <t>TCK-000562</t>
  </si>
  <si>
    <t>2026-01-21T18:21:36Z</t>
  </si>
  <si>
    <t>TCK-000563</t>
  </si>
  <si>
    <t>2026-01-22T03:07:12Z</t>
  </si>
  <si>
    <t>TCK-000564</t>
  </si>
  <si>
    <t>2026-01-22T11:52:48Z</t>
  </si>
  <si>
    <t>TCK-000565</t>
  </si>
  <si>
    <t>2026-01-22T20:38:24Z</t>
  </si>
  <si>
    <t>TCK-000566</t>
  </si>
  <si>
    <t>2026-01-23T05:24:00Z</t>
  </si>
  <si>
    <t>TCK-000567</t>
  </si>
  <si>
    <t>2026-01-23T14:09:36Z</t>
  </si>
  <si>
    <t>TCK-000568</t>
  </si>
  <si>
    <t>2026-01-23T22:55:12Z</t>
  </si>
  <si>
    <t>TCK-000569</t>
  </si>
  <si>
    <t>2026-01-24T07:40:48Z</t>
  </si>
  <si>
    <t>TCK-000570</t>
  </si>
  <si>
    <t>2026-01-24T16:26:24Z</t>
  </si>
  <si>
    <t>TCK-000571</t>
  </si>
  <si>
    <t>2026-01-25T01:12:00Z</t>
  </si>
  <si>
    <t>TCK-000572</t>
  </si>
  <si>
    <t>2026-01-25T09:57:36Z</t>
  </si>
  <si>
    <t>TCK-000573</t>
  </si>
  <si>
    <t>2026-01-25T18:43:12Z</t>
  </si>
  <si>
    <t>TCK-000574</t>
  </si>
  <si>
    <t>2026-01-26T03:28:48Z</t>
  </si>
  <si>
    <t>TCK-000575</t>
  </si>
  <si>
    <t>2026-01-26T12:14:24Z</t>
  </si>
  <si>
    <t>TCK-000576</t>
  </si>
  <si>
    <t>2026-01-26T21:00:00Z</t>
  </si>
  <si>
    <t>TCK-000577</t>
  </si>
  <si>
    <t>2026-01-27T05:45:36Z</t>
  </si>
  <si>
    <t>TCK-000578</t>
  </si>
  <si>
    <t>2026-01-27T14:31:12Z</t>
  </si>
  <si>
    <t>TCK-000579</t>
  </si>
  <si>
    <t>2026-01-27T23:16:48Z</t>
  </si>
  <si>
    <t>TCK-000580</t>
  </si>
  <si>
    <t>2026-01-28T08:02:24Z</t>
  </si>
  <si>
    <t>TCK-000581</t>
  </si>
  <si>
    <t>2026-01-28T16:48:00Z</t>
  </si>
  <si>
    <t>TCK-000582</t>
  </si>
  <si>
    <t>2026-01-29T01:33:36Z</t>
  </si>
  <si>
    <t>TCK-000583</t>
  </si>
  <si>
    <t>2026-01-29T10:19:12Z</t>
  </si>
  <si>
    <t>TCK-000584</t>
  </si>
  <si>
    <t>2026-01-29T19:04:48Z</t>
  </si>
  <si>
    <t>TCK-000585</t>
  </si>
  <si>
    <t>2026-01-30T03:50:24Z</t>
  </si>
  <si>
    <t>TCK-000586</t>
  </si>
  <si>
    <t>2026-01-30T12:36:00Z</t>
  </si>
  <si>
    <t>TCK-000587</t>
  </si>
  <si>
    <t>2026-01-30T21:21:36Z</t>
  </si>
  <si>
    <t>TCK-000588</t>
  </si>
  <si>
    <t>2026-01-31T06:07:12Z</t>
  </si>
  <si>
    <t>TCK-000589</t>
  </si>
  <si>
    <t>2026-01-31T14:52:48Z</t>
  </si>
  <si>
    <t>TCK-000590</t>
  </si>
  <si>
    <t>2026-01-31T23:38:24Z</t>
  </si>
  <si>
    <t>TCK-000591</t>
  </si>
  <si>
    <t>2026-02-01T08:24:00Z</t>
  </si>
  <si>
    <t>TCK-000592</t>
  </si>
  <si>
    <t>2026-02-01T17:09:36Z</t>
  </si>
  <si>
    <t>TCK-000593</t>
  </si>
  <si>
    <t>2026-02-02T01:55:12Z</t>
  </si>
  <si>
    <t>TCK-000594</t>
  </si>
  <si>
    <t>2026-02-02T10:40:48Z</t>
  </si>
  <si>
    <t>TCK-000595</t>
  </si>
  <si>
    <t>2026-02-02T19:26:24Z</t>
  </si>
  <si>
    <t>TCK-000596</t>
  </si>
  <si>
    <t>2026-02-03T04:12:00Z</t>
  </si>
  <si>
    <t>TCK-000597</t>
  </si>
  <si>
    <t>2026-02-03T12:57:36Z</t>
  </si>
  <si>
    <t>TCK-000598</t>
  </si>
  <si>
    <t>2026-02-03T21:43:12Z</t>
  </si>
  <si>
    <t>TCK-000599</t>
  </si>
  <si>
    <t>2026-02-04T06:28:48Z</t>
  </si>
  <si>
    <t>TCK-000600</t>
  </si>
  <si>
    <t>2026-02-04T15:14:24Z</t>
  </si>
  <si>
    <t>TCK-000601</t>
  </si>
  <si>
    <t>2026-02-05T00:00:00Z</t>
  </si>
  <si>
    <t>TCK-000602</t>
  </si>
  <si>
    <t>2026-02-05T08:45:36Z</t>
  </si>
  <si>
    <t>TCK-000603</t>
  </si>
  <si>
    <t>2026-02-05T17:31:12Z</t>
  </si>
  <si>
    <t>TCK-000604</t>
  </si>
  <si>
    <t>2026-02-06T02:16:48Z</t>
  </si>
  <si>
    <t>TCK-000605</t>
  </si>
  <si>
    <t>2026-02-06T11:02:24Z</t>
  </si>
  <si>
    <t>TCK-000606</t>
  </si>
  <si>
    <t>2026-02-06T19:48:00Z</t>
  </si>
  <si>
    <t>TCK-000607</t>
  </si>
  <si>
    <t>2026-02-07T04:33:36Z</t>
  </si>
  <si>
    <t>TCK-000608</t>
  </si>
  <si>
    <t>2026-02-07T13:19:12Z</t>
  </si>
  <si>
    <t>TCK-000609</t>
  </si>
  <si>
    <t>2026-02-07T22:04:48Z</t>
  </si>
  <si>
    <t>TCK-000610</t>
  </si>
  <si>
    <t>2026-02-08T06:50:24Z</t>
  </si>
  <si>
    <t>TCK-000611</t>
  </si>
  <si>
    <t>2026-02-08T15:36:00Z</t>
  </si>
  <si>
    <t>TCK-000612</t>
  </si>
  <si>
    <t>2026-02-09T00:21:36Z</t>
  </si>
  <si>
    <t>TCK-000613</t>
  </si>
  <si>
    <t>2026-02-09T09:07:12Z</t>
  </si>
  <si>
    <t>TCK-000614</t>
  </si>
  <si>
    <t>2026-02-09T17:52:48Z</t>
  </si>
  <si>
    <t>TCK-000615</t>
  </si>
  <si>
    <t>2026-02-10T02:38:24Z</t>
  </si>
  <si>
    <t>TCK-000616</t>
  </si>
  <si>
    <t>2026-02-10T11:24:00Z</t>
  </si>
  <si>
    <t>TCK-000617</t>
  </si>
  <si>
    <t>2026-02-10T20:09:36Z</t>
  </si>
  <si>
    <t>TCK-000618</t>
  </si>
  <si>
    <t>2026-02-11T04:55:12Z</t>
  </si>
  <si>
    <t>TCK-000619</t>
  </si>
  <si>
    <t>2026-02-11T13:40:48Z</t>
  </si>
  <si>
    <t>TCK-000620</t>
  </si>
  <si>
    <t>2026-02-11T22:26:24Z</t>
  </si>
  <si>
    <t>TCK-000621</t>
  </si>
  <si>
    <t>2026-02-12T07:12:00Z</t>
  </si>
  <si>
    <t>TCK-000622</t>
  </si>
  <si>
    <t>2026-02-12T15:57:36Z</t>
  </si>
  <si>
    <t>TCK-000623</t>
  </si>
  <si>
    <t>2026-02-13T00:43:12Z</t>
  </si>
  <si>
    <t>TCK-000624</t>
  </si>
  <si>
    <t>2026-02-13T09:28:48Z</t>
  </si>
  <si>
    <t>TCK-000625</t>
  </si>
  <si>
    <t>2026-02-13T18:14:24Z</t>
  </si>
  <si>
    <t>TCK-000626</t>
  </si>
  <si>
    <t>2026-02-14T03:00:00Z</t>
  </si>
  <si>
    <t>TCK-000627</t>
  </si>
  <si>
    <t>2026-02-14T11:45:36Z</t>
  </si>
  <si>
    <t>TCK-000628</t>
  </si>
  <si>
    <t>2026-02-14T20:31:12Z</t>
  </si>
  <si>
    <t>TCK-000629</t>
  </si>
  <si>
    <t>2026-02-15T05:16:48Z</t>
  </si>
  <si>
    <t>TCK-000630</t>
  </si>
  <si>
    <t>2026-02-15T14:02:24Z</t>
  </si>
  <si>
    <t>TCK-000631</t>
  </si>
  <si>
    <t>2026-02-15T22:48:00Z</t>
  </si>
  <si>
    <t>TCK-000632</t>
  </si>
  <si>
    <t>2026-02-16T07:33:36Z</t>
  </si>
  <si>
    <t>TCK-000633</t>
  </si>
  <si>
    <t>2026-02-16T16:19:12Z</t>
  </si>
  <si>
    <t>TCK-000634</t>
  </si>
  <si>
    <t>2026-02-17T01:04:48Z</t>
  </si>
  <si>
    <t>TCK-000635</t>
  </si>
  <si>
    <t>2026-02-17T09:50:24Z</t>
  </si>
  <si>
    <t>TCK-000636</t>
  </si>
  <si>
    <t>2026-02-17T18:36:00Z</t>
  </si>
  <si>
    <t>TCK-000637</t>
  </si>
  <si>
    <t>2026-02-18T03:21:36Z</t>
  </si>
  <si>
    <t>TCK-000638</t>
  </si>
  <si>
    <t>2026-02-18T12:07:12Z</t>
  </si>
  <si>
    <t>TCK-000639</t>
  </si>
  <si>
    <t>2026-02-18T20:52:48Z</t>
  </si>
  <si>
    <t>TCK-000640</t>
  </si>
  <si>
    <t>2026-02-19T05:38:24Z</t>
  </si>
  <si>
    <t>TCK-000641</t>
  </si>
  <si>
    <t>2026-02-19T14:24:00Z</t>
  </si>
  <si>
    <t>TCK-000642</t>
  </si>
  <si>
    <t>2026-02-19T23:09:36Z</t>
  </si>
  <si>
    <t>TCK-000643</t>
  </si>
  <si>
    <t>2026-02-20T07:55:12Z</t>
  </si>
  <si>
    <t>TCK-000644</t>
  </si>
  <si>
    <t>2026-02-20T16:40:48Z</t>
  </si>
  <si>
    <t>TCK-000645</t>
  </si>
  <si>
    <t>2026-02-21T01:26:24Z</t>
  </si>
  <si>
    <t>TCK-000646</t>
  </si>
  <si>
    <t>2026-02-21T10:12:00Z</t>
  </si>
  <si>
    <t>TCK-000647</t>
  </si>
  <si>
    <t>2026-02-21T18:57:36Z</t>
  </si>
  <si>
    <t>TCK-000648</t>
  </si>
  <si>
    <t>2026-02-22T03:43:12Z</t>
  </si>
  <si>
    <t>TCK-000649</t>
  </si>
  <si>
    <t>2026-02-22T12:28:48Z</t>
  </si>
  <si>
    <t>TCK-000650</t>
  </si>
  <si>
    <t>2026-02-22T21:14:24Z</t>
  </si>
  <si>
    <t>TCK-000651</t>
  </si>
  <si>
    <t>2026-02-23T06:00:00Z</t>
  </si>
  <si>
    <t>TCK-000652</t>
  </si>
  <si>
    <t>2026-02-23T14:45:36Z</t>
  </si>
  <si>
    <t>TCK-000653</t>
  </si>
  <si>
    <t>2026-02-23T23:31:12Z</t>
  </si>
  <si>
    <t>TCK-000654</t>
  </si>
  <si>
    <t>2026-02-24T08:16:48Z</t>
  </si>
  <si>
    <t>TCK-000655</t>
  </si>
  <si>
    <t>2026-02-24T17:02:24Z</t>
  </si>
  <si>
    <t>TCK-000656</t>
  </si>
  <si>
    <t>2026-02-25T01:48:00Z</t>
  </si>
  <si>
    <t>TCK-000657</t>
  </si>
  <si>
    <t>2026-02-25T10:33:36Z</t>
  </si>
  <si>
    <t>TCK-000658</t>
  </si>
  <si>
    <t>2026-02-25T19:19:12Z</t>
  </si>
  <si>
    <t>TCK-000659</t>
  </si>
  <si>
    <t>2026-02-26T04:04:48Z</t>
  </si>
  <si>
    <t>TCK-000660</t>
  </si>
  <si>
    <t>2026-02-26T12:50:24Z</t>
  </si>
  <si>
    <t>TCK-000661</t>
  </si>
  <si>
    <t>2026-02-26T21:36:00Z</t>
  </si>
  <si>
    <t>TCK-000662</t>
  </si>
  <si>
    <t>2026-02-27T06:21:36Z</t>
  </si>
  <si>
    <t>TCK-000663</t>
  </si>
  <si>
    <t>2026-02-27T15:07:12Z</t>
  </si>
  <si>
    <t>TCK-000664</t>
  </si>
  <si>
    <t>2026-02-27T23:52:48Z</t>
  </si>
  <si>
    <t>TCK-000665</t>
  </si>
  <si>
    <t>2026-02-28T08:38:24Z</t>
  </si>
  <si>
    <t>TCK-000666</t>
  </si>
  <si>
    <t>2026-02-28T17:24:00Z</t>
  </si>
  <si>
    <t>TCK-000667</t>
  </si>
  <si>
    <t>2026-03-01T02:09:36Z</t>
  </si>
  <si>
    <t>TCK-000668</t>
  </si>
  <si>
    <t>2026-03-01T10:55:12Z</t>
  </si>
  <si>
    <t>TCK-000669</t>
  </si>
  <si>
    <t>2026-03-01T19:40:48Z</t>
  </si>
  <si>
    <t>TCK-000670</t>
  </si>
  <si>
    <t>2026-03-02T04:26:24Z</t>
  </si>
  <si>
    <t>TCK-000671</t>
  </si>
  <si>
    <t>2026-03-02T13:12:00Z</t>
  </si>
  <si>
    <t>TCK-000672</t>
  </si>
  <si>
    <t>2026-03-02T21:57:36Z</t>
  </si>
  <si>
    <t>TCK-000673</t>
  </si>
  <si>
    <t>2026-03-03T06:43:12Z</t>
  </si>
  <si>
    <t>TCK-000674</t>
  </si>
  <si>
    <t>2026-03-03T15:28:48Z</t>
  </si>
  <si>
    <t>TCK-000675</t>
  </si>
  <si>
    <t>2026-03-04T00:14:24Z</t>
  </si>
  <si>
    <t>TCK-000676</t>
  </si>
  <si>
    <t>2026-03-04T09:00:00Z</t>
  </si>
  <si>
    <t>TCK-000677</t>
  </si>
  <si>
    <t>2026-03-04T17:45:36Z</t>
  </si>
  <si>
    <t>TCK-000678</t>
  </si>
  <si>
    <t>2026-03-05T02:31:12Z</t>
  </si>
  <si>
    <t>TCK-000679</t>
  </si>
  <si>
    <t>2026-03-05T11:16:48Z</t>
  </si>
  <si>
    <t>TCK-000680</t>
  </si>
  <si>
    <t>2026-03-05T20:02:24Z</t>
  </si>
  <si>
    <t>TCK-000681</t>
  </si>
  <si>
    <t>2026-03-06T04:48:00Z</t>
  </si>
  <si>
    <t>TCK-000682</t>
  </si>
  <si>
    <t>2026-03-06T13:33:36Z</t>
  </si>
  <si>
    <t>TCK-000683</t>
  </si>
  <si>
    <t>2026-03-06T22:19:12Z</t>
  </si>
  <si>
    <t>TCK-000684</t>
  </si>
  <si>
    <t>2026-03-07T07:04:48Z</t>
  </si>
  <si>
    <t>TCK-000685</t>
  </si>
  <si>
    <t>2026-03-07T15:50:24Z</t>
  </si>
  <si>
    <t>TCK-000686</t>
  </si>
  <si>
    <t>2026-03-08T00:36:00Z</t>
  </si>
  <si>
    <t>TCK-000687</t>
  </si>
  <si>
    <t>2026-03-08T09:21:36Z</t>
  </si>
  <si>
    <t>TCK-000688</t>
  </si>
  <si>
    <t>2026-03-08T18:07:12Z</t>
  </si>
  <si>
    <t>TCK-000689</t>
  </si>
  <si>
    <t>2026-03-09T02:52:48Z</t>
  </si>
  <si>
    <t>TCK-000690</t>
  </si>
  <si>
    <t>2026-03-09T11:38:24Z</t>
  </si>
  <si>
    <t>TCK-000691</t>
  </si>
  <si>
    <t>2026-03-09T20:24:00Z</t>
  </si>
  <si>
    <t>TCK-000692</t>
  </si>
  <si>
    <t>2026-03-10T05:09:36Z</t>
  </si>
  <si>
    <t>TCK-000693</t>
  </si>
  <si>
    <t>2026-03-10T13:55:12Z</t>
  </si>
  <si>
    <t>TCK-000694</t>
  </si>
  <si>
    <t>2026-03-10T22:40:48Z</t>
  </si>
  <si>
    <t>TCK-000695</t>
  </si>
  <si>
    <t>2026-03-11T07:26:24Z</t>
  </si>
  <si>
    <t>TCK-000696</t>
  </si>
  <si>
    <t>2026-03-11T16:12:00Z</t>
  </si>
  <si>
    <t>TCK-000697</t>
  </si>
  <si>
    <t>2026-03-12T00:57:36Z</t>
  </si>
  <si>
    <t>TCK-000698</t>
  </si>
  <si>
    <t>2026-03-12T09:43:12Z</t>
  </si>
  <si>
    <t>TCK-000699</t>
  </si>
  <si>
    <t>2026-03-12T18:28:48Z</t>
  </si>
  <si>
    <t>TCK-000700</t>
  </si>
  <si>
    <t>2026-03-13T03:14:24Z</t>
  </si>
  <si>
    <t>TCK-000701</t>
  </si>
  <si>
    <t>2026-03-13T12:00:00Z</t>
  </si>
  <si>
    <t>TCK-000702</t>
  </si>
  <si>
    <t>2026-03-13T20:45:36Z</t>
  </si>
  <si>
    <t>TCK-000703</t>
  </si>
  <si>
    <t>2026-03-14T05:31:12Z</t>
  </si>
  <si>
    <t>TCK-000704</t>
  </si>
  <si>
    <t>2026-03-14T14:16:48Z</t>
  </si>
  <si>
    <t>TCK-000705</t>
  </si>
  <si>
    <t>2026-03-14T23:02:24Z</t>
  </si>
  <si>
    <t>TCK-000706</t>
  </si>
  <si>
    <t>2026-03-15T07:48:00Z</t>
  </si>
  <si>
    <t>TCK-000707</t>
  </si>
  <si>
    <t>2026-03-15T16:33:36Z</t>
  </si>
  <si>
    <t>TCK-000708</t>
  </si>
  <si>
    <t>2026-03-16T01:19:12Z</t>
  </si>
  <si>
    <t>TCK-000709</t>
  </si>
  <si>
    <t>2026-03-16T10:04:48Z</t>
  </si>
  <si>
    <t>TCK-000710</t>
  </si>
  <si>
    <t>2026-03-16T18:50:24Z</t>
  </si>
  <si>
    <t>TCK-000711</t>
  </si>
  <si>
    <t>2026-03-17T03:36:00Z</t>
  </si>
  <si>
    <t>TCK-000712</t>
  </si>
  <si>
    <t>2026-03-17T12:21:36Z</t>
  </si>
  <si>
    <t>TCK-000713</t>
  </si>
  <si>
    <t>2026-03-17T21:07:12Z</t>
  </si>
  <si>
    <t>TCK-000714</t>
  </si>
  <si>
    <t>2026-03-18T05:52:48Z</t>
  </si>
  <si>
    <t>TCK-000715</t>
  </si>
  <si>
    <t>2026-03-18T14:38:24Z</t>
  </si>
  <si>
    <t>TCK-000716</t>
  </si>
  <si>
    <t>2026-03-18T23:24:00Z</t>
  </si>
  <si>
    <t>TCK-000717</t>
  </si>
  <si>
    <t>2026-03-19T08:09:36Z</t>
  </si>
  <si>
    <t>TCK-000718</t>
  </si>
  <si>
    <t>2026-03-19T16:55:12Z</t>
  </si>
  <si>
    <t>TCK-000719</t>
  </si>
  <si>
    <t>2026-03-20T01:40:48Z</t>
  </si>
  <si>
    <t>TCK-000720</t>
  </si>
  <si>
    <t>2026-03-20T10:26:24Z</t>
  </si>
  <si>
    <t>TCK-000721</t>
  </si>
  <si>
    <t>2026-03-20T19:12:00Z</t>
  </si>
  <si>
    <t>TCK-000722</t>
  </si>
  <si>
    <t>2026-03-21T03:57:36Z</t>
  </si>
  <si>
    <t>TCK-000723</t>
  </si>
  <si>
    <t>2026-03-21T12:43:12Z</t>
  </si>
  <si>
    <t>TCK-000724</t>
  </si>
  <si>
    <t>2026-03-21T21:28:48Z</t>
  </si>
  <si>
    <t>TCK-000725</t>
  </si>
  <si>
    <t>2026-03-22T06:14:24Z</t>
  </si>
  <si>
    <t>TCK-000726</t>
  </si>
  <si>
    <t>2026-03-22T15:00:00Z</t>
  </si>
  <si>
    <t>TCK-000727</t>
  </si>
  <si>
    <t>2026-03-22T23:45:36Z</t>
  </si>
  <si>
    <t>TCK-000728</t>
  </si>
  <si>
    <t>2026-03-23T08:31:12Z</t>
  </si>
  <si>
    <t>TCK-000729</t>
  </si>
  <si>
    <t>2026-03-23T17:16:48Z</t>
  </si>
  <si>
    <t>TCK-000730</t>
  </si>
  <si>
    <t>2026-03-24T02:02:24Z</t>
  </si>
  <si>
    <t>TCK-000731</t>
  </si>
  <si>
    <t>2026-03-24T10:48:00Z</t>
  </si>
  <si>
    <t>TCK-000732</t>
  </si>
  <si>
    <t>2026-03-24T19:33:36Z</t>
  </si>
  <si>
    <t>TCK-000733</t>
  </si>
  <si>
    <t>2026-03-25T04:19:12Z</t>
  </si>
  <si>
    <t>TCK-000734</t>
  </si>
  <si>
    <t>2026-03-25T13:04:48Z</t>
  </si>
  <si>
    <t>TCK-000735</t>
  </si>
  <si>
    <t>2026-03-25T21:50:24Z</t>
  </si>
  <si>
    <t>TCK-000736</t>
  </si>
  <si>
    <t>2026-03-26T06:36:00Z</t>
  </si>
  <si>
    <t>TCK-000737</t>
  </si>
  <si>
    <t>2026-03-26T15:21:36Z</t>
  </si>
  <si>
    <t>TCK-000738</t>
  </si>
  <si>
    <t>2026-03-27T00:07:12Z</t>
  </si>
  <si>
    <t>TCK-000739</t>
  </si>
  <si>
    <t>2026-03-27T08:52:48Z</t>
  </si>
  <si>
    <t>TCK-000740</t>
  </si>
  <si>
    <t>2026-03-27T17:38:24Z</t>
  </si>
  <si>
    <t>TCK-000741</t>
  </si>
  <si>
    <t>2026-03-28T02:24:00Z</t>
  </si>
  <si>
    <t>TCK-000742</t>
  </si>
  <si>
    <t>2026-03-28T11:09:36Z</t>
  </si>
  <si>
    <t>TCK-000743</t>
  </si>
  <si>
    <t>2026-03-28T19:55:12Z</t>
  </si>
  <si>
    <t>TCK-000744</t>
  </si>
  <si>
    <t>2026-03-29T04:40:48Z</t>
  </si>
  <si>
    <t>TCK-000745</t>
  </si>
  <si>
    <t>2026-03-29T13:26:24Z</t>
  </si>
  <si>
    <t>TCK-000746</t>
  </si>
  <si>
    <t>2026-03-29T22:12:00Z</t>
  </si>
  <si>
    <t>TCK-000747</t>
  </si>
  <si>
    <t>2026-03-30T06:57:36Z</t>
  </si>
  <si>
    <t>TCK-000748</t>
  </si>
  <si>
    <t>2026-03-30T15:43:12Z</t>
  </si>
  <si>
    <t>TCK-000749</t>
  </si>
  <si>
    <t>2026-03-31T00:28:48Z</t>
  </si>
  <si>
    <t>TCK-000750</t>
  </si>
  <si>
    <t>2026-03-31T09:14:24Z</t>
  </si>
  <si>
    <t>TCK-000751</t>
  </si>
  <si>
    <t>2026-03-31T18:00:00Z</t>
  </si>
  <si>
    <t>TCK-000752</t>
  </si>
  <si>
    <t>2026-04-01T02:45:36Z</t>
  </si>
  <si>
    <t>TCK-000753</t>
  </si>
  <si>
    <t>2026-04-01T11:31:12Z</t>
  </si>
  <si>
    <t>TCK-000754</t>
  </si>
  <si>
    <t>2026-04-01T20:16:48Z</t>
  </si>
  <si>
    <t>TCK-000755</t>
  </si>
  <si>
    <t>2026-04-02T05:02:24Z</t>
  </si>
  <si>
    <t>TCK-000756</t>
  </si>
  <si>
    <t>2026-04-02T13:48:00Z</t>
  </si>
  <si>
    <t>TCK-000757</t>
  </si>
  <si>
    <t>2026-04-02T22:33:36Z</t>
  </si>
  <si>
    <t>TCK-000758</t>
  </si>
  <si>
    <t>2026-04-03T07:19:12Z</t>
  </si>
  <si>
    <t>TCK-000759</t>
  </si>
  <si>
    <t>2026-04-03T16:04:48Z</t>
  </si>
  <si>
    <t>TCK-000760</t>
  </si>
  <si>
    <t>2026-04-04T00:50:24Z</t>
  </si>
  <si>
    <t>TCK-000761</t>
  </si>
  <si>
    <t>2026-04-04T09:36:00Z</t>
  </si>
  <si>
    <t>TCK-000762</t>
  </si>
  <si>
    <t>2026-04-04T18:21:36Z</t>
  </si>
  <si>
    <t>TCK-000763</t>
  </si>
  <si>
    <t>2026-04-05T03:07:12Z</t>
  </si>
  <si>
    <t>TCK-000764</t>
  </si>
  <si>
    <t>2026-04-05T11:52:48Z</t>
  </si>
  <si>
    <t>TCK-000765</t>
  </si>
  <si>
    <t>2026-04-05T20:38:24Z</t>
  </si>
  <si>
    <t>TCK-000766</t>
  </si>
  <si>
    <t>2026-04-06T05:24:00Z</t>
  </si>
  <si>
    <t>TCK-000767</t>
  </si>
  <si>
    <t>2026-04-06T14:09:36Z</t>
  </si>
  <si>
    <t>TCK-000768</t>
  </si>
  <si>
    <t>2026-04-06T22:55:12Z</t>
  </si>
  <si>
    <t>TCK-000769</t>
  </si>
  <si>
    <t>2026-04-07T07:40:48Z</t>
  </si>
  <si>
    <t>TCK-000770</t>
  </si>
  <si>
    <t>2026-04-07T16:26:24Z</t>
  </si>
  <si>
    <t>TCK-000771</t>
  </si>
  <si>
    <t>2026-04-08T01:12:00Z</t>
  </si>
  <si>
    <t>TCK-000772</t>
  </si>
  <si>
    <t>2026-04-08T09:57:36Z</t>
  </si>
  <si>
    <t>TCK-000773</t>
  </si>
  <si>
    <t>2026-04-08T18:43:12Z</t>
  </si>
  <si>
    <t>TCK-000774</t>
  </si>
  <si>
    <t>2026-04-09T03:28:48Z</t>
  </si>
  <si>
    <t>TCK-000775</t>
  </si>
  <si>
    <t>2026-04-09T12:14:24Z</t>
  </si>
  <si>
    <t>TCK-000776</t>
  </si>
  <si>
    <t>2026-04-09T21:00:00Z</t>
  </si>
  <si>
    <t>TCK-000777</t>
  </si>
  <si>
    <t>2026-04-10T05:45:36Z</t>
  </si>
  <si>
    <t>TCK-000778</t>
  </si>
  <si>
    <t>2026-04-10T14:31:12Z</t>
  </si>
  <si>
    <t>TCK-000779</t>
  </si>
  <si>
    <t>2026-04-10T23:16:48Z</t>
  </si>
  <si>
    <t>TCK-000780</t>
  </si>
  <si>
    <t>2026-04-11T08:02:24Z</t>
  </si>
  <si>
    <t>TCK-000781</t>
  </si>
  <si>
    <t>2026-04-11T16:48:00Z</t>
  </si>
  <si>
    <t>TCK-000782</t>
  </si>
  <si>
    <t>2026-04-12T01:33:36Z</t>
  </si>
  <si>
    <t>TCK-000783</t>
  </si>
  <si>
    <t>2026-04-12T10:19:12Z</t>
  </si>
  <si>
    <t>TCK-000784</t>
  </si>
  <si>
    <t>2026-04-12T19:04:48Z</t>
  </si>
  <si>
    <t>TCK-000785</t>
  </si>
  <si>
    <t>2026-04-13T03:50:24Z</t>
  </si>
  <si>
    <t>TCK-000786</t>
  </si>
  <si>
    <t>2026-04-13T12:36:00Z</t>
  </si>
  <si>
    <t>TCK-000787</t>
  </si>
  <si>
    <t>2026-04-13T21:21:36Z</t>
  </si>
  <si>
    <t>TCK-000788</t>
  </si>
  <si>
    <t>2026-04-14T06:07:12Z</t>
  </si>
  <si>
    <t>TCK-000789</t>
  </si>
  <si>
    <t>2026-04-14T14:52:48Z</t>
  </si>
  <si>
    <t>TCK-000790</t>
  </si>
  <si>
    <t>2026-04-14T23:38:24Z</t>
  </si>
  <si>
    <t>TCK-000791</t>
  </si>
  <si>
    <t>2026-04-15T08:24:00Z</t>
  </si>
  <si>
    <t>TCK-000792</t>
  </si>
  <si>
    <t>2026-04-15T17:09:36Z</t>
  </si>
  <si>
    <t>TCK-000793</t>
  </si>
  <si>
    <t>2026-04-16T01:55:12Z</t>
  </si>
  <si>
    <t>TCK-000794</t>
  </si>
  <si>
    <t>2026-04-16T10:40:48Z</t>
  </si>
  <si>
    <t>TCK-000795</t>
  </si>
  <si>
    <t>2026-04-16T19:26:24Z</t>
  </si>
  <si>
    <t>TCK-000796</t>
  </si>
  <si>
    <t>2026-04-17T04:12:00Z</t>
  </si>
  <si>
    <t>TCK-000797</t>
  </si>
  <si>
    <t>2026-04-17T12:57:36Z</t>
  </si>
  <si>
    <t>TCK-000798</t>
  </si>
  <si>
    <t>2026-04-17T21:43:12Z</t>
  </si>
  <si>
    <t>TCK-000799</t>
  </si>
  <si>
    <t>2026-04-18T06:28:48Z</t>
  </si>
  <si>
    <t>TCK-000800</t>
  </si>
  <si>
    <t>2026-04-18T15:14:24Z</t>
  </si>
  <si>
    <t>TCK-000801</t>
  </si>
  <si>
    <t>2026-04-19T00:00:00Z</t>
  </si>
  <si>
    <t>TCK-000802</t>
  </si>
  <si>
    <t>2026-04-19T08:45:36Z</t>
  </si>
  <si>
    <t>TCK-000803</t>
  </si>
  <si>
    <t>2026-04-19T17:31:12Z</t>
  </si>
  <si>
    <t>TCK-000804</t>
  </si>
  <si>
    <t>2026-04-20T02:16:48Z</t>
  </si>
  <si>
    <t>TCK-000805</t>
  </si>
  <si>
    <t>2026-04-20T11:02:24Z</t>
  </si>
  <si>
    <t>TCK-000806</t>
  </si>
  <si>
    <t>2026-04-20T19:48:00Z</t>
  </si>
  <si>
    <t>TCK-000807</t>
  </si>
  <si>
    <t>2026-04-21T04:33:36Z</t>
  </si>
  <si>
    <t>TCK-000808</t>
  </si>
  <si>
    <t>2026-04-21T13:19:12Z</t>
  </si>
  <si>
    <t>TCK-000809</t>
  </si>
  <si>
    <t>2026-04-21T22:04:48Z</t>
  </si>
  <si>
    <t>TCK-000810</t>
  </si>
  <si>
    <t>2026-04-22T06:50:24Z</t>
  </si>
  <si>
    <t>TCK-000811</t>
  </si>
  <si>
    <t>2026-04-22T15:36:00Z</t>
  </si>
  <si>
    <t>TCK-000812</t>
  </si>
  <si>
    <t>2026-04-23T00:21:36Z</t>
  </si>
  <si>
    <t>TCK-000813</t>
  </si>
  <si>
    <t>2026-04-23T09:07:12Z</t>
  </si>
  <si>
    <t>TCK-000814</t>
  </si>
  <si>
    <t>2026-04-23T17:52:48Z</t>
  </si>
  <si>
    <t>TCK-000815</t>
  </si>
  <si>
    <t>2026-04-24T02:38:24Z</t>
  </si>
  <si>
    <t>TCK-000816</t>
  </si>
  <si>
    <t>2026-04-24T11:24:00Z</t>
  </si>
  <si>
    <t>TCK-000817</t>
  </si>
  <si>
    <t>2026-04-24T20:09:36Z</t>
  </si>
  <si>
    <t>TCK-000818</t>
  </si>
  <si>
    <t>2026-04-25T04:55:12Z</t>
  </si>
  <si>
    <t>TCK-000819</t>
  </si>
  <si>
    <t>2026-04-25T13:40:48Z</t>
  </si>
  <si>
    <t>TCK-000820</t>
  </si>
  <si>
    <t>2026-04-25T22:26:24Z</t>
  </si>
  <si>
    <t>TCK-000821</t>
  </si>
  <si>
    <t>2026-04-26T07:12:00Z</t>
  </si>
  <si>
    <t>TCK-000822</t>
  </si>
  <si>
    <t>2026-04-26T15:57:36Z</t>
  </si>
  <si>
    <t>TCK-000823</t>
  </si>
  <si>
    <t>2026-04-27T00:43:12Z</t>
  </si>
  <si>
    <t>TCK-000824</t>
  </si>
  <si>
    <t>2026-04-27T09:28:48Z</t>
  </si>
  <si>
    <t>TCK-000825</t>
  </si>
  <si>
    <t>2026-04-27T18:14:24Z</t>
  </si>
  <si>
    <t>TCK-000826</t>
  </si>
  <si>
    <t>2026-04-28T03:00:00Z</t>
  </si>
  <si>
    <t>TCK-000827</t>
  </si>
  <si>
    <t>2026-04-28T11:45:36Z</t>
  </si>
  <si>
    <t>TCK-000828</t>
  </si>
  <si>
    <t>2026-04-28T20:31:12Z</t>
  </si>
  <si>
    <t>TCK-000829</t>
  </si>
  <si>
    <t>2026-04-29T05:16:48Z</t>
  </si>
  <si>
    <t>TCK-000830</t>
  </si>
  <si>
    <t>2026-04-29T14:02:24Z</t>
  </si>
  <si>
    <t>TCK-000831</t>
  </si>
  <si>
    <t>2026-04-29T22:48:00Z</t>
  </si>
  <si>
    <t>TCK-000832</t>
  </si>
  <si>
    <t>2026-04-30T07:33:36Z</t>
  </si>
  <si>
    <t>TCK-000833</t>
  </si>
  <si>
    <t>2026-04-30T16:19:12Z</t>
  </si>
  <si>
    <t>TCK-000834</t>
  </si>
  <si>
    <t>2026-05-01T01:04:48Z</t>
  </si>
  <si>
    <t>TCK-000835</t>
  </si>
  <si>
    <t>2026-05-01T09:50:24Z</t>
  </si>
  <si>
    <t>TCK-000836</t>
  </si>
  <si>
    <t>2026-05-01T18:36:00Z</t>
  </si>
  <si>
    <t>TCK-000837</t>
  </si>
  <si>
    <t>2026-05-02T03:21:36Z</t>
  </si>
  <si>
    <t>TCK-000838</t>
  </si>
  <si>
    <t>2026-05-02T12:07:12Z</t>
  </si>
  <si>
    <t>TCK-000839</t>
  </si>
  <si>
    <t>2026-05-02T20:52:48Z</t>
  </si>
  <si>
    <t>TCK-000840</t>
  </si>
  <si>
    <t>2026-05-03T05:38:24Z</t>
  </si>
  <si>
    <t>TCK-000841</t>
  </si>
  <si>
    <t>2026-05-03T14:24:00Z</t>
  </si>
  <si>
    <t>TCK-000842</t>
  </si>
  <si>
    <t>2026-05-03T23:09:36Z</t>
  </si>
  <si>
    <t>TCK-000843</t>
  </si>
  <si>
    <t>2026-05-04T07:55:12Z</t>
  </si>
  <si>
    <t>TCK-000844</t>
  </si>
  <si>
    <t>2026-05-04T16:40:48Z</t>
  </si>
  <si>
    <t>TCK-000845</t>
  </si>
  <si>
    <t>2026-05-05T01:26:24Z</t>
  </si>
  <si>
    <t>TCK-000846</t>
  </si>
  <si>
    <t>2026-05-05T10:12:00Z</t>
  </si>
  <si>
    <t>TCK-000847</t>
  </si>
  <si>
    <t>2026-05-05T18:57:36Z</t>
  </si>
  <si>
    <t>TCK-000848</t>
  </si>
  <si>
    <t>2026-05-06T03:43:12Z</t>
  </si>
  <si>
    <t>TCK-000849</t>
  </si>
  <si>
    <t>2026-05-06T12:28:48Z</t>
  </si>
  <si>
    <t>TCK-000850</t>
  </si>
  <si>
    <t>2026-05-06T21:14:24Z</t>
  </si>
  <si>
    <t>TCK-000851</t>
  </si>
  <si>
    <t>2026-05-07T06:00:00Z</t>
  </si>
  <si>
    <t>TCK-000852</t>
  </si>
  <si>
    <t>2026-05-07T14:45:36Z</t>
  </si>
  <si>
    <t>TCK-000853</t>
  </si>
  <si>
    <t>2026-05-07T23:31:12Z</t>
  </si>
  <si>
    <t>TCK-000854</t>
  </si>
  <si>
    <t>2026-05-08T08:16:48Z</t>
  </si>
  <si>
    <t>TCK-000855</t>
  </si>
  <si>
    <t>2026-05-08T17:02:24Z</t>
  </si>
  <si>
    <t>TCK-000856</t>
  </si>
  <si>
    <t>2026-05-09T01:48:00Z</t>
  </si>
  <si>
    <t>TCK-000857</t>
  </si>
  <si>
    <t>2026-05-09T10:33:36Z</t>
  </si>
  <si>
    <t>TCK-000858</t>
  </si>
  <si>
    <t>2026-05-09T19:19:12Z</t>
  </si>
  <si>
    <t>TCK-000859</t>
  </si>
  <si>
    <t>2026-05-10T04:04:48Z</t>
  </si>
  <si>
    <t>TCK-000860</t>
  </si>
  <si>
    <t>2026-05-10T12:50:24Z</t>
  </si>
  <si>
    <t>TCK-000861</t>
  </si>
  <si>
    <t>2026-05-10T21:36:00Z</t>
  </si>
  <si>
    <t>TCK-000862</t>
  </si>
  <si>
    <t>2026-05-11T06:21:36Z</t>
  </si>
  <si>
    <t>TCK-000863</t>
  </si>
  <si>
    <t>2026-05-11T15:07:12Z</t>
  </si>
  <si>
    <t>TCK-000864</t>
  </si>
  <si>
    <t>2026-05-11T23:52:48Z</t>
  </si>
  <si>
    <t>TCK-000865</t>
  </si>
  <si>
    <t>2026-05-12T08:38:24Z</t>
  </si>
  <si>
    <t>TCK-000866</t>
  </si>
  <si>
    <t>2026-05-12T17:24:00Z</t>
  </si>
  <si>
    <t>TCK-000867</t>
  </si>
  <si>
    <t>2026-05-13T02:09:36Z</t>
  </si>
  <si>
    <t>TCK-000868</t>
  </si>
  <si>
    <t>2026-05-13T10:55:12Z</t>
  </si>
  <si>
    <t>TCK-000869</t>
  </si>
  <si>
    <t>2026-05-13T19:40:48Z</t>
  </si>
  <si>
    <t>TCK-000870</t>
  </si>
  <si>
    <t>2026-05-14T04:26:24Z</t>
  </si>
  <si>
    <t>TCK-000871</t>
  </si>
  <si>
    <t>2026-05-14T13:12:00Z</t>
  </si>
  <si>
    <t>TCK-000872</t>
  </si>
  <si>
    <t>2026-05-14T21:57:36Z</t>
  </si>
  <si>
    <t>TCK-000873</t>
  </si>
  <si>
    <t>2026-05-15T06:43:12Z</t>
  </si>
  <si>
    <t>TCK-000874</t>
  </si>
  <si>
    <t>2026-05-15T15:28:48Z</t>
  </si>
  <si>
    <t>TCK-000875</t>
  </si>
  <si>
    <t>2026-05-16T00:14:24Z</t>
  </si>
  <si>
    <t>TCK-000876</t>
  </si>
  <si>
    <t>2026-05-16T09:00:00Z</t>
  </si>
  <si>
    <t>TCK-000877</t>
  </si>
  <si>
    <t>2026-05-16T17:45:36Z</t>
  </si>
  <si>
    <t>TCK-000878</t>
  </si>
  <si>
    <t>2026-05-17T02:31:12Z</t>
  </si>
  <si>
    <t>TCK-000879</t>
  </si>
  <si>
    <t>2026-05-17T11:16:48Z</t>
  </si>
  <si>
    <t>TCK-000880</t>
  </si>
  <si>
    <t>2026-05-17T20:02:24Z</t>
  </si>
  <si>
    <t>TCK-000881</t>
  </si>
  <si>
    <t>2026-05-18T04:48:00Z</t>
  </si>
  <si>
    <t>TCK-000882</t>
  </si>
  <si>
    <t>2026-05-18T13:33:36Z</t>
  </si>
  <si>
    <t>TCK-000883</t>
  </si>
  <si>
    <t>2026-05-18T22:19:12Z</t>
  </si>
  <si>
    <t>TCK-000884</t>
  </si>
  <si>
    <t>2026-05-19T07:04:48Z</t>
  </si>
  <si>
    <t>TCK-000885</t>
  </si>
  <si>
    <t>2026-05-19T15:50:24Z</t>
  </si>
  <si>
    <t>TCK-000886</t>
  </si>
  <si>
    <t>2026-05-20T00:36:00Z</t>
  </si>
  <si>
    <t>TCK-000887</t>
  </si>
  <si>
    <t>2026-05-20T09:21:36Z</t>
  </si>
  <si>
    <t>TCK-000888</t>
  </si>
  <si>
    <t>2026-05-20T18:07:12Z</t>
  </si>
  <si>
    <t>TCK-000889</t>
  </si>
  <si>
    <t>2026-05-21T02:52:48Z</t>
  </si>
  <si>
    <t>TCK-000890</t>
  </si>
  <si>
    <t>2026-05-21T11:38:24Z</t>
  </si>
  <si>
    <t>TCK-000891</t>
  </si>
  <si>
    <t>2026-05-21T20:24:00Z</t>
  </si>
  <si>
    <t>TCK-000892</t>
  </si>
  <si>
    <t>2026-05-22T05:09:36Z</t>
  </si>
  <si>
    <t>TCK-000893</t>
  </si>
  <si>
    <t>2026-05-22T13:55:12Z</t>
  </si>
  <si>
    <t>TCK-000894</t>
  </si>
  <si>
    <t>2026-05-22T22:40:48Z</t>
  </si>
  <si>
    <t>TCK-000895</t>
  </si>
  <si>
    <t>2026-05-23T07:26:24Z</t>
  </si>
  <si>
    <t>TCK-000896</t>
  </si>
  <si>
    <t>2026-05-23T16:12:00Z</t>
  </si>
  <si>
    <t>TCK-000897</t>
  </si>
  <si>
    <t>2026-05-24T00:57:36Z</t>
  </si>
  <si>
    <t>TCK-000898</t>
  </si>
  <si>
    <t>2026-05-24T09:43:12Z</t>
  </si>
  <si>
    <t>TCK-000899</t>
  </si>
  <si>
    <t>2026-05-24T18:28:48Z</t>
  </si>
  <si>
    <t>TCK-000900</t>
  </si>
  <si>
    <t>2026-05-25T03:14:24Z</t>
  </si>
  <si>
    <t>TCK-000901</t>
  </si>
  <si>
    <t>2026-05-25T12:00:00Z</t>
  </si>
  <si>
    <t>TCK-000902</t>
  </si>
  <si>
    <t>2026-05-25T20:45:36Z</t>
  </si>
  <si>
    <t>TCK-000903</t>
  </si>
  <si>
    <t>2026-05-26T05:31:12Z</t>
  </si>
  <si>
    <t>TCK-000904</t>
  </si>
  <si>
    <t>2026-05-26T14:16:48Z</t>
  </si>
  <si>
    <t>TCK-000905</t>
  </si>
  <si>
    <t>2026-05-26T23:02:24Z</t>
  </si>
  <si>
    <t>TCK-000906</t>
  </si>
  <si>
    <t>2026-05-27T07:48:00Z</t>
  </si>
  <si>
    <t>TCK-000907</t>
  </si>
  <si>
    <t>2026-05-27T16:33:36Z</t>
  </si>
  <si>
    <t>TCK-000908</t>
  </si>
  <si>
    <t>2026-05-28T01:19:12Z</t>
  </si>
  <si>
    <t>TCK-000909</t>
  </si>
  <si>
    <t>2026-05-28T10:04:48Z</t>
  </si>
  <si>
    <t>TCK-000910</t>
  </si>
  <si>
    <t>2026-05-28T18:50:24Z</t>
  </si>
  <si>
    <t>TCK-000911</t>
  </si>
  <si>
    <t>2026-05-29T03:36:00Z</t>
  </si>
  <si>
    <t>TCK-000912</t>
  </si>
  <si>
    <t>2026-05-29T12:21:36Z</t>
  </si>
  <si>
    <t>TCK-000913</t>
  </si>
  <si>
    <t>2026-05-29T21:07:12Z</t>
  </si>
  <si>
    <t>TCK-000914</t>
  </si>
  <si>
    <t>2026-05-30T05:52:48Z</t>
  </si>
  <si>
    <t>TCK-000915</t>
  </si>
  <si>
    <t>2026-05-30T14:38:24Z</t>
  </si>
  <si>
    <t>TCK-000916</t>
  </si>
  <si>
    <t>2026-05-30T23:24:00Z</t>
  </si>
  <si>
    <t>TCK-000917</t>
  </si>
  <si>
    <t>2026-05-31T08:09:36Z</t>
  </si>
  <si>
    <t>TCK-000918</t>
  </si>
  <si>
    <t>2026-05-31T16:55:12Z</t>
  </si>
  <si>
    <t>TCK-000919</t>
  </si>
  <si>
    <t>2026-06-01T01:40:48Z</t>
  </si>
  <si>
    <t>TCK-000920</t>
  </si>
  <si>
    <t>2026-06-01T10:26:24Z</t>
  </si>
  <si>
    <t>TCK-000921</t>
  </si>
  <si>
    <t>2026-06-01T19:12:00Z</t>
  </si>
  <si>
    <t>TCK-000922</t>
  </si>
  <si>
    <t>2026-06-02T03:57:36Z</t>
  </si>
  <si>
    <t>TCK-000923</t>
  </si>
  <si>
    <t>2026-06-02T12:43:12Z</t>
  </si>
  <si>
    <t>TCK-000924</t>
  </si>
  <si>
    <t>2026-06-02T21:28:48Z</t>
  </si>
  <si>
    <t>TCK-000925</t>
  </si>
  <si>
    <t>2026-06-03T06:14:24Z</t>
  </si>
  <si>
    <t>TCK-000926</t>
  </si>
  <si>
    <t>2026-06-03T15:00:00Z</t>
  </si>
  <si>
    <t>TCK-000927</t>
  </si>
  <si>
    <t>2026-06-03T23:45:36Z</t>
  </si>
  <si>
    <t>TCK-000928</t>
  </si>
  <si>
    <t>2026-06-04T08:31:12Z</t>
  </si>
  <si>
    <t>TCK-000929</t>
  </si>
  <si>
    <t>2026-06-04T17:16:48Z</t>
  </si>
  <si>
    <t>TCK-000930</t>
  </si>
  <si>
    <t>2026-06-05T02:02:24Z</t>
  </si>
  <si>
    <t>TCK-000931</t>
  </si>
  <si>
    <t>2026-06-05T10:48:00Z</t>
  </si>
  <si>
    <t>TCK-000932</t>
  </si>
  <si>
    <t>2026-06-05T19:33:36Z</t>
  </si>
  <si>
    <t>TCK-000933</t>
  </si>
  <si>
    <t>2026-06-06T04:19:12Z</t>
  </si>
  <si>
    <t>TCK-000934</t>
  </si>
  <si>
    <t>2026-06-06T13:04:48Z</t>
  </si>
  <si>
    <t>TCK-000935</t>
  </si>
  <si>
    <t>2026-06-06T21:50:24Z</t>
  </si>
  <si>
    <t>TCK-000936</t>
  </si>
  <si>
    <t>2026-06-07T06:36:00Z</t>
  </si>
  <si>
    <t>TCK-000937</t>
  </si>
  <si>
    <t>2026-06-07T15:21:36Z</t>
  </si>
  <si>
    <t>TCK-000938</t>
  </si>
  <si>
    <t>2026-06-08T00:07:12Z</t>
  </si>
  <si>
    <t>TCK-000939</t>
  </si>
  <si>
    <t>2026-06-08T08:52:48Z</t>
  </si>
  <si>
    <t>TCK-000940</t>
  </si>
  <si>
    <t>2026-06-08T17:38:24Z</t>
  </si>
  <si>
    <t>TCK-000941</t>
  </si>
  <si>
    <t>2026-06-09T02:24:00Z</t>
  </si>
  <si>
    <t>TCK-000942</t>
  </si>
  <si>
    <t>2026-06-09T11:09:36Z</t>
  </si>
  <si>
    <t>TCK-000943</t>
  </si>
  <si>
    <t>2026-06-09T19:55:12Z</t>
  </si>
  <si>
    <t>TCK-000944</t>
  </si>
  <si>
    <t>2026-06-10T04:40:48Z</t>
  </si>
  <si>
    <t>TCK-000945</t>
  </si>
  <si>
    <t>2026-06-10T13:26:24Z</t>
  </si>
  <si>
    <t>TCK-000946</t>
  </si>
  <si>
    <t>2026-06-10T22:12:00Z</t>
  </si>
  <si>
    <t>TCK-000947</t>
  </si>
  <si>
    <t>2026-06-11T06:57:36Z</t>
  </si>
  <si>
    <t>TCK-000948</t>
  </si>
  <si>
    <t>2026-06-11T15:43:12Z</t>
  </si>
  <si>
    <t>TCK-000949</t>
  </si>
  <si>
    <t>2026-06-12T00:28:48Z</t>
  </si>
  <si>
    <t>TCK-000950</t>
  </si>
  <si>
    <t>2026-06-12T09:14:24Z</t>
  </si>
  <si>
    <t>TCK-000951</t>
  </si>
  <si>
    <t>2026-06-12T18:00:00Z</t>
  </si>
  <si>
    <t>TCK-000952</t>
  </si>
  <si>
    <t>2026-06-13T02:45:36Z</t>
  </si>
  <si>
    <t>TCK-000953</t>
  </si>
  <si>
    <t>2026-06-13T11:31:12Z</t>
  </si>
  <si>
    <t>TCK-000954</t>
  </si>
  <si>
    <t>2026-06-13T20:16:48Z</t>
  </si>
  <si>
    <t>TCK-000955</t>
  </si>
  <si>
    <t>2026-06-14T05:02:24Z</t>
  </si>
  <si>
    <t>TCK-000956</t>
  </si>
  <si>
    <t>2026-06-14T13:48:00Z</t>
  </si>
  <si>
    <t>TCK-000957</t>
  </si>
  <si>
    <t>2026-06-14T22:33:36Z</t>
  </si>
  <si>
    <t>TCK-000958</t>
  </si>
  <si>
    <t>2026-06-15T07:19:12Z</t>
  </si>
  <si>
    <t>TCK-000959</t>
  </si>
  <si>
    <t>2026-06-15T16:04:48Z</t>
  </si>
  <si>
    <t>TCK-000960</t>
  </si>
  <si>
    <t>2026-06-16T00:50:24Z</t>
  </si>
  <si>
    <t>TCK-000961</t>
  </si>
  <si>
    <t>2026-06-16T09:36:00Z</t>
  </si>
  <si>
    <t>TCK-000962</t>
  </si>
  <si>
    <t>2026-06-16T18:21:36Z</t>
  </si>
  <si>
    <t>TCK-000963</t>
  </si>
  <si>
    <t>2026-06-17T03:07:12Z</t>
  </si>
  <si>
    <t>TCK-000964</t>
  </si>
  <si>
    <t>2026-06-17T11:52:48Z</t>
  </si>
  <si>
    <t>TCK-000965</t>
  </si>
  <si>
    <t>2026-06-17T20:38:24Z</t>
  </si>
  <si>
    <t>TCK-000966</t>
  </si>
  <si>
    <t>2026-06-18T05:24:00Z</t>
  </si>
  <si>
    <t>TCK-000967</t>
  </si>
  <si>
    <t>2026-06-18T14:09:36Z</t>
  </si>
  <si>
    <t>TCK-000968</t>
  </si>
  <si>
    <t>2026-06-18T22:55:12Z</t>
  </si>
  <si>
    <t>TCK-000969</t>
  </si>
  <si>
    <t>2026-06-19T07:40:48Z</t>
  </si>
  <si>
    <t>TCK-000970</t>
  </si>
  <si>
    <t>2026-06-19T16:26:24Z</t>
  </si>
  <si>
    <t>TCK-000971</t>
  </si>
  <si>
    <t>2026-06-20T01:12:00Z</t>
  </si>
  <si>
    <t>TCK-000972</t>
  </si>
  <si>
    <t>2026-06-20T09:57:36Z</t>
  </si>
  <si>
    <t>TCK-000973</t>
  </si>
  <si>
    <t>2026-06-20T18:43:12Z</t>
  </si>
  <si>
    <t>TCK-000974</t>
  </si>
  <si>
    <t>2026-06-21T03:28:48Z</t>
  </si>
  <si>
    <t>TCK-000975</t>
  </si>
  <si>
    <t>2026-06-21T12:14:24Z</t>
  </si>
  <si>
    <t>TCK-000976</t>
  </si>
  <si>
    <t>2026-06-21T21:00:00Z</t>
  </si>
  <si>
    <t>TCK-000977</t>
  </si>
  <si>
    <t>2026-06-22T05:45:36Z</t>
  </si>
  <si>
    <t>TCK-000978</t>
  </si>
  <si>
    <t>2026-06-22T14:31:12Z</t>
  </si>
  <si>
    <t>TCK-000979</t>
  </si>
  <si>
    <t>2026-06-22T23:16:48Z</t>
  </si>
  <si>
    <t>TCK-000980</t>
  </si>
  <si>
    <t>2026-06-23T08:02:24Z</t>
  </si>
  <si>
    <t>TCK-000981</t>
  </si>
  <si>
    <t>2026-06-23T16:48:00Z</t>
  </si>
  <si>
    <t>TCK-000982</t>
  </si>
  <si>
    <t>2026-06-24T01:33:36Z</t>
  </si>
  <si>
    <t>TCK-000983</t>
  </si>
  <si>
    <t>2026-06-24T10:19:12Z</t>
  </si>
  <si>
    <t>TCK-000984</t>
  </si>
  <si>
    <t>2026-06-24T19:04:48Z</t>
  </si>
  <si>
    <t>TCK-000985</t>
  </si>
  <si>
    <t>2026-06-25T03:50:24Z</t>
  </si>
  <si>
    <t>TCK-000986</t>
  </si>
  <si>
    <t>2026-06-25T12:36:00Z</t>
  </si>
  <si>
    <t>TCK-000987</t>
  </si>
  <si>
    <t>2026-06-25T21:21:36Z</t>
  </si>
  <si>
    <t>TCK-000988</t>
  </si>
  <si>
    <t>2026-06-26T06:07:12Z</t>
  </si>
  <si>
    <t>TCK-000989</t>
  </si>
  <si>
    <t>2026-06-26T14:52:48Z</t>
  </si>
  <si>
    <t>TCK-000990</t>
  </si>
  <si>
    <t>2026-06-26T23:38:24Z</t>
  </si>
  <si>
    <t>TCK-000991</t>
  </si>
  <si>
    <t>2026-06-27T08:24:00Z</t>
  </si>
  <si>
    <t>TCK-000992</t>
  </si>
  <si>
    <t>2026-06-27T17:09:36Z</t>
  </si>
  <si>
    <t>TCK-000993</t>
  </si>
  <si>
    <t>2026-06-28T01:55:12Z</t>
  </si>
  <si>
    <t>TCK-000994</t>
  </si>
  <si>
    <t>2026-06-28T10:40:48Z</t>
  </si>
  <si>
    <t>TCK-000995</t>
  </si>
  <si>
    <t>2026-06-28T19:26:24Z</t>
  </si>
  <si>
    <t>TCK-000996</t>
  </si>
  <si>
    <t>2026-06-29T04:12:00Z</t>
  </si>
  <si>
    <t>TCK-000997</t>
  </si>
  <si>
    <t>2026-06-29T12:57:36Z</t>
  </si>
  <si>
    <t>TCK-000998</t>
  </si>
  <si>
    <t>2026-06-29T21:43:12Z</t>
  </si>
  <si>
    <t>TCK-000999</t>
  </si>
  <si>
    <t>2026-06-30T06:28:48Z</t>
  </si>
  <si>
    <t>TCK-001000</t>
  </si>
  <si>
    <t>2026-06-30T15:14:24Z</t>
  </si>
  <si>
    <t>created_date</t>
  </si>
  <si>
    <t>resolution_hours</t>
  </si>
  <si>
    <t>response_hours</t>
  </si>
  <si>
    <t>SLA_Status</t>
  </si>
  <si>
    <t>Satisfaction_Category</t>
  </si>
  <si>
    <t>Resolution_Status</t>
  </si>
  <si>
    <t>Month</t>
  </si>
  <si>
    <t>Month_Date</t>
  </si>
  <si>
    <t>Metric</t>
  </si>
  <si>
    <t>Value</t>
  </si>
  <si>
    <t>Count of ticket_id</t>
  </si>
  <si>
    <t>Total Tickets</t>
  </si>
  <si>
    <t>Breached</t>
  </si>
  <si>
    <t>Open</t>
  </si>
  <si>
    <t>Within SLA</t>
  </si>
  <si>
    <t>Grand Total</t>
  </si>
  <si>
    <t>Resolved Ticket</t>
  </si>
  <si>
    <t>Unresolved Tickets</t>
  </si>
  <si>
    <t>Resolution Rate</t>
  </si>
  <si>
    <t>Average Response Time (Hours)</t>
  </si>
  <si>
    <t>Average Resolution Time (Hours)</t>
  </si>
  <si>
    <t>SLA Compliance %</t>
  </si>
  <si>
    <t>Average Satisfaction</t>
  </si>
  <si>
    <t>Unresolved Rate</t>
  </si>
  <si>
    <t>Tickets by Channel</t>
  </si>
  <si>
    <t>Average of resolution_hours</t>
  </si>
  <si>
    <t>Channel</t>
  </si>
  <si>
    <t>Ticket Count</t>
  </si>
  <si>
    <t>Customer Support Operations Dashboard</t>
  </si>
  <si>
    <t>SLA Compliance</t>
  </si>
  <si>
    <t>Avg Resolution Time</t>
  </si>
  <si>
    <t>Avg Satisfaction</t>
  </si>
  <si>
    <t>Key Insights</t>
  </si>
  <si>
    <t>• 83.5% of tickets were resolved, while 16.5% remained unresolved.</t>
  </si>
  <si>
    <t>• SLA compliance was 78.6%, with 179 tickets breaching the defined SLA thresholds.</t>
  </si>
  <si>
    <t>• Normal-priority tickets had the highest volume, with 405 tickets.</t>
  </si>
  <si>
    <t>• Low-priority tickets had the highest number of SLA breaches, with 96 breaches.</t>
  </si>
  <si>
    <t>• Chat was the highest-volume support channel, indicating significant customer reliance on real-time support.</t>
  </si>
  <si>
    <t>• Average resolution time was 33.6 hours, highlighting an opportunity to improve turnaround time and operational efficiency.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</si>
</sst>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"/>
  </numFmts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NumberFormat="1"/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0" xfId="0" pivotButton="1" applyNumberFormat="1"/>
    <xf numFmtId="0" fontId="2" fillId="0" borderId="0" xfId="0" applyNumberFormat="1" applyFont="1"/>
    <xf numFmtId="0" fontId="2" fillId="0" borderId="1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/>
    </xf>
    <xf numFmtId="0" fontId="3" fillId="0" borderId="6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1" fillId="0" borderId="2" xfId="0" applyNumberFormat="1" applyFont="1" applyBorder="1"/>
    <xf numFmtId="0" fontId="1" fillId="0" borderId="4" xfId="0" applyNumberFormat="1" applyFont="1" applyBorder="1"/>
    <xf numFmtId="0" fontId="4" fillId="0" borderId="0" xfId="0" applyNumberFormat="1" applyFont="1" applyAlignment="1">
      <alignment horizontal="center"/>
    </xf>
    <xf numFmtId="0" fontId="0" fillId="0" borderId="0" xfId="0" applyNumberFormat="1" applyAlignment="1">
      <alignment vertical="top" wrapText="1"/>
    </xf>
  </cellXfs>
  <cellStyles count="1">
    <cellStyle name="Normal" xfId="0" builtinId="0"/>
  </cellStyles>
  <dxfs count="1">
    <dxf>
      <numFmt numFmtId="2" formatCode="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[support-tickets-1000.xlsx]Analysis!PivotTable3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Tickets by Support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Analysis!$D$19:$D$24</c:f>
              <c:strCache>
                <c:ptCount val="5"/>
                <c:pt idx="0">
                  <c:v>Chat</c:v>
                </c:pt>
                <c:pt idx="1">
                  <c:v>Email</c:v>
                </c:pt>
                <c:pt idx="2">
                  <c:v>Phone</c:v>
                </c:pt>
                <c:pt idx="3">
                  <c:v>Social</c:v>
                </c:pt>
                <c:pt idx="4">
                  <c:v>Web form</c:v>
                </c:pt>
              </c:strCache>
            </c:strRef>
          </c:cat>
          <c:val>
            <c:numRef>
              <c:f>Analysis!$E$19:$E$24</c:f>
              <c:numCache>
                <c:formatCode>General</c:formatCode>
                <c:ptCount val="5"/>
                <c:pt idx="0">
                  <c:v>202</c:v>
                </c:pt>
                <c:pt idx="1">
                  <c:v>199</c:v>
                </c:pt>
                <c:pt idx="2">
                  <c:v>178</c:v>
                </c:pt>
                <c:pt idx="3">
                  <c:v>221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8-454A-A0E9-BAFE710DD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40904"/>
        <c:axId val="13165576"/>
      </c:barChart>
      <c:catAx>
        <c:axId val="2640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5576"/>
        <c:crosses val="autoZero"/>
        <c:auto val="1"/>
        <c:lblAlgn val="ctr"/>
        <c:lblOffset val="100"/>
        <c:noMultiLvlLbl val="0"/>
      </c:catAx>
      <c:valAx>
        <c:axId val="13165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0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[support-tickets-1000.xlsx]Analysis!PivotTable5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SLA Performance by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Analysis!$I$1:$I$2</c:f>
              <c:strCache>
                <c:ptCount val="1"/>
                <c:pt idx="0">
                  <c:v>Breached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Analysis!$H$3:$H$7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Normal</c:v>
                </c:pt>
                <c:pt idx="3">
                  <c:v>Urgent</c:v>
                </c:pt>
              </c:strCache>
            </c:strRef>
          </c:cat>
          <c:val>
            <c:numRef>
              <c:f>Analysis!$I$3:$I$7</c:f>
              <c:numCache>
                <c:formatCode>General</c:formatCode>
                <c:ptCount val="4"/>
                <c:pt idx="1">
                  <c:v>96</c:v>
                </c:pt>
                <c:pt idx="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9-4072-AF15-EC6B7876A877}"/>
            </c:ext>
          </c:extLst>
        </c:ser>
        <c:ser>
          <c:idx val="1"/>
          <c:order val="1"/>
          <c:tx>
            <c:strRef>
              <c:f>Analysis!$J$1:$J$2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Analysis!$H$3:$H$7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Normal</c:v>
                </c:pt>
                <c:pt idx="3">
                  <c:v>Urgent</c:v>
                </c:pt>
              </c:strCache>
            </c:strRef>
          </c:cat>
          <c:val>
            <c:numRef>
              <c:f>Analysis!$J$3:$J$7</c:f>
              <c:numCache>
                <c:formatCode>General</c:formatCode>
                <c:ptCount val="4"/>
                <c:pt idx="0">
                  <c:v>26</c:v>
                </c:pt>
                <c:pt idx="1">
                  <c:v>39</c:v>
                </c:pt>
                <c:pt idx="2">
                  <c:v>67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9-4072-AF15-EC6B7876A877}"/>
            </c:ext>
          </c:extLst>
        </c:ser>
        <c:ser>
          <c:idx val="2"/>
          <c:order val="2"/>
          <c:tx>
            <c:strRef>
              <c:f>Analysis!$K$1:$K$2</c:f>
              <c:strCache>
                <c:ptCount val="1"/>
                <c:pt idx="0">
                  <c:v>Within SLA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Analysis!$H$3:$H$7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Normal</c:v>
                </c:pt>
                <c:pt idx="3">
                  <c:v>Urgent</c:v>
                </c:pt>
              </c:strCache>
            </c:strRef>
          </c:cat>
          <c:val>
            <c:numRef>
              <c:f>Analysis!$K$3:$K$7</c:f>
              <c:numCache>
                <c:formatCode>General</c:formatCode>
                <c:ptCount val="4"/>
                <c:pt idx="0">
                  <c:v>145</c:v>
                </c:pt>
                <c:pt idx="1">
                  <c:v>79</c:v>
                </c:pt>
                <c:pt idx="2">
                  <c:v>255</c:v>
                </c:pt>
                <c:pt idx="3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9-4072-AF15-EC6B7876A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8296"/>
        <c:axId val="1550344"/>
      </c:barChart>
      <c:catAx>
        <c:axId val="1548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344"/>
        <c:crosses val="autoZero"/>
        <c:auto val="1"/>
        <c:lblAlgn val="ctr"/>
        <c:lblOffset val="100"/>
        <c:noMultiLvlLbl val="0"/>
      </c:catAx>
      <c:valAx>
        <c:axId val="1550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[support-tickets-1000.xlsx]Analysis!PivotTable6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Resolution Time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Analysis!$I$12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Analysis!$H$13:$H$22</c:f>
              <c:strCache>
                <c:ptCount val="9"/>
                <c:pt idx="0">
                  <c:v>Account</c:v>
                </c:pt>
                <c:pt idx="1">
                  <c:v>Billing</c:v>
                </c:pt>
                <c:pt idx="2">
                  <c:v>Bug report</c:v>
                </c:pt>
                <c:pt idx="3">
                  <c:v>Data import</c:v>
                </c:pt>
                <c:pt idx="4">
                  <c:v>Export</c:v>
                </c:pt>
                <c:pt idx="5">
                  <c:v>Feature request</c:v>
                </c:pt>
                <c:pt idx="6">
                  <c:v>Integration</c:v>
                </c:pt>
                <c:pt idx="7">
                  <c:v>Login</c:v>
                </c:pt>
                <c:pt idx="8">
                  <c:v>Performance</c:v>
                </c:pt>
              </c:strCache>
            </c:strRef>
          </c:cat>
          <c:val>
            <c:numRef>
              <c:f>Analysis!$I$13:$I$22</c:f>
              <c:numCache>
                <c:formatCode>0.00</c:formatCode>
                <c:ptCount val="9"/>
                <c:pt idx="0">
                  <c:v>34.14515503875969</c:v>
                </c:pt>
                <c:pt idx="1">
                  <c:v>34.113440860215057</c:v>
                </c:pt>
                <c:pt idx="2">
                  <c:v>34.926602564102559</c:v>
                </c:pt>
                <c:pt idx="3">
                  <c:v>31.922222222222235</c:v>
                </c:pt>
                <c:pt idx="4">
                  <c:v>34.811797752808985</c:v>
                </c:pt>
                <c:pt idx="5">
                  <c:v>36.205303030303007</c:v>
                </c:pt>
                <c:pt idx="6">
                  <c:v>33.558647798742143</c:v>
                </c:pt>
                <c:pt idx="7">
                  <c:v>28.245555555555566</c:v>
                </c:pt>
                <c:pt idx="8">
                  <c:v>34.587790697674428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8-46DD-BA27-CFBCBBE50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299528"/>
        <c:axId val="8301576"/>
      </c:barChart>
      <c:catAx>
        <c:axId val="8299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1576"/>
        <c:crosses val="autoZero"/>
        <c:auto val="1"/>
        <c:lblAlgn val="ctr"/>
        <c:lblOffset val="100"/>
        <c:noMultiLvlLbl val="0"/>
      </c:catAx>
      <c:valAx>
        <c:axId val="8301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9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[support-tickets-1000.xlsx]Analysis!PivotTable10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Ticket Volume</a:t>
            </a:r>
          </a:p>
        </c:rich>
      </c:tx>
      <c:layout>
        <c:manualLayout>
          <c:xMode val="edge"/>
          <c:yMode val="edge"/>
          <c:x val="0.34344344344344352"/>
          <c:y val="3.83987785840495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Analysis!$O$1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Analysis!$N$2:$N$15</c:f>
              <c:strCache>
                <c:ptCount val="13"/>
                <c:pt idx="1">
                  <c:v>7/1/2025</c:v>
                </c:pt>
                <c:pt idx="2">
                  <c:v>8/1/2025</c:v>
                </c:pt>
                <c:pt idx="3">
                  <c:v>9/1/2025</c:v>
                </c:pt>
                <c:pt idx="4">
                  <c:v>10/1/2025</c:v>
                </c:pt>
                <c:pt idx="5">
                  <c:v>11/1/2025</c:v>
                </c:pt>
                <c:pt idx="6">
                  <c:v>12/1/2025</c:v>
                </c:pt>
                <c:pt idx="7">
                  <c:v>1/1/2026</c:v>
                </c:pt>
                <c:pt idx="8">
                  <c:v>2/1/2026</c:v>
                </c:pt>
                <c:pt idx="9">
                  <c:v>3/1/2026</c:v>
                </c:pt>
                <c:pt idx="10">
                  <c:v>4/1/2026</c:v>
                </c:pt>
                <c:pt idx="11">
                  <c:v>5/1/2026</c:v>
                </c:pt>
                <c:pt idx="12">
                  <c:v>6/1/2026</c:v>
                </c:pt>
              </c:strCache>
            </c:strRef>
          </c:cat>
          <c:val>
            <c:numRef>
              <c:f>Analysis!$O$2:$O$15</c:f>
              <c:numCache>
                <c:formatCode>General</c:formatCode>
                <c:ptCount val="13"/>
                <c:pt idx="0">
                  <c:v>1</c:v>
                </c:pt>
                <c:pt idx="1">
                  <c:v>84</c:v>
                </c:pt>
                <c:pt idx="2">
                  <c:v>85</c:v>
                </c:pt>
                <c:pt idx="3">
                  <c:v>83</c:v>
                </c:pt>
                <c:pt idx="4">
                  <c:v>84</c:v>
                </c:pt>
                <c:pt idx="5">
                  <c:v>83</c:v>
                </c:pt>
                <c:pt idx="6">
                  <c:v>85</c:v>
                </c:pt>
                <c:pt idx="7">
                  <c:v>85</c:v>
                </c:pt>
                <c:pt idx="8">
                  <c:v>76</c:v>
                </c:pt>
                <c:pt idx="9">
                  <c:v>85</c:v>
                </c:pt>
                <c:pt idx="10">
                  <c:v>82</c:v>
                </c:pt>
                <c:pt idx="11">
                  <c:v>85</c:v>
                </c:pt>
                <c:pt idx="12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D9-41F2-BF02-A92EA5379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1598600"/>
        <c:axId val="1551609864"/>
      </c:lineChart>
      <c:catAx>
        <c:axId val="1551598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609864"/>
        <c:crosses val="autoZero"/>
        <c:auto val="1"/>
        <c:lblAlgn val="ctr"/>
        <c:lblOffset val="100"/>
        <c:noMultiLvlLbl val="0"/>
      </c:catAx>
      <c:valAx>
        <c:axId val="155160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598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95250</xdr:rowOff>
    </xdr:from>
    <xdr:to>
      <xdr:col>4</xdr:col>
      <xdr:colOff>209550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96B31D-E9D6-4793-BB92-F2B2D3551B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381000</xdr:colOff>
      <xdr:row>4</xdr:row>
      <xdr:rowOff>123825</xdr:rowOff>
    </xdr:from>
    <xdr:to>
      <xdr:col>9</xdr:col>
      <xdr:colOff>409575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1372C9-16A6-49EB-B978-89EF4AE49AFC}"/>
            </a:ext>
            <a:ext uri="{147F2762-F138-4A5C-976F-8EAC2B608ADB}">
              <a16:predDERef xmlns:a16="http://schemas.microsoft.com/office/drawing/2014/main" pred="{FC96B31D-E9D6-4793-BB92-F2B2D3551B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390525</xdr:colOff>
      <xdr:row>19</xdr:row>
      <xdr:rowOff>0</xdr:rowOff>
    </xdr:from>
    <xdr:to>
      <xdr:col>9</xdr:col>
      <xdr:colOff>438150</xdr:colOff>
      <xdr:row>33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200762-87E7-4A1D-AFBD-8DAE8558F3E5}"/>
            </a:ext>
            <a:ext uri="{147F2762-F138-4A5C-976F-8EAC2B608ADB}">
              <a16:predDERef xmlns:a16="http://schemas.microsoft.com/office/drawing/2014/main" pred="{7E1372C9-16A6-49EB-B978-89EF4AE49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4</xdr:col>
      <xdr:colOff>266700</xdr:colOff>
      <xdr:row>33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CD3580-8552-4093-9431-A18F50E979DE}"/>
            </a:ext>
            <a:ext uri="{147F2762-F138-4A5C-976F-8EAC2B608ADB}">
              <a16:predDERef xmlns:a16="http://schemas.microsoft.com/office/drawing/2014/main" pred="{07200762-87E7-4A1D-AFBD-8DAE8558F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9.741494212962" createdVersion="8" refreshedVersion="8" minRefreshableVersion="3" recordCount="1000" xr:uid="{AA6B9FBE-DF84-4F29-904A-E134B3AC1F35}">
  <cacheSource type="worksheet">
    <worksheetSource ref="A1:P1001" sheet="Clean-Data"/>
  </cacheSource>
  <cacheFields count="16">
    <cacheField name="ticket_id" numFmtId="0">
      <sharedItems/>
    </cacheField>
    <cacheField name="created_at" numFmtId="14">
      <sharedItems containsBlank="1"/>
    </cacheField>
    <cacheField name="customer_id" numFmtId="0">
      <sharedItems containsSemiMixedTypes="0" containsString="0" containsNumber="1" containsInteger="1" minValue="1001" maxValue="2000"/>
    </cacheField>
    <cacheField name="channel" numFmtId="0">
      <sharedItems count="5">
        <s v="Chat"/>
        <s v="Social"/>
        <s v="Web form"/>
        <s v="Email"/>
        <s v="Phone"/>
      </sharedItems>
    </cacheField>
    <cacheField name="priority" numFmtId="0">
      <sharedItems count="4">
        <s v="Urgent"/>
        <s v="High"/>
        <s v="Normal"/>
        <s v="Low"/>
      </sharedItems>
    </cacheField>
    <cacheField name="category" numFmtId="0">
      <sharedItems count="9">
        <s v="Data import"/>
        <s v="Performance"/>
        <s v="Billing"/>
        <s v="Feature request"/>
        <s v="Integration"/>
        <s v="Bug report"/>
        <s v="Export"/>
        <s v="Account"/>
        <s v="Login"/>
      </sharedItems>
    </cacheField>
    <cacheField name="first_response_min" numFmtId="0">
      <sharedItems containsSemiMixedTypes="0" containsString="0" containsNumber="1" containsInteger="1" minValue="2" maxValue="478"/>
    </cacheField>
    <cacheField name="resolution_min" numFmtId="0">
      <sharedItems containsString="0" containsBlank="1" containsNumber="1" containsInteger="1" minValue="49" maxValue="8997"/>
    </cacheField>
    <cacheField name="status" numFmtId="0">
      <sharedItems count="4">
        <s v="closed"/>
        <s v="resolved"/>
        <s v="open"/>
        <s v="pending"/>
      </sharedItems>
    </cacheField>
    <cacheField name="satisfaction" numFmtId="0">
      <sharedItems containsString="0" containsBlank="1" containsNumber="1" containsInteger="1" minValue="1" maxValue="5"/>
    </cacheField>
    <cacheField name="created_date" numFmtId="164">
      <sharedItems containsDate="1" containsMixedTypes="1" minDate="2025-07-01T00:00:00" maxDate="2026-07-01T00:00:00"/>
    </cacheField>
    <cacheField name="resolution_hours" numFmtId="2">
      <sharedItems containsMixedTypes="1" containsNumber="1" minValue="0.81666666666666665" maxValue="149.94999999999999"/>
    </cacheField>
    <cacheField name="response_hours" numFmtId="0">
      <sharedItems containsSemiMixedTypes="0" containsString="0" containsNumber="1" minValue="3.3333333333333333E-2" maxValue="7.9666666666666668"/>
    </cacheField>
    <cacheField name="SLA_Status" numFmtId="0">
      <sharedItems count="3">
        <s v="Within SLA"/>
        <s v="Open"/>
        <s v="Breached"/>
      </sharedItems>
    </cacheField>
    <cacheField name="Satisfaction_Category" numFmtId="0">
      <sharedItems/>
    </cacheField>
    <cacheField name="Resolution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9.766649884259" createdVersion="8" refreshedVersion="8" minRefreshableVersion="3" recordCount="1000" xr:uid="{E5289178-C47C-4061-BDD0-38A18E864C99}">
  <cacheSource type="worksheet">
    <worksheetSource ref="A1:R1001" sheet="Clean-Data"/>
  </cacheSource>
  <cacheFields count="18">
    <cacheField name="ticket_id" numFmtId="0">
      <sharedItems/>
    </cacheField>
    <cacheField name="created_at" numFmtId="14">
      <sharedItems containsBlank="1"/>
    </cacheField>
    <cacheField name="customer_id" numFmtId="0">
      <sharedItems containsSemiMixedTypes="0" containsString="0" containsNumber="1" containsInteger="1" minValue="1001" maxValue="2000"/>
    </cacheField>
    <cacheField name="channel" numFmtId="0">
      <sharedItems/>
    </cacheField>
    <cacheField name="priority" numFmtId="0">
      <sharedItems/>
    </cacheField>
    <cacheField name="category" numFmtId="0">
      <sharedItems/>
    </cacheField>
    <cacheField name="first_response_min" numFmtId="0">
      <sharedItems containsSemiMixedTypes="0" containsString="0" containsNumber="1" containsInteger="1" minValue="2" maxValue="478"/>
    </cacheField>
    <cacheField name="resolution_min" numFmtId="0">
      <sharedItems containsString="0" containsBlank="1" containsNumber="1" containsInteger="1" minValue="49" maxValue="8997"/>
    </cacheField>
    <cacheField name="status" numFmtId="0">
      <sharedItems/>
    </cacheField>
    <cacheField name="satisfaction" numFmtId="0">
      <sharedItems containsString="0" containsBlank="1" containsNumber="1" containsInteger="1" minValue="1" maxValue="5"/>
    </cacheField>
    <cacheField name="created_date" numFmtId="164">
      <sharedItems containsDate="1" containsMixedTypes="1" minDate="2025-07-01T00:00:00" maxDate="2026-07-01T00:00:00"/>
    </cacheField>
    <cacheField name="resolution_hours" numFmtId="2">
      <sharedItems containsMixedTypes="1" containsNumber="1" minValue="0.81666666666666665" maxValue="149.94999999999999"/>
    </cacheField>
    <cacheField name="response_hours" numFmtId="0">
      <sharedItems containsSemiMixedTypes="0" containsString="0" containsNumber="1" minValue="3.3333333333333333E-2" maxValue="7.9666666666666668"/>
    </cacheField>
    <cacheField name="SLA_Status" numFmtId="0">
      <sharedItems/>
    </cacheField>
    <cacheField name="Satisfaction_Category" numFmtId="0">
      <sharedItems/>
    </cacheField>
    <cacheField name="Resolution_Status" numFmtId="0">
      <sharedItems/>
    </cacheField>
    <cacheField name="Month" numFmtId="14">
      <sharedItems/>
    </cacheField>
    <cacheField name="Month_Date" numFmtId="14">
      <sharedItems containsDate="1" containsMixedTypes="1" minDate="2025-07-01T00:00:00" maxDate="2026-06-02T00:00:00" count="13">
        <d v="2025-07-01T00:00:00"/>
        <s v="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TCK-000001"/>
    <s v="2025-07-01T00:00:00Z"/>
    <n v="1175"/>
    <x v="0"/>
    <x v="0"/>
    <x v="0"/>
    <n v="3"/>
    <n v="412"/>
    <x v="0"/>
    <m/>
    <d v="2025-07-01T00:00:00"/>
    <n v="6.8666666666666663"/>
    <n v="0.05"/>
    <x v="0"/>
    <s v="No Rating"/>
    <s v="Resolved"/>
  </r>
  <r>
    <s v="TCK-000002"/>
    <s v="2025-07-01T08:45:36Z"/>
    <n v="1019"/>
    <x v="1"/>
    <x v="1"/>
    <x v="0"/>
    <n v="34"/>
    <n v="507"/>
    <x v="1"/>
    <m/>
    <d v="2025-07-01T00:00:00"/>
    <n v="8.4499999999999993"/>
    <n v="0.56666666666666665"/>
    <x v="0"/>
    <s v="No Rating"/>
    <s v="Resolved"/>
  </r>
  <r>
    <s v="TCK-000003"/>
    <s v="2025-07-01T17:31:12Z"/>
    <n v="1278"/>
    <x v="0"/>
    <x v="0"/>
    <x v="1"/>
    <n v="8"/>
    <n v="305"/>
    <x v="0"/>
    <m/>
    <d v="2025-07-01T00:00:00"/>
    <n v="5.083333333333333"/>
    <n v="0.13333333333333333"/>
    <x v="0"/>
    <s v="No Rating"/>
    <s v="Resolved"/>
  </r>
  <r>
    <s v="TCK-000004"/>
    <s v="2025-07-02T02:16:48Z"/>
    <n v="1448"/>
    <x v="2"/>
    <x v="2"/>
    <x v="2"/>
    <n v="65"/>
    <m/>
    <x v="2"/>
    <m/>
    <d v="2025-07-02T00:00:00"/>
    <s v=""/>
    <n v="1.0833333333333333"/>
    <x v="1"/>
    <s v="No Rating"/>
    <s v="Unresolved"/>
  </r>
  <r>
    <s v="TCK-000005"/>
    <s v="2025-07-02T11:02:24Z"/>
    <n v="1936"/>
    <x v="3"/>
    <x v="3"/>
    <x v="3"/>
    <n v="431"/>
    <n v="3785"/>
    <x v="0"/>
    <n v="4"/>
    <d v="2025-07-02T00:00:00"/>
    <n v="63.083333333333336"/>
    <n v="7.1833333333333336"/>
    <x v="0"/>
    <s v="Satisfied"/>
    <s v="Resolved"/>
  </r>
  <r>
    <s v="TCK-000006"/>
    <m/>
    <n v="1471"/>
    <x v="1"/>
    <x v="3"/>
    <x v="3"/>
    <n v="302"/>
    <n v="1808"/>
    <x v="0"/>
    <n v="1"/>
    <s v=""/>
    <n v="30.133333333333333"/>
    <n v="5.0333333333333332"/>
    <x v="0"/>
    <s v="Dissatisfied"/>
    <s v="Resolved"/>
  </r>
  <r>
    <s v="TCK-000007"/>
    <s v="2025-07-03T04:33:36Z"/>
    <n v="1949"/>
    <x v="2"/>
    <x v="3"/>
    <x v="1"/>
    <n v="206"/>
    <n v="2717"/>
    <x v="0"/>
    <n v="1"/>
    <d v="2025-07-03T00:00:00"/>
    <n v="45.283333333333331"/>
    <n v="3.4333333333333331"/>
    <x v="0"/>
    <s v="Dissatisfied"/>
    <s v="Resolved"/>
  </r>
  <r>
    <s v="TCK-000008"/>
    <s v="2025-07-03T13:19:12Z"/>
    <n v="1968"/>
    <x v="0"/>
    <x v="2"/>
    <x v="2"/>
    <n v="85"/>
    <n v="771"/>
    <x v="0"/>
    <m/>
    <d v="2025-07-03T00:00:00"/>
    <n v="12.85"/>
    <n v="1.4166666666666667"/>
    <x v="0"/>
    <s v="No Rating"/>
    <s v="Resolved"/>
  </r>
  <r>
    <s v="TCK-000009"/>
    <s v="2025-07-03T22:04:48Z"/>
    <n v="1750"/>
    <x v="0"/>
    <x v="2"/>
    <x v="4"/>
    <n v="32"/>
    <m/>
    <x v="3"/>
    <m/>
    <d v="2025-07-03T00:00:00"/>
    <s v=""/>
    <n v="0.53333333333333333"/>
    <x v="1"/>
    <s v="No Rating"/>
    <s v="Unresolved"/>
  </r>
  <r>
    <s v="TCK-000010"/>
    <s v="2025-07-04T06:50:24Z"/>
    <n v="1591"/>
    <x v="4"/>
    <x v="2"/>
    <x v="4"/>
    <n v="63"/>
    <n v="1975"/>
    <x v="0"/>
    <n v="2"/>
    <d v="2025-07-04T00:00:00"/>
    <n v="32.916666666666664"/>
    <n v="1.05"/>
    <x v="0"/>
    <s v="Dissatisfied"/>
    <s v="Resolved"/>
  </r>
  <r>
    <s v="TCK-000011"/>
    <s v="2025-07-04T15:36:00Z"/>
    <n v="1908"/>
    <x v="0"/>
    <x v="1"/>
    <x v="0"/>
    <n v="21"/>
    <n v="174"/>
    <x v="1"/>
    <n v="1"/>
    <d v="2025-07-04T00:00:00"/>
    <n v="2.9"/>
    <n v="0.35"/>
    <x v="0"/>
    <s v="Dissatisfied"/>
    <s v="Resolved"/>
  </r>
  <r>
    <s v="TCK-000012"/>
    <s v="2025-07-05T00:21:36Z"/>
    <n v="1982"/>
    <x v="1"/>
    <x v="3"/>
    <x v="1"/>
    <n v="343"/>
    <n v="6881"/>
    <x v="0"/>
    <m/>
    <d v="2025-07-05T00:00:00"/>
    <n v="114.68333333333334"/>
    <n v="5.7166666666666668"/>
    <x v="2"/>
    <s v="No Rating"/>
    <s v="Resolved"/>
  </r>
  <r>
    <s v="TCK-000013"/>
    <s v="2025-07-05T09:07:12Z"/>
    <n v="1099"/>
    <x v="2"/>
    <x v="3"/>
    <x v="5"/>
    <n v="442"/>
    <n v="6637"/>
    <x v="0"/>
    <n v="1"/>
    <d v="2025-07-05T00:00:00"/>
    <n v="110.61666666666666"/>
    <n v="7.3666666666666663"/>
    <x v="2"/>
    <s v="Dissatisfied"/>
    <s v="Resolved"/>
  </r>
  <r>
    <s v="TCK-000014"/>
    <s v="2025-07-05T17:52:48Z"/>
    <n v="1055"/>
    <x v="2"/>
    <x v="0"/>
    <x v="3"/>
    <n v="10"/>
    <n v="406"/>
    <x v="0"/>
    <m/>
    <d v="2025-07-05T00:00:00"/>
    <n v="6.7666666666666666"/>
    <n v="0.16666666666666666"/>
    <x v="0"/>
    <s v="No Rating"/>
    <s v="Resolved"/>
  </r>
  <r>
    <s v="TCK-000015"/>
    <s v="2025-07-06T02:38:24Z"/>
    <n v="1214"/>
    <x v="4"/>
    <x v="3"/>
    <x v="6"/>
    <n v="122"/>
    <n v="2695"/>
    <x v="1"/>
    <n v="3"/>
    <d v="2025-07-06T00:00:00"/>
    <n v="44.916666666666664"/>
    <n v="2.0333333333333332"/>
    <x v="0"/>
    <s v="Neutral"/>
    <s v="Resolved"/>
  </r>
  <r>
    <s v="TCK-000016"/>
    <s v="2025-07-06T11:24:00Z"/>
    <n v="1730"/>
    <x v="2"/>
    <x v="0"/>
    <x v="4"/>
    <n v="3"/>
    <n v="173"/>
    <x v="0"/>
    <n v="2"/>
    <d v="2025-07-06T00:00:00"/>
    <n v="2.8833333333333333"/>
    <n v="0.05"/>
    <x v="0"/>
    <s v="Dissatisfied"/>
    <s v="Resolved"/>
  </r>
  <r>
    <s v="TCK-000017"/>
    <s v="2025-07-06T20:09:36Z"/>
    <n v="1469"/>
    <x v="4"/>
    <x v="3"/>
    <x v="7"/>
    <n v="337"/>
    <n v="6240"/>
    <x v="0"/>
    <m/>
    <d v="2025-07-06T00:00:00"/>
    <n v="104"/>
    <n v="5.6166666666666663"/>
    <x v="2"/>
    <s v="No Rating"/>
    <s v="Resolved"/>
  </r>
  <r>
    <s v="TCK-000018"/>
    <s v="2025-07-07T04:55:12Z"/>
    <n v="1802"/>
    <x v="3"/>
    <x v="2"/>
    <x v="6"/>
    <n v="157"/>
    <m/>
    <x v="3"/>
    <m/>
    <d v="2025-07-07T00:00:00"/>
    <s v=""/>
    <n v="2.6166666666666667"/>
    <x v="1"/>
    <s v="No Rating"/>
    <s v="Unresolved"/>
  </r>
  <r>
    <s v="TCK-000019"/>
    <s v="2025-07-07T13:40:48Z"/>
    <n v="1538"/>
    <x v="1"/>
    <x v="2"/>
    <x v="7"/>
    <n v="166"/>
    <n v="1810"/>
    <x v="1"/>
    <m/>
    <d v="2025-07-07T00:00:00"/>
    <n v="30.166666666666668"/>
    <n v="2.7666666666666666"/>
    <x v="0"/>
    <s v="No Rating"/>
    <s v="Resolved"/>
  </r>
  <r>
    <s v="TCK-000020"/>
    <s v="2025-07-07T22:26:24Z"/>
    <n v="1295"/>
    <x v="2"/>
    <x v="0"/>
    <x v="8"/>
    <n v="3"/>
    <n v="123"/>
    <x v="1"/>
    <n v="4"/>
    <d v="2025-07-07T00:00:00"/>
    <n v="2.0499999999999998"/>
    <n v="0.05"/>
    <x v="0"/>
    <s v="Satisfied"/>
    <s v="Resolved"/>
  </r>
  <r>
    <s v="TCK-000021"/>
    <s v="2025-07-08T07:12:00Z"/>
    <n v="1646"/>
    <x v="2"/>
    <x v="1"/>
    <x v="0"/>
    <n v="15"/>
    <m/>
    <x v="2"/>
    <m/>
    <d v="2025-07-08T00:00:00"/>
    <s v=""/>
    <n v="0.25"/>
    <x v="1"/>
    <s v="No Rating"/>
    <s v="Unresolved"/>
  </r>
  <r>
    <s v="TCK-000022"/>
    <s v="2025-07-08T15:57:36Z"/>
    <n v="1880"/>
    <x v="1"/>
    <x v="2"/>
    <x v="8"/>
    <n v="46"/>
    <m/>
    <x v="2"/>
    <m/>
    <d v="2025-07-08T00:00:00"/>
    <s v=""/>
    <n v="0.76666666666666672"/>
    <x v="1"/>
    <s v="No Rating"/>
    <s v="Unresolved"/>
  </r>
  <r>
    <s v="TCK-000023"/>
    <s v="2025-07-09T00:43:12Z"/>
    <n v="1808"/>
    <x v="2"/>
    <x v="3"/>
    <x v="1"/>
    <n v="217"/>
    <n v="6190"/>
    <x v="0"/>
    <m/>
    <d v="2025-07-09T00:00:00"/>
    <n v="103.16666666666667"/>
    <n v="3.6166666666666667"/>
    <x v="2"/>
    <s v="No Rating"/>
    <s v="Resolved"/>
  </r>
  <r>
    <s v="TCK-000024"/>
    <s v="2025-07-09T09:28:48Z"/>
    <n v="1887"/>
    <x v="1"/>
    <x v="3"/>
    <x v="4"/>
    <n v="263"/>
    <n v="7047"/>
    <x v="0"/>
    <m/>
    <d v="2025-07-09T00:00:00"/>
    <n v="117.45"/>
    <n v="4.3833333333333337"/>
    <x v="2"/>
    <s v="No Rating"/>
    <s v="Resolved"/>
  </r>
  <r>
    <s v="TCK-000025"/>
    <s v="2025-07-09T18:14:24Z"/>
    <n v="1909"/>
    <x v="4"/>
    <x v="3"/>
    <x v="1"/>
    <n v="446"/>
    <m/>
    <x v="2"/>
    <m/>
    <d v="2025-07-09T00:00:00"/>
    <s v=""/>
    <n v="7.4333333333333336"/>
    <x v="1"/>
    <s v="No Rating"/>
    <s v="Unresolved"/>
  </r>
  <r>
    <s v="TCK-000026"/>
    <s v="2025-07-10T03:00:00Z"/>
    <n v="1950"/>
    <x v="0"/>
    <x v="3"/>
    <x v="7"/>
    <n v="165"/>
    <m/>
    <x v="2"/>
    <m/>
    <d v="2025-07-10T00:00:00"/>
    <s v=""/>
    <n v="2.75"/>
    <x v="1"/>
    <s v="No Rating"/>
    <s v="Unresolved"/>
  </r>
  <r>
    <s v="TCK-000027"/>
    <s v="2025-07-10T11:45:36Z"/>
    <n v="1028"/>
    <x v="4"/>
    <x v="2"/>
    <x v="6"/>
    <n v="123"/>
    <n v="792"/>
    <x v="1"/>
    <n v="2"/>
    <d v="2025-07-10T00:00:00"/>
    <n v="13.2"/>
    <n v="2.0499999999999998"/>
    <x v="0"/>
    <s v="Dissatisfied"/>
    <s v="Resolved"/>
  </r>
  <r>
    <s v="TCK-000028"/>
    <s v="2025-07-10T20:31:12Z"/>
    <n v="1035"/>
    <x v="2"/>
    <x v="1"/>
    <x v="3"/>
    <n v="24"/>
    <n v="235"/>
    <x v="0"/>
    <n v="4"/>
    <d v="2025-07-10T00:00:00"/>
    <n v="3.9166666666666665"/>
    <n v="0.4"/>
    <x v="0"/>
    <s v="Satisfied"/>
    <s v="Resolved"/>
  </r>
  <r>
    <s v="TCK-000029"/>
    <s v="2025-07-11T05:16:48Z"/>
    <n v="1426"/>
    <x v="0"/>
    <x v="3"/>
    <x v="3"/>
    <n v="405"/>
    <n v="4942"/>
    <x v="0"/>
    <n v="3"/>
    <d v="2025-07-11T00:00:00"/>
    <n v="82.36666666666666"/>
    <n v="6.75"/>
    <x v="2"/>
    <s v="Neutral"/>
    <s v="Resolved"/>
  </r>
  <r>
    <s v="TCK-000030"/>
    <s v="2025-07-11T14:02:24Z"/>
    <n v="1908"/>
    <x v="4"/>
    <x v="3"/>
    <x v="7"/>
    <n v="432"/>
    <n v="2314"/>
    <x v="0"/>
    <n v="3"/>
    <d v="2025-07-11T00:00:00"/>
    <n v="38.56666666666667"/>
    <n v="7.2"/>
    <x v="0"/>
    <s v="Neutral"/>
    <s v="Resolved"/>
  </r>
  <r>
    <s v="TCK-000031"/>
    <s v="2025-07-11T22:48:00Z"/>
    <n v="1540"/>
    <x v="2"/>
    <x v="2"/>
    <x v="2"/>
    <n v="90"/>
    <m/>
    <x v="2"/>
    <m/>
    <d v="2025-07-11T00:00:00"/>
    <s v=""/>
    <n v="1.5"/>
    <x v="1"/>
    <s v="No Rating"/>
    <s v="Unresolved"/>
  </r>
  <r>
    <s v="TCK-000032"/>
    <s v="2025-07-12T07:33:36Z"/>
    <n v="1059"/>
    <x v="2"/>
    <x v="0"/>
    <x v="5"/>
    <n v="2"/>
    <n v="221"/>
    <x v="0"/>
    <n v="4"/>
    <d v="2025-07-12T00:00:00"/>
    <n v="3.6833333333333331"/>
    <n v="3.3333333333333333E-2"/>
    <x v="0"/>
    <s v="Satisfied"/>
    <s v="Resolved"/>
  </r>
  <r>
    <s v="TCK-000033"/>
    <s v="2025-07-12T16:19:12Z"/>
    <n v="1205"/>
    <x v="3"/>
    <x v="0"/>
    <x v="0"/>
    <n v="9"/>
    <n v="422"/>
    <x v="1"/>
    <n v="3"/>
    <d v="2025-07-12T00:00:00"/>
    <n v="7.0333333333333332"/>
    <n v="0.15"/>
    <x v="0"/>
    <s v="Neutral"/>
    <s v="Resolved"/>
  </r>
  <r>
    <s v="TCK-000034"/>
    <s v="2025-07-13T01:04:48Z"/>
    <n v="1441"/>
    <x v="3"/>
    <x v="2"/>
    <x v="2"/>
    <n v="150"/>
    <n v="1715"/>
    <x v="0"/>
    <n v="1"/>
    <d v="2025-07-13T00:00:00"/>
    <n v="28.583333333333332"/>
    <n v="2.5"/>
    <x v="0"/>
    <s v="Dissatisfied"/>
    <s v="Resolved"/>
  </r>
  <r>
    <s v="TCK-000035"/>
    <s v="2025-07-13T09:50:24Z"/>
    <n v="1403"/>
    <x v="0"/>
    <x v="2"/>
    <x v="6"/>
    <n v="36"/>
    <n v="3180"/>
    <x v="1"/>
    <m/>
    <d v="2025-07-13T00:00:00"/>
    <n v="53"/>
    <n v="0.6"/>
    <x v="2"/>
    <s v="No Rating"/>
    <s v="Resolved"/>
  </r>
  <r>
    <s v="TCK-000036"/>
    <s v="2025-07-13T18:36:00Z"/>
    <n v="1702"/>
    <x v="2"/>
    <x v="3"/>
    <x v="4"/>
    <n v="233"/>
    <n v="2898"/>
    <x v="1"/>
    <m/>
    <d v="2025-07-13T00:00:00"/>
    <n v="48.3"/>
    <n v="3.8833333333333333"/>
    <x v="0"/>
    <s v="No Rating"/>
    <s v="Resolved"/>
  </r>
  <r>
    <s v="TCK-000037"/>
    <s v="2025-07-14T03:21:36Z"/>
    <n v="1041"/>
    <x v="4"/>
    <x v="0"/>
    <x v="4"/>
    <n v="7"/>
    <n v="427"/>
    <x v="0"/>
    <n v="4"/>
    <d v="2025-07-14T00:00:00"/>
    <n v="7.1166666666666663"/>
    <n v="0.11666666666666667"/>
    <x v="0"/>
    <s v="Satisfied"/>
    <s v="Resolved"/>
  </r>
  <r>
    <s v="TCK-000038"/>
    <s v="2025-07-14T12:07:12Z"/>
    <n v="1169"/>
    <x v="2"/>
    <x v="3"/>
    <x v="5"/>
    <n v="335"/>
    <n v="5407"/>
    <x v="0"/>
    <m/>
    <d v="2025-07-14T00:00:00"/>
    <n v="90.11666666666666"/>
    <n v="5.583333333333333"/>
    <x v="2"/>
    <s v="No Rating"/>
    <s v="Resolved"/>
  </r>
  <r>
    <s v="TCK-000039"/>
    <s v="2025-07-14T20:52:48Z"/>
    <n v="1116"/>
    <x v="2"/>
    <x v="2"/>
    <x v="4"/>
    <n v="103"/>
    <m/>
    <x v="2"/>
    <m/>
    <d v="2025-07-14T00:00:00"/>
    <s v=""/>
    <n v="1.7166666666666666"/>
    <x v="1"/>
    <s v="No Rating"/>
    <s v="Unresolved"/>
  </r>
  <r>
    <s v="TCK-000040"/>
    <s v="2025-07-15T05:38:24Z"/>
    <n v="1360"/>
    <x v="1"/>
    <x v="3"/>
    <x v="3"/>
    <n v="148"/>
    <n v="4350"/>
    <x v="1"/>
    <n v="3"/>
    <d v="2025-07-15T00:00:00"/>
    <n v="72.5"/>
    <n v="2.4666666666666668"/>
    <x v="2"/>
    <s v="Neutral"/>
    <s v="Resolved"/>
  </r>
  <r>
    <s v="TCK-000041"/>
    <s v="2025-07-15T14:24:00Z"/>
    <n v="1872"/>
    <x v="3"/>
    <x v="0"/>
    <x v="8"/>
    <n v="11"/>
    <n v="325"/>
    <x v="0"/>
    <n v="5"/>
    <d v="2025-07-15T00:00:00"/>
    <n v="5.416666666666667"/>
    <n v="0.18333333333333332"/>
    <x v="0"/>
    <s v="Satisfied"/>
    <s v="Resolved"/>
  </r>
  <r>
    <s v="TCK-000042"/>
    <s v="2025-07-15T23:09:36Z"/>
    <n v="1524"/>
    <x v="2"/>
    <x v="2"/>
    <x v="5"/>
    <n v="177"/>
    <n v="3585"/>
    <x v="1"/>
    <n v="4"/>
    <d v="2025-07-15T00:00:00"/>
    <n v="59.75"/>
    <n v="2.95"/>
    <x v="2"/>
    <s v="Satisfied"/>
    <s v="Resolved"/>
  </r>
  <r>
    <s v="TCK-000043"/>
    <s v="2025-07-16T07:55:12Z"/>
    <n v="1215"/>
    <x v="1"/>
    <x v="2"/>
    <x v="6"/>
    <n v="168"/>
    <n v="1020"/>
    <x v="0"/>
    <n v="3"/>
    <d v="2025-07-16T00:00:00"/>
    <n v="17"/>
    <n v="2.8"/>
    <x v="0"/>
    <s v="Neutral"/>
    <s v="Resolved"/>
  </r>
  <r>
    <s v="TCK-000044"/>
    <s v="2025-07-16T16:40:48Z"/>
    <n v="1627"/>
    <x v="2"/>
    <x v="2"/>
    <x v="0"/>
    <n v="64"/>
    <n v="2766"/>
    <x v="0"/>
    <m/>
    <d v="2025-07-16T00:00:00"/>
    <n v="46.1"/>
    <n v="1.0666666666666667"/>
    <x v="0"/>
    <s v="No Rating"/>
    <s v="Resolved"/>
  </r>
  <r>
    <s v="TCK-000045"/>
    <s v="2025-07-17T01:26:24Z"/>
    <n v="1235"/>
    <x v="2"/>
    <x v="2"/>
    <x v="4"/>
    <n v="97"/>
    <n v="2317"/>
    <x v="0"/>
    <n v="3"/>
    <d v="2025-07-17T00:00:00"/>
    <n v="38.616666666666667"/>
    <n v="1.6166666666666667"/>
    <x v="0"/>
    <s v="Neutral"/>
    <s v="Resolved"/>
  </r>
  <r>
    <s v="TCK-000046"/>
    <s v="2025-07-17T10:12:00Z"/>
    <n v="1245"/>
    <x v="1"/>
    <x v="0"/>
    <x v="0"/>
    <n v="9"/>
    <m/>
    <x v="2"/>
    <m/>
    <d v="2025-07-17T00:00:00"/>
    <s v=""/>
    <n v="0.15"/>
    <x v="1"/>
    <s v="No Rating"/>
    <s v="Unresolved"/>
  </r>
  <r>
    <s v="TCK-000047"/>
    <s v="2025-07-17T18:57:36Z"/>
    <n v="1286"/>
    <x v="1"/>
    <x v="0"/>
    <x v="3"/>
    <n v="9"/>
    <n v="272"/>
    <x v="0"/>
    <n v="1"/>
    <d v="2025-07-17T00:00:00"/>
    <n v="4.5333333333333332"/>
    <n v="0.15"/>
    <x v="0"/>
    <s v="Dissatisfied"/>
    <s v="Resolved"/>
  </r>
  <r>
    <s v="TCK-000048"/>
    <s v="2025-07-18T03:43:12Z"/>
    <n v="1286"/>
    <x v="1"/>
    <x v="1"/>
    <x v="7"/>
    <n v="29"/>
    <n v="656"/>
    <x v="0"/>
    <m/>
    <d v="2025-07-18T00:00:00"/>
    <n v="10.933333333333334"/>
    <n v="0.48333333333333334"/>
    <x v="0"/>
    <s v="No Rating"/>
    <s v="Resolved"/>
  </r>
  <r>
    <s v="TCK-000049"/>
    <s v="2025-07-18T12:28:48Z"/>
    <n v="1730"/>
    <x v="1"/>
    <x v="3"/>
    <x v="2"/>
    <n v="137"/>
    <n v="7351"/>
    <x v="0"/>
    <n v="3"/>
    <d v="2025-07-18T00:00:00"/>
    <n v="122.51666666666667"/>
    <n v="2.2833333333333332"/>
    <x v="2"/>
    <s v="Neutral"/>
    <s v="Resolved"/>
  </r>
  <r>
    <s v="TCK-000050"/>
    <s v="2025-07-18T21:14:24Z"/>
    <n v="1462"/>
    <x v="3"/>
    <x v="2"/>
    <x v="0"/>
    <n v="84"/>
    <n v="1972"/>
    <x v="0"/>
    <n v="5"/>
    <d v="2025-07-18T00:00:00"/>
    <n v="32.866666666666667"/>
    <n v="1.4"/>
    <x v="0"/>
    <s v="Satisfied"/>
    <s v="Resolved"/>
  </r>
  <r>
    <s v="TCK-000051"/>
    <s v="2025-07-19T06:00:00Z"/>
    <n v="1656"/>
    <x v="3"/>
    <x v="2"/>
    <x v="0"/>
    <n v="60"/>
    <n v="1291"/>
    <x v="0"/>
    <m/>
    <d v="2025-07-19T00:00:00"/>
    <n v="21.516666666666666"/>
    <n v="1"/>
    <x v="0"/>
    <s v="No Rating"/>
    <s v="Resolved"/>
  </r>
  <r>
    <s v="TCK-000052"/>
    <s v="2025-07-19T14:45:36Z"/>
    <n v="1882"/>
    <x v="4"/>
    <x v="2"/>
    <x v="0"/>
    <n v="88"/>
    <m/>
    <x v="3"/>
    <m/>
    <d v="2025-07-19T00:00:00"/>
    <s v=""/>
    <n v="1.4666666666666666"/>
    <x v="1"/>
    <s v="No Rating"/>
    <s v="Unresolved"/>
  </r>
  <r>
    <s v="TCK-000053"/>
    <s v="2025-07-19T23:31:12Z"/>
    <n v="1832"/>
    <x v="4"/>
    <x v="0"/>
    <x v="5"/>
    <n v="11"/>
    <n v="305"/>
    <x v="0"/>
    <n v="2"/>
    <d v="2025-07-19T00:00:00"/>
    <n v="5.083333333333333"/>
    <n v="0.18333333333333332"/>
    <x v="0"/>
    <s v="Dissatisfied"/>
    <s v="Resolved"/>
  </r>
  <r>
    <s v="TCK-000054"/>
    <s v="2025-07-20T08:16:48Z"/>
    <n v="1691"/>
    <x v="1"/>
    <x v="2"/>
    <x v="1"/>
    <n v="93"/>
    <n v="2645"/>
    <x v="0"/>
    <n v="4"/>
    <d v="2025-07-20T00:00:00"/>
    <n v="44.083333333333336"/>
    <n v="1.55"/>
    <x v="0"/>
    <s v="Satisfied"/>
    <s v="Resolved"/>
  </r>
  <r>
    <s v="TCK-000055"/>
    <s v="2025-07-20T17:02:24Z"/>
    <n v="1304"/>
    <x v="1"/>
    <x v="1"/>
    <x v="1"/>
    <n v="38"/>
    <n v="332"/>
    <x v="0"/>
    <m/>
    <d v="2025-07-20T00:00:00"/>
    <n v="5.5333333333333332"/>
    <n v="0.6333333333333333"/>
    <x v="0"/>
    <s v="No Rating"/>
    <s v="Resolved"/>
  </r>
  <r>
    <s v="TCK-000056"/>
    <s v="2025-07-21T01:48:00Z"/>
    <n v="1014"/>
    <x v="2"/>
    <x v="1"/>
    <x v="8"/>
    <n v="45"/>
    <n v="603"/>
    <x v="0"/>
    <m/>
    <d v="2025-07-21T00:00:00"/>
    <n v="10.050000000000001"/>
    <n v="0.75"/>
    <x v="0"/>
    <s v="No Rating"/>
    <s v="Resolved"/>
  </r>
  <r>
    <s v="TCK-000057"/>
    <s v="2025-07-21T10:33:36Z"/>
    <n v="1302"/>
    <x v="3"/>
    <x v="2"/>
    <x v="2"/>
    <n v="135"/>
    <n v="1536"/>
    <x v="1"/>
    <n v="5"/>
    <d v="2025-07-21T00:00:00"/>
    <n v="25.6"/>
    <n v="2.25"/>
    <x v="0"/>
    <s v="Satisfied"/>
    <s v="Resolved"/>
  </r>
  <r>
    <s v="TCK-000058"/>
    <s v="2025-07-21T19:19:12Z"/>
    <n v="1044"/>
    <x v="4"/>
    <x v="0"/>
    <x v="5"/>
    <n v="9"/>
    <n v="253"/>
    <x v="0"/>
    <m/>
    <d v="2025-07-21T00:00:00"/>
    <n v="4.2166666666666668"/>
    <n v="0.15"/>
    <x v="0"/>
    <s v="No Rating"/>
    <s v="Resolved"/>
  </r>
  <r>
    <s v="TCK-000059"/>
    <s v="2025-07-22T04:04:48Z"/>
    <n v="1852"/>
    <x v="3"/>
    <x v="3"/>
    <x v="2"/>
    <n v="334"/>
    <n v="7272"/>
    <x v="1"/>
    <n v="5"/>
    <d v="2025-07-22T00:00:00"/>
    <n v="121.2"/>
    <n v="5.5666666666666664"/>
    <x v="2"/>
    <s v="Satisfied"/>
    <s v="Resolved"/>
  </r>
  <r>
    <s v="TCK-000060"/>
    <s v="2025-07-22T12:50:24Z"/>
    <n v="1272"/>
    <x v="3"/>
    <x v="3"/>
    <x v="3"/>
    <n v="358"/>
    <n v="8804"/>
    <x v="1"/>
    <n v="4"/>
    <d v="2025-07-22T00:00:00"/>
    <n v="146.73333333333332"/>
    <n v="5.9666666666666668"/>
    <x v="2"/>
    <s v="Satisfied"/>
    <s v="Resolved"/>
  </r>
  <r>
    <s v="TCK-000061"/>
    <s v="2025-07-22T21:36:00Z"/>
    <n v="1510"/>
    <x v="0"/>
    <x v="3"/>
    <x v="8"/>
    <n v="83"/>
    <n v="5306"/>
    <x v="0"/>
    <n v="4"/>
    <d v="2025-07-22T00:00:00"/>
    <n v="88.433333333333337"/>
    <n v="1.3833333333333333"/>
    <x v="2"/>
    <s v="Satisfied"/>
    <s v="Resolved"/>
  </r>
  <r>
    <s v="TCK-000062"/>
    <s v="2025-07-23T06:21:36Z"/>
    <n v="1846"/>
    <x v="1"/>
    <x v="2"/>
    <x v="5"/>
    <n v="92"/>
    <n v="2405"/>
    <x v="1"/>
    <n v="4"/>
    <d v="2025-07-23T00:00:00"/>
    <n v="40.083333333333336"/>
    <n v="1.5333333333333334"/>
    <x v="0"/>
    <s v="Satisfied"/>
    <s v="Resolved"/>
  </r>
  <r>
    <s v="TCK-000063"/>
    <s v="2025-07-23T15:07:12Z"/>
    <n v="1505"/>
    <x v="3"/>
    <x v="2"/>
    <x v="8"/>
    <n v="37"/>
    <n v="3555"/>
    <x v="0"/>
    <n v="3"/>
    <d v="2025-07-23T00:00:00"/>
    <n v="59.25"/>
    <n v="0.6166666666666667"/>
    <x v="2"/>
    <s v="Neutral"/>
    <s v="Resolved"/>
  </r>
  <r>
    <s v="TCK-000064"/>
    <s v="2025-07-23T23:52:48Z"/>
    <n v="1163"/>
    <x v="2"/>
    <x v="2"/>
    <x v="4"/>
    <n v="82"/>
    <m/>
    <x v="3"/>
    <m/>
    <d v="2025-07-23T00:00:00"/>
    <s v=""/>
    <n v="1.3666666666666667"/>
    <x v="1"/>
    <s v="No Rating"/>
    <s v="Unresolved"/>
  </r>
  <r>
    <s v="TCK-000065"/>
    <s v="2025-07-24T08:38:24Z"/>
    <n v="1467"/>
    <x v="1"/>
    <x v="2"/>
    <x v="0"/>
    <n v="154"/>
    <n v="953"/>
    <x v="0"/>
    <n v="5"/>
    <d v="2025-07-24T00:00:00"/>
    <n v="15.883333333333333"/>
    <n v="2.5666666666666669"/>
    <x v="0"/>
    <s v="Satisfied"/>
    <s v="Resolved"/>
  </r>
  <r>
    <s v="TCK-000066"/>
    <s v="2025-07-24T17:24:00Z"/>
    <n v="1727"/>
    <x v="2"/>
    <x v="1"/>
    <x v="1"/>
    <n v="18"/>
    <n v="517"/>
    <x v="0"/>
    <m/>
    <d v="2025-07-24T00:00:00"/>
    <n v="8.6166666666666671"/>
    <n v="0.3"/>
    <x v="0"/>
    <s v="No Rating"/>
    <s v="Resolved"/>
  </r>
  <r>
    <s v="TCK-000067"/>
    <s v="2025-07-25T02:09:36Z"/>
    <n v="1656"/>
    <x v="1"/>
    <x v="2"/>
    <x v="8"/>
    <n v="146"/>
    <m/>
    <x v="2"/>
    <m/>
    <d v="2025-07-25T00:00:00"/>
    <s v=""/>
    <n v="2.4333333333333331"/>
    <x v="1"/>
    <s v="No Rating"/>
    <s v="Unresolved"/>
  </r>
  <r>
    <s v="TCK-000068"/>
    <s v="2025-07-25T10:55:12Z"/>
    <n v="1142"/>
    <x v="2"/>
    <x v="3"/>
    <x v="1"/>
    <n v="225"/>
    <n v="4766"/>
    <x v="1"/>
    <n v="2"/>
    <d v="2025-07-25T00:00:00"/>
    <n v="79.433333333333337"/>
    <n v="3.75"/>
    <x v="2"/>
    <s v="Dissatisfied"/>
    <s v="Resolved"/>
  </r>
  <r>
    <s v="TCK-000069"/>
    <s v="2025-07-25T19:40:48Z"/>
    <n v="1767"/>
    <x v="1"/>
    <x v="2"/>
    <x v="7"/>
    <n v="127"/>
    <n v="671"/>
    <x v="1"/>
    <n v="4"/>
    <d v="2025-07-25T00:00:00"/>
    <n v="11.183333333333334"/>
    <n v="2.1166666666666667"/>
    <x v="0"/>
    <s v="Satisfied"/>
    <s v="Resolved"/>
  </r>
  <r>
    <s v="TCK-000070"/>
    <s v="2025-07-26T04:26:24Z"/>
    <n v="1103"/>
    <x v="0"/>
    <x v="2"/>
    <x v="4"/>
    <n v="150"/>
    <n v="2818"/>
    <x v="0"/>
    <m/>
    <d v="2025-07-26T00:00:00"/>
    <n v="46.966666666666669"/>
    <n v="2.5"/>
    <x v="0"/>
    <s v="No Rating"/>
    <s v="Resolved"/>
  </r>
  <r>
    <s v="TCK-000071"/>
    <s v="2025-07-26T13:12:00Z"/>
    <n v="1188"/>
    <x v="0"/>
    <x v="3"/>
    <x v="6"/>
    <n v="98"/>
    <n v="6022"/>
    <x v="1"/>
    <n v="2"/>
    <d v="2025-07-26T00:00:00"/>
    <n v="100.36666666666666"/>
    <n v="1.6333333333333333"/>
    <x v="2"/>
    <s v="Dissatisfied"/>
    <s v="Resolved"/>
  </r>
  <r>
    <s v="TCK-000072"/>
    <s v="2025-07-26T21:57:36Z"/>
    <n v="1455"/>
    <x v="4"/>
    <x v="0"/>
    <x v="2"/>
    <n v="9"/>
    <m/>
    <x v="2"/>
    <m/>
    <d v="2025-07-26T00:00:00"/>
    <s v=""/>
    <n v="0.15"/>
    <x v="1"/>
    <s v="No Rating"/>
    <s v="Unresolved"/>
  </r>
  <r>
    <s v="TCK-000073"/>
    <s v="2025-07-27T06:43:12Z"/>
    <n v="1179"/>
    <x v="4"/>
    <x v="2"/>
    <x v="4"/>
    <n v="85"/>
    <n v="3589"/>
    <x v="0"/>
    <m/>
    <d v="2025-07-27T00:00:00"/>
    <n v="59.81666666666667"/>
    <n v="1.4166666666666667"/>
    <x v="2"/>
    <s v="No Rating"/>
    <s v="Resolved"/>
  </r>
  <r>
    <s v="TCK-000074"/>
    <s v="2025-07-27T15:28:48Z"/>
    <n v="1974"/>
    <x v="4"/>
    <x v="0"/>
    <x v="6"/>
    <n v="7"/>
    <n v="253"/>
    <x v="0"/>
    <n v="5"/>
    <d v="2025-07-27T00:00:00"/>
    <n v="4.2166666666666668"/>
    <n v="0.11666666666666667"/>
    <x v="0"/>
    <s v="Satisfied"/>
    <s v="Resolved"/>
  </r>
  <r>
    <s v="TCK-000075"/>
    <s v="2025-07-28T00:14:24Z"/>
    <n v="1401"/>
    <x v="2"/>
    <x v="0"/>
    <x v="1"/>
    <n v="8"/>
    <n v="196"/>
    <x v="0"/>
    <n v="3"/>
    <d v="2025-07-28T00:00:00"/>
    <n v="3.2666666666666666"/>
    <n v="0.13333333333333333"/>
    <x v="0"/>
    <s v="Neutral"/>
    <s v="Resolved"/>
  </r>
  <r>
    <s v="TCK-000076"/>
    <s v="2025-07-28T09:00:00Z"/>
    <n v="1780"/>
    <x v="1"/>
    <x v="2"/>
    <x v="5"/>
    <n v="100"/>
    <n v="3400"/>
    <x v="1"/>
    <n v="2"/>
    <d v="2025-07-28T00:00:00"/>
    <n v="56.666666666666664"/>
    <n v="1.6666666666666667"/>
    <x v="2"/>
    <s v="Dissatisfied"/>
    <s v="Resolved"/>
  </r>
  <r>
    <s v="TCK-000077"/>
    <s v="2025-07-28T17:45:36Z"/>
    <n v="1773"/>
    <x v="3"/>
    <x v="2"/>
    <x v="4"/>
    <n v="75"/>
    <n v="1890"/>
    <x v="0"/>
    <n v="1"/>
    <d v="2025-07-28T00:00:00"/>
    <n v="31.5"/>
    <n v="1.25"/>
    <x v="0"/>
    <s v="Dissatisfied"/>
    <s v="Resolved"/>
  </r>
  <r>
    <s v="TCK-000078"/>
    <s v="2025-07-29T02:31:12Z"/>
    <n v="1827"/>
    <x v="0"/>
    <x v="2"/>
    <x v="1"/>
    <n v="110"/>
    <n v="804"/>
    <x v="0"/>
    <m/>
    <d v="2025-07-29T00:00:00"/>
    <n v="13.4"/>
    <n v="1.8333333333333333"/>
    <x v="0"/>
    <s v="No Rating"/>
    <s v="Resolved"/>
  </r>
  <r>
    <s v="TCK-000079"/>
    <s v="2025-07-29T11:16:48Z"/>
    <n v="1320"/>
    <x v="3"/>
    <x v="0"/>
    <x v="5"/>
    <n v="12"/>
    <m/>
    <x v="2"/>
    <m/>
    <d v="2025-07-29T00:00:00"/>
    <s v=""/>
    <n v="0.2"/>
    <x v="1"/>
    <s v="No Rating"/>
    <s v="Unresolved"/>
  </r>
  <r>
    <s v="TCK-000080"/>
    <s v="2025-07-29T20:02:24Z"/>
    <n v="1809"/>
    <x v="3"/>
    <x v="3"/>
    <x v="4"/>
    <n v="478"/>
    <n v="7910"/>
    <x v="0"/>
    <n v="1"/>
    <d v="2025-07-29T00:00:00"/>
    <n v="131.83333333333334"/>
    <n v="7.9666666666666668"/>
    <x v="2"/>
    <s v="Dissatisfied"/>
    <s v="Resolved"/>
  </r>
  <r>
    <s v="TCK-000081"/>
    <s v="2025-07-30T04:48:00Z"/>
    <n v="1190"/>
    <x v="0"/>
    <x v="3"/>
    <x v="7"/>
    <n v="372"/>
    <m/>
    <x v="2"/>
    <m/>
    <d v="2025-07-30T00:00:00"/>
    <s v=""/>
    <n v="6.2"/>
    <x v="1"/>
    <s v="No Rating"/>
    <s v="Unresolved"/>
  </r>
  <r>
    <s v="TCK-000082"/>
    <s v="2025-07-30T13:33:36Z"/>
    <n v="1525"/>
    <x v="1"/>
    <x v="3"/>
    <x v="6"/>
    <n v="251"/>
    <n v="8454"/>
    <x v="1"/>
    <m/>
    <d v="2025-07-30T00:00:00"/>
    <n v="140.9"/>
    <n v="4.1833333333333336"/>
    <x v="2"/>
    <s v="No Rating"/>
    <s v="Resolved"/>
  </r>
  <r>
    <s v="TCK-000083"/>
    <s v="2025-07-30T22:19:12Z"/>
    <n v="1223"/>
    <x v="0"/>
    <x v="2"/>
    <x v="1"/>
    <n v="154"/>
    <n v="2138"/>
    <x v="0"/>
    <n v="5"/>
    <d v="2025-07-30T00:00:00"/>
    <n v="35.633333333333333"/>
    <n v="2.5666666666666669"/>
    <x v="0"/>
    <s v="Satisfied"/>
    <s v="Resolved"/>
  </r>
  <r>
    <s v="TCK-000084"/>
    <s v="2025-07-31T07:04:48Z"/>
    <n v="1500"/>
    <x v="1"/>
    <x v="3"/>
    <x v="7"/>
    <n v="397"/>
    <n v="4199"/>
    <x v="1"/>
    <n v="3"/>
    <d v="2025-07-31T00:00:00"/>
    <n v="69.983333333333334"/>
    <n v="6.6166666666666663"/>
    <x v="0"/>
    <s v="Neutral"/>
    <s v="Resolved"/>
  </r>
  <r>
    <s v="TCK-000085"/>
    <s v="2025-07-31T15:50:24Z"/>
    <n v="1134"/>
    <x v="2"/>
    <x v="0"/>
    <x v="5"/>
    <n v="8"/>
    <m/>
    <x v="3"/>
    <m/>
    <d v="2025-07-31T00:00:00"/>
    <s v=""/>
    <n v="0.13333333333333333"/>
    <x v="1"/>
    <s v="No Rating"/>
    <s v="Unresolved"/>
  </r>
  <r>
    <s v="TCK-000086"/>
    <s v="2025-08-01T00:36:00Z"/>
    <n v="1988"/>
    <x v="2"/>
    <x v="0"/>
    <x v="2"/>
    <n v="9"/>
    <n v="171"/>
    <x v="0"/>
    <m/>
    <d v="2025-08-01T00:00:00"/>
    <n v="2.85"/>
    <n v="0.15"/>
    <x v="0"/>
    <s v="No Rating"/>
    <s v="Resolved"/>
  </r>
  <r>
    <s v="TCK-000087"/>
    <s v="2025-08-01T09:21:36Z"/>
    <n v="1483"/>
    <x v="1"/>
    <x v="2"/>
    <x v="2"/>
    <n v="38"/>
    <m/>
    <x v="2"/>
    <m/>
    <d v="2025-08-01T00:00:00"/>
    <s v=""/>
    <n v="0.6333333333333333"/>
    <x v="1"/>
    <s v="No Rating"/>
    <s v="Unresolved"/>
  </r>
  <r>
    <s v="TCK-000088"/>
    <s v="2025-08-01T18:07:12Z"/>
    <n v="1668"/>
    <x v="2"/>
    <x v="3"/>
    <x v="3"/>
    <n v="144"/>
    <m/>
    <x v="2"/>
    <m/>
    <d v="2025-08-01T00:00:00"/>
    <s v=""/>
    <n v="2.4"/>
    <x v="1"/>
    <s v="No Rating"/>
    <s v="Unresolved"/>
  </r>
  <r>
    <s v="TCK-000089"/>
    <s v="2025-08-02T02:52:48Z"/>
    <n v="1271"/>
    <x v="2"/>
    <x v="3"/>
    <x v="6"/>
    <n v="443"/>
    <n v="4495"/>
    <x v="0"/>
    <m/>
    <d v="2025-08-02T00:00:00"/>
    <n v="74.916666666666671"/>
    <n v="7.3833333333333337"/>
    <x v="2"/>
    <s v="No Rating"/>
    <s v="Resolved"/>
  </r>
  <r>
    <s v="TCK-000090"/>
    <s v="2025-08-02T11:38:24Z"/>
    <n v="1720"/>
    <x v="4"/>
    <x v="1"/>
    <x v="2"/>
    <n v="39"/>
    <n v="1190"/>
    <x v="0"/>
    <n v="2"/>
    <d v="2025-08-02T00:00:00"/>
    <n v="19.833333333333332"/>
    <n v="0.65"/>
    <x v="0"/>
    <s v="Dissatisfied"/>
    <s v="Resolved"/>
  </r>
  <r>
    <s v="TCK-000091"/>
    <s v="2025-08-02T20:24:00Z"/>
    <n v="1470"/>
    <x v="1"/>
    <x v="3"/>
    <x v="5"/>
    <n v="363"/>
    <m/>
    <x v="3"/>
    <m/>
    <d v="2025-08-02T00:00:00"/>
    <s v=""/>
    <n v="6.05"/>
    <x v="1"/>
    <s v="No Rating"/>
    <s v="Unresolved"/>
  </r>
  <r>
    <s v="TCK-000092"/>
    <s v="2025-08-03T05:09:36Z"/>
    <n v="1646"/>
    <x v="3"/>
    <x v="3"/>
    <x v="0"/>
    <n v="278"/>
    <n v="2252"/>
    <x v="0"/>
    <n v="3"/>
    <d v="2025-08-03T00:00:00"/>
    <n v="37.533333333333331"/>
    <n v="4.6333333333333337"/>
    <x v="0"/>
    <s v="Neutral"/>
    <s v="Resolved"/>
  </r>
  <r>
    <s v="TCK-000093"/>
    <s v="2025-08-03T13:55:12Z"/>
    <n v="1486"/>
    <x v="0"/>
    <x v="1"/>
    <x v="5"/>
    <n v="28"/>
    <m/>
    <x v="3"/>
    <m/>
    <d v="2025-08-03T00:00:00"/>
    <s v=""/>
    <n v="0.46666666666666667"/>
    <x v="1"/>
    <s v="No Rating"/>
    <s v="Unresolved"/>
  </r>
  <r>
    <s v="TCK-000094"/>
    <s v="2025-08-03T22:40:48Z"/>
    <n v="1164"/>
    <x v="3"/>
    <x v="3"/>
    <x v="6"/>
    <n v="182"/>
    <n v="5584"/>
    <x v="0"/>
    <m/>
    <d v="2025-08-03T00:00:00"/>
    <n v="93.066666666666663"/>
    <n v="3.0333333333333332"/>
    <x v="2"/>
    <s v="No Rating"/>
    <s v="Resolved"/>
  </r>
  <r>
    <s v="TCK-000095"/>
    <s v="2025-08-04T07:26:24Z"/>
    <n v="1946"/>
    <x v="2"/>
    <x v="1"/>
    <x v="2"/>
    <n v="42"/>
    <n v="906"/>
    <x v="1"/>
    <n v="4"/>
    <d v="2025-08-04T00:00:00"/>
    <n v="15.1"/>
    <n v="0.7"/>
    <x v="0"/>
    <s v="Satisfied"/>
    <s v="Resolved"/>
  </r>
  <r>
    <s v="TCK-000096"/>
    <s v="2025-08-04T16:12:00Z"/>
    <n v="1559"/>
    <x v="4"/>
    <x v="3"/>
    <x v="1"/>
    <n v="341"/>
    <n v="6958"/>
    <x v="0"/>
    <m/>
    <d v="2025-08-04T00:00:00"/>
    <n v="115.96666666666667"/>
    <n v="5.6833333333333336"/>
    <x v="2"/>
    <s v="No Rating"/>
    <s v="Resolved"/>
  </r>
  <r>
    <s v="TCK-000097"/>
    <s v="2025-08-05T00:57:36Z"/>
    <n v="1154"/>
    <x v="0"/>
    <x v="2"/>
    <x v="8"/>
    <n v="76"/>
    <n v="3668"/>
    <x v="0"/>
    <n v="3"/>
    <d v="2025-08-05T00:00:00"/>
    <n v="61.133333333333333"/>
    <n v="1.2666666666666666"/>
    <x v="2"/>
    <s v="Neutral"/>
    <s v="Resolved"/>
  </r>
  <r>
    <s v="TCK-000098"/>
    <s v="2025-08-05T09:43:12Z"/>
    <n v="1816"/>
    <x v="1"/>
    <x v="1"/>
    <x v="4"/>
    <n v="34"/>
    <n v="828"/>
    <x v="0"/>
    <m/>
    <d v="2025-08-05T00:00:00"/>
    <n v="13.8"/>
    <n v="0.56666666666666665"/>
    <x v="0"/>
    <s v="No Rating"/>
    <s v="Resolved"/>
  </r>
  <r>
    <s v="TCK-000099"/>
    <s v="2025-08-05T18:28:48Z"/>
    <n v="1256"/>
    <x v="2"/>
    <x v="2"/>
    <x v="0"/>
    <n v="178"/>
    <n v="1213"/>
    <x v="1"/>
    <m/>
    <d v="2025-08-05T00:00:00"/>
    <n v="20.216666666666665"/>
    <n v="2.9666666666666668"/>
    <x v="0"/>
    <s v="No Rating"/>
    <s v="Resolved"/>
  </r>
  <r>
    <s v="TCK-000100"/>
    <s v="2025-08-06T03:14:24Z"/>
    <n v="1389"/>
    <x v="3"/>
    <x v="1"/>
    <x v="6"/>
    <n v="25"/>
    <n v="620"/>
    <x v="1"/>
    <m/>
    <d v="2025-08-06T00:00:00"/>
    <n v="10.333333333333334"/>
    <n v="0.41666666666666669"/>
    <x v="0"/>
    <s v="No Rating"/>
    <s v="Resolved"/>
  </r>
  <r>
    <s v="TCK-000101"/>
    <s v="2025-08-06T12:00:00Z"/>
    <n v="1082"/>
    <x v="3"/>
    <x v="2"/>
    <x v="6"/>
    <n v="99"/>
    <n v="2212"/>
    <x v="0"/>
    <m/>
    <d v="2025-08-06T00:00:00"/>
    <n v="36.866666666666667"/>
    <n v="1.65"/>
    <x v="0"/>
    <s v="No Rating"/>
    <s v="Resolved"/>
  </r>
  <r>
    <s v="TCK-000102"/>
    <s v="2025-08-06T20:45:36Z"/>
    <n v="1957"/>
    <x v="0"/>
    <x v="3"/>
    <x v="2"/>
    <n v="125"/>
    <m/>
    <x v="3"/>
    <m/>
    <d v="2025-08-06T00:00:00"/>
    <s v=""/>
    <n v="2.0833333333333335"/>
    <x v="1"/>
    <s v="No Rating"/>
    <s v="Unresolved"/>
  </r>
  <r>
    <s v="TCK-000103"/>
    <s v="2025-08-07T05:31:12Z"/>
    <n v="1734"/>
    <x v="2"/>
    <x v="0"/>
    <x v="7"/>
    <n v="3"/>
    <n v="143"/>
    <x v="0"/>
    <m/>
    <d v="2025-08-07T00:00:00"/>
    <n v="2.3833333333333333"/>
    <n v="0.05"/>
    <x v="0"/>
    <s v="No Rating"/>
    <s v="Resolved"/>
  </r>
  <r>
    <s v="TCK-000104"/>
    <s v="2025-08-07T14:16:48Z"/>
    <n v="1716"/>
    <x v="1"/>
    <x v="2"/>
    <x v="5"/>
    <n v="125"/>
    <n v="1101"/>
    <x v="0"/>
    <n v="1"/>
    <d v="2025-08-07T00:00:00"/>
    <n v="18.350000000000001"/>
    <n v="2.0833333333333335"/>
    <x v="0"/>
    <s v="Dissatisfied"/>
    <s v="Resolved"/>
  </r>
  <r>
    <s v="TCK-000105"/>
    <s v="2025-08-07T23:02:24Z"/>
    <n v="1559"/>
    <x v="2"/>
    <x v="0"/>
    <x v="5"/>
    <n v="2"/>
    <m/>
    <x v="3"/>
    <m/>
    <d v="2025-08-07T00:00:00"/>
    <s v=""/>
    <n v="3.3333333333333333E-2"/>
    <x v="1"/>
    <s v="No Rating"/>
    <s v="Unresolved"/>
  </r>
  <r>
    <s v="TCK-000106"/>
    <s v="2025-08-08T07:48:00Z"/>
    <n v="1997"/>
    <x v="0"/>
    <x v="3"/>
    <x v="7"/>
    <n v="116"/>
    <m/>
    <x v="2"/>
    <m/>
    <d v="2025-08-08T00:00:00"/>
    <s v=""/>
    <n v="1.9333333333333333"/>
    <x v="1"/>
    <s v="No Rating"/>
    <s v="Unresolved"/>
  </r>
  <r>
    <s v="TCK-000107"/>
    <s v="2025-08-08T16:33:36Z"/>
    <n v="1783"/>
    <x v="2"/>
    <x v="2"/>
    <x v="4"/>
    <n v="29"/>
    <n v="1884"/>
    <x v="0"/>
    <m/>
    <d v="2025-08-08T00:00:00"/>
    <n v="31.4"/>
    <n v="0.48333333333333334"/>
    <x v="0"/>
    <s v="No Rating"/>
    <s v="Resolved"/>
  </r>
  <r>
    <s v="TCK-000108"/>
    <s v="2025-08-09T01:19:12Z"/>
    <n v="1520"/>
    <x v="2"/>
    <x v="0"/>
    <x v="7"/>
    <n v="11"/>
    <n v="268"/>
    <x v="1"/>
    <m/>
    <d v="2025-08-09T00:00:00"/>
    <n v="4.4666666666666668"/>
    <n v="0.18333333333333332"/>
    <x v="0"/>
    <s v="No Rating"/>
    <s v="Resolved"/>
  </r>
  <r>
    <s v="TCK-000109"/>
    <s v="2025-08-09T10:04:48Z"/>
    <n v="1166"/>
    <x v="1"/>
    <x v="0"/>
    <x v="4"/>
    <n v="6"/>
    <n v="234"/>
    <x v="0"/>
    <m/>
    <d v="2025-08-09T00:00:00"/>
    <n v="3.9"/>
    <n v="0.1"/>
    <x v="0"/>
    <s v="No Rating"/>
    <s v="Resolved"/>
  </r>
  <r>
    <s v="TCK-000110"/>
    <s v="2025-08-09T18:50:24Z"/>
    <n v="1962"/>
    <x v="1"/>
    <x v="2"/>
    <x v="1"/>
    <n v="117"/>
    <n v="1427"/>
    <x v="1"/>
    <n v="5"/>
    <d v="2025-08-09T00:00:00"/>
    <n v="23.783333333333335"/>
    <n v="1.95"/>
    <x v="0"/>
    <s v="Satisfied"/>
    <s v="Resolved"/>
  </r>
  <r>
    <s v="TCK-000111"/>
    <s v="2025-08-10T03:36:00Z"/>
    <n v="1349"/>
    <x v="0"/>
    <x v="2"/>
    <x v="4"/>
    <n v="44"/>
    <n v="537"/>
    <x v="0"/>
    <n v="4"/>
    <d v="2025-08-10T00:00:00"/>
    <n v="8.9499999999999993"/>
    <n v="0.73333333333333328"/>
    <x v="0"/>
    <s v="Satisfied"/>
    <s v="Resolved"/>
  </r>
  <r>
    <s v="TCK-000112"/>
    <s v="2025-08-10T12:21:36Z"/>
    <n v="1289"/>
    <x v="3"/>
    <x v="3"/>
    <x v="3"/>
    <n v="448"/>
    <n v="6622"/>
    <x v="0"/>
    <n v="2"/>
    <d v="2025-08-10T00:00:00"/>
    <n v="110.36666666666666"/>
    <n v="7.4666666666666668"/>
    <x v="2"/>
    <s v="Dissatisfied"/>
    <s v="Resolved"/>
  </r>
  <r>
    <s v="TCK-000113"/>
    <s v="2025-08-10T21:07:12Z"/>
    <n v="1175"/>
    <x v="1"/>
    <x v="2"/>
    <x v="5"/>
    <n v="165"/>
    <n v="1120"/>
    <x v="0"/>
    <m/>
    <d v="2025-08-10T00:00:00"/>
    <n v="18.666666666666668"/>
    <n v="2.75"/>
    <x v="0"/>
    <s v="No Rating"/>
    <s v="Resolved"/>
  </r>
  <r>
    <s v="TCK-000114"/>
    <s v="2025-08-11T05:52:48Z"/>
    <n v="1246"/>
    <x v="0"/>
    <x v="2"/>
    <x v="2"/>
    <n v="173"/>
    <n v="2640"/>
    <x v="0"/>
    <n v="1"/>
    <d v="2025-08-11T00:00:00"/>
    <n v="44"/>
    <n v="2.8833333333333333"/>
    <x v="0"/>
    <s v="Dissatisfied"/>
    <s v="Resolved"/>
  </r>
  <r>
    <s v="TCK-000115"/>
    <s v="2025-08-11T14:38:24Z"/>
    <n v="1064"/>
    <x v="3"/>
    <x v="0"/>
    <x v="5"/>
    <n v="4"/>
    <m/>
    <x v="3"/>
    <m/>
    <d v="2025-08-11T00:00:00"/>
    <s v=""/>
    <n v="6.6666666666666666E-2"/>
    <x v="1"/>
    <s v="No Rating"/>
    <s v="Unresolved"/>
  </r>
  <r>
    <s v="TCK-000116"/>
    <s v="2025-08-11T23:24:00Z"/>
    <n v="1545"/>
    <x v="1"/>
    <x v="2"/>
    <x v="6"/>
    <n v="52"/>
    <n v="2361"/>
    <x v="1"/>
    <n v="3"/>
    <d v="2025-08-11T00:00:00"/>
    <n v="39.35"/>
    <n v="0.8666666666666667"/>
    <x v="0"/>
    <s v="Neutral"/>
    <s v="Resolved"/>
  </r>
  <r>
    <s v="TCK-000117"/>
    <s v="2025-08-12T08:09:36Z"/>
    <n v="1775"/>
    <x v="3"/>
    <x v="0"/>
    <x v="5"/>
    <n v="9"/>
    <n v="428"/>
    <x v="0"/>
    <n v="3"/>
    <d v="2025-08-12T00:00:00"/>
    <n v="7.1333333333333337"/>
    <n v="0.15"/>
    <x v="0"/>
    <s v="Neutral"/>
    <s v="Resolved"/>
  </r>
  <r>
    <s v="TCK-000118"/>
    <s v="2025-08-12T16:55:12Z"/>
    <n v="1188"/>
    <x v="2"/>
    <x v="2"/>
    <x v="3"/>
    <n v="163"/>
    <n v="3541"/>
    <x v="0"/>
    <n v="3"/>
    <d v="2025-08-12T00:00:00"/>
    <n v="59.016666666666666"/>
    <n v="2.7166666666666668"/>
    <x v="2"/>
    <s v="Neutral"/>
    <s v="Resolved"/>
  </r>
  <r>
    <s v="TCK-000119"/>
    <s v="2025-08-13T01:40:48Z"/>
    <n v="1703"/>
    <x v="1"/>
    <x v="3"/>
    <x v="2"/>
    <n v="352"/>
    <n v="8671"/>
    <x v="0"/>
    <n v="1"/>
    <d v="2025-08-13T00:00:00"/>
    <n v="144.51666666666668"/>
    <n v="5.8666666666666663"/>
    <x v="2"/>
    <s v="Dissatisfied"/>
    <s v="Resolved"/>
  </r>
  <r>
    <s v="TCK-000120"/>
    <s v="2025-08-13T10:26:24Z"/>
    <n v="1163"/>
    <x v="2"/>
    <x v="1"/>
    <x v="5"/>
    <n v="42"/>
    <n v="520"/>
    <x v="0"/>
    <n v="5"/>
    <d v="2025-08-13T00:00:00"/>
    <n v="8.6666666666666661"/>
    <n v="0.7"/>
    <x v="0"/>
    <s v="Satisfied"/>
    <s v="Resolved"/>
  </r>
  <r>
    <s v="TCK-000121"/>
    <s v="2025-08-13T19:12:00Z"/>
    <n v="1301"/>
    <x v="3"/>
    <x v="1"/>
    <x v="7"/>
    <n v="21"/>
    <n v="719"/>
    <x v="0"/>
    <n v="3"/>
    <d v="2025-08-13T00:00:00"/>
    <n v="11.983333333333333"/>
    <n v="0.35"/>
    <x v="0"/>
    <s v="Neutral"/>
    <s v="Resolved"/>
  </r>
  <r>
    <s v="TCK-000122"/>
    <s v="2025-08-14T03:57:36Z"/>
    <n v="1131"/>
    <x v="3"/>
    <x v="2"/>
    <x v="2"/>
    <n v="43"/>
    <n v="2951"/>
    <x v="0"/>
    <n v="1"/>
    <d v="2025-08-14T00:00:00"/>
    <n v="49.18333333333333"/>
    <n v="0.71666666666666667"/>
    <x v="2"/>
    <s v="Dissatisfied"/>
    <s v="Resolved"/>
  </r>
  <r>
    <s v="TCK-000123"/>
    <s v="2025-08-14T12:43:12Z"/>
    <n v="1499"/>
    <x v="1"/>
    <x v="3"/>
    <x v="1"/>
    <n v="474"/>
    <n v="7762"/>
    <x v="1"/>
    <n v="4"/>
    <d v="2025-08-14T00:00:00"/>
    <n v="129.36666666666667"/>
    <n v="7.9"/>
    <x v="2"/>
    <s v="Satisfied"/>
    <s v="Resolved"/>
  </r>
  <r>
    <s v="TCK-000124"/>
    <s v="2025-08-14T21:28:48Z"/>
    <n v="1990"/>
    <x v="2"/>
    <x v="0"/>
    <x v="3"/>
    <n v="3"/>
    <n v="407"/>
    <x v="0"/>
    <n v="4"/>
    <d v="2025-08-14T00:00:00"/>
    <n v="6.7833333333333332"/>
    <n v="0.05"/>
    <x v="0"/>
    <s v="Satisfied"/>
    <s v="Resolved"/>
  </r>
  <r>
    <s v="TCK-000125"/>
    <s v="2025-08-15T06:14:24Z"/>
    <n v="1235"/>
    <x v="0"/>
    <x v="0"/>
    <x v="6"/>
    <n v="11"/>
    <m/>
    <x v="3"/>
    <m/>
    <d v="2025-08-15T00:00:00"/>
    <s v=""/>
    <n v="0.18333333333333332"/>
    <x v="1"/>
    <s v="No Rating"/>
    <s v="Unresolved"/>
  </r>
  <r>
    <s v="TCK-000126"/>
    <s v="2025-08-15T15:00:00Z"/>
    <n v="1898"/>
    <x v="1"/>
    <x v="3"/>
    <x v="5"/>
    <n v="132"/>
    <n v="5609"/>
    <x v="0"/>
    <n v="5"/>
    <d v="2025-08-15T00:00:00"/>
    <n v="93.483333333333334"/>
    <n v="2.2000000000000002"/>
    <x v="2"/>
    <s v="Satisfied"/>
    <s v="Resolved"/>
  </r>
  <r>
    <s v="TCK-000127"/>
    <s v="2025-08-15T23:45:36Z"/>
    <n v="1843"/>
    <x v="2"/>
    <x v="1"/>
    <x v="5"/>
    <n v="44"/>
    <n v="690"/>
    <x v="0"/>
    <n v="3"/>
    <d v="2025-08-15T00:00:00"/>
    <n v="11.5"/>
    <n v="0.73333333333333328"/>
    <x v="0"/>
    <s v="Neutral"/>
    <s v="Resolved"/>
  </r>
  <r>
    <s v="TCK-000128"/>
    <s v="2025-08-16T08:31:12Z"/>
    <n v="1876"/>
    <x v="0"/>
    <x v="0"/>
    <x v="1"/>
    <n v="7"/>
    <n v="83"/>
    <x v="0"/>
    <m/>
    <d v="2025-08-16T00:00:00"/>
    <n v="1.3833333333333333"/>
    <n v="0.11666666666666667"/>
    <x v="0"/>
    <s v="No Rating"/>
    <s v="Resolved"/>
  </r>
  <r>
    <s v="TCK-000129"/>
    <s v="2025-08-16T17:16:48Z"/>
    <n v="1172"/>
    <x v="1"/>
    <x v="0"/>
    <x v="6"/>
    <n v="6"/>
    <n v="167"/>
    <x v="0"/>
    <n v="1"/>
    <d v="2025-08-16T00:00:00"/>
    <n v="2.7833333333333332"/>
    <n v="0.1"/>
    <x v="0"/>
    <s v="Dissatisfied"/>
    <s v="Resolved"/>
  </r>
  <r>
    <s v="TCK-000130"/>
    <s v="2025-08-17T02:02:24Z"/>
    <n v="1620"/>
    <x v="0"/>
    <x v="0"/>
    <x v="1"/>
    <n v="7"/>
    <n v="74"/>
    <x v="1"/>
    <n v="1"/>
    <d v="2025-08-17T00:00:00"/>
    <n v="1.2333333333333334"/>
    <n v="0.11666666666666667"/>
    <x v="0"/>
    <s v="Dissatisfied"/>
    <s v="Resolved"/>
  </r>
  <r>
    <s v="TCK-000131"/>
    <s v="2025-08-17T10:48:00Z"/>
    <n v="1963"/>
    <x v="0"/>
    <x v="1"/>
    <x v="4"/>
    <n v="21"/>
    <n v="209"/>
    <x v="0"/>
    <n v="1"/>
    <d v="2025-08-17T00:00:00"/>
    <n v="3.4833333333333334"/>
    <n v="0.35"/>
    <x v="0"/>
    <s v="Dissatisfied"/>
    <s v="Resolved"/>
  </r>
  <r>
    <s v="TCK-000132"/>
    <s v="2025-08-17T19:33:36Z"/>
    <n v="1178"/>
    <x v="3"/>
    <x v="3"/>
    <x v="4"/>
    <n v="360"/>
    <n v="4951"/>
    <x v="0"/>
    <m/>
    <d v="2025-08-17T00:00:00"/>
    <n v="82.516666666666666"/>
    <n v="6"/>
    <x v="2"/>
    <s v="No Rating"/>
    <s v="Resolved"/>
  </r>
  <r>
    <s v="TCK-000133"/>
    <s v="2025-08-18T04:19:12Z"/>
    <n v="1100"/>
    <x v="1"/>
    <x v="1"/>
    <x v="3"/>
    <n v="26"/>
    <n v="1110"/>
    <x v="0"/>
    <m/>
    <d v="2025-08-18T00:00:00"/>
    <n v="18.5"/>
    <n v="0.43333333333333335"/>
    <x v="0"/>
    <s v="No Rating"/>
    <s v="Resolved"/>
  </r>
  <r>
    <s v="TCK-000134"/>
    <s v="2025-08-18T13:04:48Z"/>
    <n v="1154"/>
    <x v="2"/>
    <x v="1"/>
    <x v="1"/>
    <n v="17"/>
    <n v="651"/>
    <x v="1"/>
    <n v="3"/>
    <d v="2025-08-18T00:00:00"/>
    <n v="10.85"/>
    <n v="0.28333333333333333"/>
    <x v="0"/>
    <s v="Neutral"/>
    <s v="Resolved"/>
  </r>
  <r>
    <s v="TCK-000135"/>
    <s v="2025-08-18T21:50:24Z"/>
    <n v="1845"/>
    <x v="0"/>
    <x v="0"/>
    <x v="2"/>
    <n v="6"/>
    <n v="207"/>
    <x v="1"/>
    <n v="5"/>
    <d v="2025-08-18T00:00:00"/>
    <n v="3.45"/>
    <n v="0.1"/>
    <x v="0"/>
    <s v="Satisfied"/>
    <s v="Resolved"/>
  </r>
  <r>
    <s v="TCK-000136"/>
    <s v="2025-08-19T06:36:00Z"/>
    <n v="1154"/>
    <x v="0"/>
    <x v="0"/>
    <x v="7"/>
    <n v="6"/>
    <n v="230"/>
    <x v="0"/>
    <m/>
    <d v="2025-08-19T00:00:00"/>
    <n v="3.8333333333333335"/>
    <n v="0.1"/>
    <x v="0"/>
    <s v="No Rating"/>
    <s v="Resolved"/>
  </r>
  <r>
    <s v="TCK-000137"/>
    <s v="2025-08-19T15:21:36Z"/>
    <n v="1269"/>
    <x v="2"/>
    <x v="2"/>
    <x v="5"/>
    <n v="88"/>
    <n v="2568"/>
    <x v="0"/>
    <m/>
    <d v="2025-08-19T00:00:00"/>
    <n v="42.8"/>
    <n v="1.4666666666666666"/>
    <x v="0"/>
    <s v="No Rating"/>
    <s v="Resolved"/>
  </r>
  <r>
    <s v="TCK-000138"/>
    <s v="2025-08-20T00:07:12Z"/>
    <n v="1391"/>
    <x v="2"/>
    <x v="2"/>
    <x v="4"/>
    <n v="35"/>
    <m/>
    <x v="3"/>
    <m/>
    <d v="2025-08-20T00:00:00"/>
    <s v=""/>
    <n v="0.58333333333333337"/>
    <x v="1"/>
    <s v="No Rating"/>
    <s v="Unresolved"/>
  </r>
  <r>
    <s v="TCK-000139"/>
    <s v="2025-08-20T08:52:48Z"/>
    <n v="1585"/>
    <x v="3"/>
    <x v="1"/>
    <x v="2"/>
    <n v="38"/>
    <n v="283"/>
    <x v="1"/>
    <n v="5"/>
    <d v="2025-08-20T00:00:00"/>
    <n v="4.7166666666666668"/>
    <n v="0.6333333333333333"/>
    <x v="0"/>
    <s v="Satisfied"/>
    <s v="Resolved"/>
  </r>
  <r>
    <s v="TCK-000140"/>
    <s v="2025-08-20T17:38:24Z"/>
    <n v="1601"/>
    <x v="0"/>
    <x v="2"/>
    <x v="7"/>
    <n v="88"/>
    <n v="448"/>
    <x v="0"/>
    <n v="3"/>
    <d v="2025-08-20T00:00:00"/>
    <n v="7.4666666666666668"/>
    <n v="1.4666666666666666"/>
    <x v="0"/>
    <s v="Neutral"/>
    <s v="Resolved"/>
  </r>
  <r>
    <s v="TCK-000141"/>
    <s v="2025-08-21T02:24:00Z"/>
    <n v="1074"/>
    <x v="0"/>
    <x v="1"/>
    <x v="0"/>
    <n v="17"/>
    <n v="142"/>
    <x v="1"/>
    <m/>
    <d v="2025-08-21T00:00:00"/>
    <n v="2.3666666666666667"/>
    <n v="0.28333333333333333"/>
    <x v="0"/>
    <s v="No Rating"/>
    <s v="Resolved"/>
  </r>
  <r>
    <s v="TCK-000142"/>
    <s v="2025-08-21T11:09:36Z"/>
    <n v="1105"/>
    <x v="1"/>
    <x v="2"/>
    <x v="8"/>
    <n v="112"/>
    <n v="1235"/>
    <x v="0"/>
    <m/>
    <d v="2025-08-21T00:00:00"/>
    <n v="20.583333333333332"/>
    <n v="1.8666666666666667"/>
    <x v="0"/>
    <s v="No Rating"/>
    <s v="Resolved"/>
  </r>
  <r>
    <s v="TCK-000143"/>
    <s v="2025-08-21T19:55:12Z"/>
    <n v="1793"/>
    <x v="4"/>
    <x v="3"/>
    <x v="6"/>
    <n v="363"/>
    <m/>
    <x v="3"/>
    <m/>
    <d v="2025-08-21T00:00:00"/>
    <s v=""/>
    <n v="6.05"/>
    <x v="1"/>
    <s v="No Rating"/>
    <s v="Unresolved"/>
  </r>
  <r>
    <s v="TCK-000144"/>
    <s v="2025-08-22T04:40:48Z"/>
    <n v="1587"/>
    <x v="2"/>
    <x v="0"/>
    <x v="1"/>
    <n v="11"/>
    <n v="420"/>
    <x v="0"/>
    <m/>
    <d v="2025-08-22T00:00:00"/>
    <n v="7"/>
    <n v="0.18333333333333332"/>
    <x v="0"/>
    <s v="No Rating"/>
    <s v="Resolved"/>
  </r>
  <r>
    <s v="TCK-000145"/>
    <s v="2025-08-22T13:26:24Z"/>
    <n v="1545"/>
    <x v="3"/>
    <x v="2"/>
    <x v="4"/>
    <n v="128"/>
    <n v="670"/>
    <x v="1"/>
    <n v="1"/>
    <d v="2025-08-22T00:00:00"/>
    <n v="11.166666666666666"/>
    <n v="2.1333333333333333"/>
    <x v="0"/>
    <s v="Dissatisfied"/>
    <s v="Resolved"/>
  </r>
  <r>
    <s v="TCK-000146"/>
    <s v="2025-08-22T22:12:00Z"/>
    <n v="1743"/>
    <x v="1"/>
    <x v="3"/>
    <x v="5"/>
    <n v="402"/>
    <n v="5495"/>
    <x v="0"/>
    <n v="4"/>
    <d v="2025-08-22T00:00:00"/>
    <n v="91.583333333333329"/>
    <n v="6.7"/>
    <x v="2"/>
    <s v="Satisfied"/>
    <s v="Resolved"/>
  </r>
  <r>
    <s v="TCK-000147"/>
    <s v="2025-08-23T06:57:36Z"/>
    <n v="1549"/>
    <x v="0"/>
    <x v="1"/>
    <x v="2"/>
    <n v="13"/>
    <n v="1019"/>
    <x v="0"/>
    <m/>
    <d v="2025-08-23T00:00:00"/>
    <n v="16.983333333333334"/>
    <n v="0.21666666666666667"/>
    <x v="0"/>
    <s v="No Rating"/>
    <s v="Resolved"/>
  </r>
  <r>
    <s v="TCK-000148"/>
    <s v="2025-08-23T15:43:12Z"/>
    <n v="1141"/>
    <x v="2"/>
    <x v="2"/>
    <x v="5"/>
    <n v="101"/>
    <n v="2593"/>
    <x v="0"/>
    <n v="2"/>
    <d v="2025-08-23T00:00:00"/>
    <n v="43.216666666666669"/>
    <n v="1.6833333333333333"/>
    <x v="0"/>
    <s v="Dissatisfied"/>
    <s v="Resolved"/>
  </r>
  <r>
    <s v="TCK-000149"/>
    <s v="2025-08-24T00:28:48Z"/>
    <n v="1472"/>
    <x v="1"/>
    <x v="1"/>
    <x v="6"/>
    <n v="35"/>
    <n v="688"/>
    <x v="0"/>
    <m/>
    <d v="2025-08-24T00:00:00"/>
    <n v="11.466666666666667"/>
    <n v="0.58333333333333337"/>
    <x v="0"/>
    <s v="No Rating"/>
    <s v="Resolved"/>
  </r>
  <r>
    <s v="TCK-000150"/>
    <s v="2025-08-24T09:14:24Z"/>
    <n v="1918"/>
    <x v="4"/>
    <x v="2"/>
    <x v="6"/>
    <n v="128"/>
    <n v="1600"/>
    <x v="0"/>
    <n v="5"/>
    <d v="2025-08-24T00:00:00"/>
    <n v="26.666666666666668"/>
    <n v="2.1333333333333333"/>
    <x v="0"/>
    <s v="Satisfied"/>
    <s v="Resolved"/>
  </r>
  <r>
    <s v="TCK-000151"/>
    <s v="2025-08-24T18:00:00Z"/>
    <n v="1584"/>
    <x v="0"/>
    <x v="0"/>
    <x v="8"/>
    <n v="9"/>
    <n v="114"/>
    <x v="1"/>
    <n v="4"/>
    <d v="2025-08-24T00:00:00"/>
    <n v="1.9"/>
    <n v="0.15"/>
    <x v="0"/>
    <s v="Satisfied"/>
    <s v="Resolved"/>
  </r>
  <r>
    <s v="TCK-000152"/>
    <s v="2025-08-25T02:45:36Z"/>
    <n v="1715"/>
    <x v="4"/>
    <x v="0"/>
    <x v="8"/>
    <n v="5"/>
    <n v="392"/>
    <x v="0"/>
    <n v="1"/>
    <d v="2025-08-25T00:00:00"/>
    <n v="6.5333333333333332"/>
    <n v="8.3333333333333329E-2"/>
    <x v="0"/>
    <s v="Dissatisfied"/>
    <s v="Resolved"/>
  </r>
  <r>
    <s v="TCK-000153"/>
    <s v="2025-08-25T11:31:12Z"/>
    <n v="1162"/>
    <x v="1"/>
    <x v="2"/>
    <x v="6"/>
    <n v="160"/>
    <n v="2242"/>
    <x v="1"/>
    <n v="5"/>
    <d v="2025-08-25T00:00:00"/>
    <n v="37.366666666666667"/>
    <n v="2.6666666666666665"/>
    <x v="0"/>
    <s v="Satisfied"/>
    <s v="Resolved"/>
  </r>
  <r>
    <s v="TCK-000154"/>
    <s v="2025-08-25T20:16:48Z"/>
    <n v="1401"/>
    <x v="2"/>
    <x v="1"/>
    <x v="8"/>
    <n v="25"/>
    <n v="852"/>
    <x v="0"/>
    <n v="3"/>
    <d v="2025-08-25T00:00:00"/>
    <n v="14.2"/>
    <n v="0.41666666666666669"/>
    <x v="0"/>
    <s v="Neutral"/>
    <s v="Resolved"/>
  </r>
  <r>
    <s v="TCK-000155"/>
    <s v="2025-08-26T05:02:24Z"/>
    <n v="1658"/>
    <x v="0"/>
    <x v="1"/>
    <x v="5"/>
    <n v="15"/>
    <m/>
    <x v="3"/>
    <m/>
    <d v="2025-08-26T00:00:00"/>
    <s v=""/>
    <n v="0.25"/>
    <x v="1"/>
    <s v="No Rating"/>
    <s v="Unresolved"/>
  </r>
  <r>
    <s v="TCK-000156"/>
    <s v="2025-08-26T13:48:00Z"/>
    <n v="1166"/>
    <x v="3"/>
    <x v="3"/>
    <x v="0"/>
    <n v="368"/>
    <n v="2029"/>
    <x v="0"/>
    <n v="3"/>
    <d v="2025-08-26T00:00:00"/>
    <n v="33.81666666666667"/>
    <n v="6.1333333333333337"/>
    <x v="0"/>
    <s v="Neutral"/>
    <s v="Resolved"/>
  </r>
  <r>
    <s v="TCK-000157"/>
    <s v="2025-08-26T22:33:36Z"/>
    <n v="1847"/>
    <x v="1"/>
    <x v="2"/>
    <x v="0"/>
    <n v="54"/>
    <n v="1096"/>
    <x v="1"/>
    <m/>
    <d v="2025-08-26T00:00:00"/>
    <n v="18.266666666666666"/>
    <n v="0.9"/>
    <x v="0"/>
    <s v="No Rating"/>
    <s v="Resolved"/>
  </r>
  <r>
    <s v="TCK-000158"/>
    <s v="2025-08-27T07:19:12Z"/>
    <n v="1295"/>
    <x v="3"/>
    <x v="3"/>
    <x v="6"/>
    <n v="75"/>
    <m/>
    <x v="3"/>
    <m/>
    <d v="2025-08-27T00:00:00"/>
    <s v=""/>
    <n v="1.25"/>
    <x v="1"/>
    <s v="No Rating"/>
    <s v="Unresolved"/>
  </r>
  <r>
    <s v="TCK-000159"/>
    <s v="2025-08-27T16:04:48Z"/>
    <n v="1767"/>
    <x v="1"/>
    <x v="1"/>
    <x v="5"/>
    <n v="14"/>
    <n v="804"/>
    <x v="0"/>
    <m/>
    <d v="2025-08-27T00:00:00"/>
    <n v="13.4"/>
    <n v="0.23333333333333334"/>
    <x v="0"/>
    <s v="No Rating"/>
    <s v="Resolved"/>
  </r>
  <r>
    <s v="TCK-000160"/>
    <s v="2025-08-28T00:50:24Z"/>
    <n v="1184"/>
    <x v="0"/>
    <x v="2"/>
    <x v="6"/>
    <n v="70"/>
    <n v="2718"/>
    <x v="0"/>
    <n v="1"/>
    <d v="2025-08-28T00:00:00"/>
    <n v="45.3"/>
    <n v="1.1666666666666667"/>
    <x v="0"/>
    <s v="Dissatisfied"/>
    <s v="Resolved"/>
  </r>
  <r>
    <s v="TCK-000161"/>
    <s v="2025-08-28T09:36:00Z"/>
    <n v="1368"/>
    <x v="2"/>
    <x v="3"/>
    <x v="7"/>
    <n v="270"/>
    <n v="5143"/>
    <x v="0"/>
    <m/>
    <d v="2025-08-28T00:00:00"/>
    <n v="85.716666666666669"/>
    <n v="4.5"/>
    <x v="2"/>
    <s v="No Rating"/>
    <s v="Resolved"/>
  </r>
  <r>
    <s v="TCK-000162"/>
    <s v="2025-08-28T18:21:36Z"/>
    <n v="1307"/>
    <x v="3"/>
    <x v="3"/>
    <x v="1"/>
    <n v="77"/>
    <n v="2380"/>
    <x v="1"/>
    <n v="1"/>
    <d v="2025-08-28T00:00:00"/>
    <n v="39.666666666666664"/>
    <n v="1.2833333333333334"/>
    <x v="0"/>
    <s v="Dissatisfied"/>
    <s v="Resolved"/>
  </r>
  <r>
    <s v="TCK-000163"/>
    <s v="2025-08-29T03:07:12Z"/>
    <n v="1289"/>
    <x v="1"/>
    <x v="2"/>
    <x v="7"/>
    <n v="90"/>
    <n v="1537"/>
    <x v="0"/>
    <n v="3"/>
    <d v="2025-08-29T00:00:00"/>
    <n v="25.616666666666667"/>
    <n v="1.5"/>
    <x v="0"/>
    <s v="Neutral"/>
    <s v="Resolved"/>
  </r>
  <r>
    <s v="TCK-000164"/>
    <s v="2025-08-29T11:52:48Z"/>
    <n v="1578"/>
    <x v="1"/>
    <x v="0"/>
    <x v="4"/>
    <n v="8"/>
    <n v="94"/>
    <x v="1"/>
    <m/>
    <d v="2025-08-29T00:00:00"/>
    <n v="1.5666666666666667"/>
    <n v="0.13333333333333333"/>
    <x v="0"/>
    <s v="No Rating"/>
    <s v="Resolved"/>
  </r>
  <r>
    <s v="TCK-000165"/>
    <s v="2025-08-29T20:38:24Z"/>
    <n v="1250"/>
    <x v="3"/>
    <x v="2"/>
    <x v="1"/>
    <n v="45"/>
    <n v="2199"/>
    <x v="0"/>
    <m/>
    <d v="2025-08-29T00:00:00"/>
    <n v="36.65"/>
    <n v="0.75"/>
    <x v="0"/>
    <s v="No Rating"/>
    <s v="Resolved"/>
  </r>
  <r>
    <s v="TCK-000166"/>
    <s v="2025-08-30T05:24:00Z"/>
    <n v="1438"/>
    <x v="1"/>
    <x v="0"/>
    <x v="2"/>
    <n v="12"/>
    <n v="419"/>
    <x v="0"/>
    <m/>
    <d v="2025-08-30T00:00:00"/>
    <n v="6.9833333333333334"/>
    <n v="0.2"/>
    <x v="0"/>
    <s v="No Rating"/>
    <s v="Resolved"/>
  </r>
  <r>
    <s v="TCK-000167"/>
    <s v="2025-08-30T14:09:36Z"/>
    <n v="1715"/>
    <x v="1"/>
    <x v="0"/>
    <x v="6"/>
    <n v="8"/>
    <n v="197"/>
    <x v="0"/>
    <m/>
    <d v="2025-08-30T00:00:00"/>
    <n v="3.2833333333333332"/>
    <n v="0.13333333333333333"/>
    <x v="0"/>
    <s v="No Rating"/>
    <s v="Resolved"/>
  </r>
  <r>
    <s v="TCK-000168"/>
    <s v="2025-08-30T22:55:12Z"/>
    <n v="1694"/>
    <x v="1"/>
    <x v="2"/>
    <x v="2"/>
    <n v="31"/>
    <n v="604"/>
    <x v="0"/>
    <m/>
    <d v="2025-08-30T00:00:00"/>
    <n v="10.066666666666666"/>
    <n v="0.51666666666666672"/>
    <x v="0"/>
    <s v="No Rating"/>
    <s v="Resolved"/>
  </r>
  <r>
    <s v="TCK-000169"/>
    <s v="2025-08-31T07:40:48Z"/>
    <n v="1485"/>
    <x v="2"/>
    <x v="2"/>
    <x v="2"/>
    <n v="98"/>
    <n v="490"/>
    <x v="1"/>
    <m/>
    <d v="2025-08-31T00:00:00"/>
    <n v="8.1666666666666661"/>
    <n v="1.6333333333333333"/>
    <x v="0"/>
    <s v="No Rating"/>
    <s v="Resolved"/>
  </r>
  <r>
    <s v="TCK-000170"/>
    <s v="2025-08-31T16:26:24Z"/>
    <n v="1089"/>
    <x v="1"/>
    <x v="2"/>
    <x v="0"/>
    <n v="124"/>
    <n v="3369"/>
    <x v="0"/>
    <n v="1"/>
    <d v="2025-08-31T00:00:00"/>
    <n v="56.15"/>
    <n v="2.0666666666666669"/>
    <x v="2"/>
    <s v="Dissatisfied"/>
    <s v="Resolved"/>
  </r>
  <r>
    <s v="TCK-000171"/>
    <s v="2025-09-01T01:12:00Z"/>
    <n v="1782"/>
    <x v="1"/>
    <x v="2"/>
    <x v="3"/>
    <n v="169"/>
    <n v="3156"/>
    <x v="0"/>
    <n v="5"/>
    <d v="2025-09-01T00:00:00"/>
    <n v="52.6"/>
    <n v="2.8166666666666669"/>
    <x v="2"/>
    <s v="Satisfied"/>
    <s v="Resolved"/>
  </r>
  <r>
    <s v="TCK-000172"/>
    <s v="2025-09-01T09:57:36Z"/>
    <n v="1379"/>
    <x v="3"/>
    <x v="3"/>
    <x v="2"/>
    <n v="146"/>
    <n v="3956"/>
    <x v="0"/>
    <m/>
    <d v="2025-09-01T00:00:00"/>
    <n v="65.933333333333337"/>
    <n v="2.4333333333333331"/>
    <x v="0"/>
    <s v="No Rating"/>
    <s v="Resolved"/>
  </r>
  <r>
    <s v="TCK-000173"/>
    <s v="2025-09-01T18:43:12Z"/>
    <n v="1812"/>
    <x v="2"/>
    <x v="3"/>
    <x v="6"/>
    <n v="267"/>
    <n v="1309"/>
    <x v="1"/>
    <n v="3"/>
    <d v="2025-09-01T00:00:00"/>
    <n v="21.816666666666666"/>
    <n v="4.45"/>
    <x v="0"/>
    <s v="Neutral"/>
    <s v="Resolved"/>
  </r>
  <r>
    <s v="TCK-000174"/>
    <s v="2025-09-02T03:28:48Z"/>
    <n v="1275"/>
    <x v="3"/>
    <x v="2"/>
    <x v="3"/>
    <n v="175"/>
    <n v="3427"/>
    <x v="0"/>
    <n v="5"/>
    <d v="2025-09-02T00:00:00"/>
    <n v="57.116666666666667"/>
    <n v="2.9166666666666665"/>
    <x v="2"/>
    <s v="Satisfied"/>
    <s v="Resolved"/>
  </r>
  <r>
    <s v="TCK-000175"/>
    <s v="2025-09-02T12:14:24Z"/>
    <n v="1550"/>
    <x v="0"/>
    <x v="0"/>
    <x v="8"/>
    <n v="5"/>
    <n v="281"/>
    <x v="0"/>
    <m/>
    <d v="2025-09-02T00:00:00"/>
    <n v="4.6833333333333336"/>
    <n v="8.3333333333333329E-2"/>
    <x v="0"/>
    <s v="No Rating"/>
    <s v="Resolved"/>
  </r>
  <r>
    <s v="TCK-000176"/>
    <s v="2025-09-02T21:00:00Z"/>
    <n v="1296"/>
    <x v="3"/>
    <x v="3"/>
    <x v="7"/>
    <n v="295"/>
    <n v="4077"/>
    <x v="0"/>
    <n v="4"/>
    <d v="2025-09-02T00:00:00"/>
    <n v="67.95"/>
    <n v="4.916666666666667"/>
    <x v="0"/>
    <s v="Satisfied"/>
    <s v="Resolved"/>
  </r>
  <r>
    <s v="TCK-000177"/>
    <s v="2025-09-03T05:45:36Z"/>
    <n v="1640"/>
    <x v="1"/>
    <x v="1"/>
    <x v="7"/>
    <n v="13"/>
    <n v="1051"/>
    <x v="0"/>
    <n v="3"/>
    <d v="2025-09-03T00:00:00"/>
    <n v="17.516666666666666"/>
    <n v="0.21666666666666667"/>
    <x v="0"/>
    <s v="Neutral"/>
    <s v="Resolved"/>
  </r>
  <r>
    <s v="TCK-000178"/>
    <s v="2025-09-03T14:31:12Z"/>
    <n v="1365"/>
    <x v="2"/>
    <x v="2"/>
    <x v="5"/>
    <n v="150"/>
    <n v="1870"/>
    <x v="0"/>
    <n v="2"/>
    <d v="2025-09-03T00:00:00"/>
    <n v="31.166666666666668"/>
    <n v="2.5"/>
    <x v="0"/>
    <s v="Dissatisfied"/>
    <s v="Resolved"/>
  </r>
  <r>
    <s v="TCK-000179"/>
    <s v="2025-09-03T23:16:48Z"/>
    <n v="1240"/>
    <x v="0"/>
    <x v="2"/>
    <x v="1"/>
    <n v="121"/>
    <m/>
    <x v="3"/>
    <m/>
    <d v="2025-09-03T00:00:00"/>
    <s v=""/>
    <n v="2.0166666666666666"/>
    <x v="1"/>
    <s v="No Rating"/>
    <s v="Unresolved"/>
  </r>
  <r>
    <s v="TCK-000180"/>
    <s v="2025-09-04T08:02:24Z"/>
    <n v="1362"/>
    <x v="1"/>
    <x v="1"/>
    <x v="5"/>
    <n v="40"/>
    <n v="1239"/>
    <x v="0"/>
    <n v="2"/>
    <d v="2025-09-04T00:00:00"/>
    <n v="20.65"/>
    <n v="0.66666666666666663"/>
    <x v="0"/>
    <s v="Dissatisfied"/>
    <s v="Resolved"/>
  </r>
  <r>
    <s v="TCK-000181"/>
    <s v="2025-09-04T16:48:00Z"/>
    <n v="1205"/>
    <x v="2"/>
    <x v="2"/>
    <x v="2"/>
    <n v="47"/>
    <n v="2804"/>
    <x v="0"/>
    <n v="5"/>
    <d v="2025-09-04T00:00:00"/>
    <n v="46.733333333333334"/>
    <n v="0.78333333333333333"/>
    <x v="0"/>
    <s v="Satisfied"/>
    <s v="Resolved"/>
  </r>
  <r>
    <s v="TCK-000182"/>
    <s v="2025-09-05T01:33:36Z"/>
    <n v="1217"/>
    <x v="3"/>
    <x v="3"/>
    <x v="8"/>
    <n v="73"/>
    <n v="6965"/>
    <x v="0"/>
    <m/>
    <d v="2025-09-05T00:00:00"/>
    <n v="116.08333333333333"/>
    <n v="1.2166666666666666"/>
    <x v="2"/>
    <s v="No Rating"/>
    <s v="Resolved"/>
  </r>
  <r>
    <s v="TCK-000183"/>
    <s v="2025-09-05T10:19:12Z"/>
    <n v="1770"/>
    <x v="3"/>
    <x v="3"/>
    <x v="7"/>
    <n v="269"/>
    <n v="8621"/>
    <x v="0"/>
    <m/>
    <d v="2025-09-05T00:00:00"/>
    <n v="143.68333333333334"/>
    <n v="4.4833333333333334"/>
    <x v="2"/>
    <s v="No Rating"/>
    <s v="Resolved"/>
  </r>
  <r>
    <s v="TCK-000184"/>
    <s v="2025-09-05T19:04:48Z"/>
    <n v="1629"/>
    <x v="4"/>
    <x v="2"/>
    <x v="3"/>
    <n v="130"/>
    <m/>
    <x v="3"/>
    <m/>
    <d v="2025-09-05T00:00:00"/>
    <s v=""/>
    <n v="2.1666666666666665"/>
    <x v="1"/>
    <s v="No Rating"/>
    <s v="Unresolved"/>
  </r>
  <r>
    <s v="TCK-000185"/>
    <s v="2025-09-06T03:50:24Z"/>
    <n v="1027"/>
    <x v="1"/>
    <x v="1"/>
    <x v="0"/>
    <n v="9"/>
    <n v="1073"/>
    <x v="0"/>
    <m/>
    <d v="2025-09-06T00:00:00"/>
    <n v="17.883333333333333"/>
    <n v="0.15"/>
    <x v="0"/>
    <s v="No Rating"/>
    <s v="Resolved"/>
  </r>
  <r>
    <s v="TCK-000186"/>
    <s v="2025-09-06T12:36:00Z"/>
    <n v="1506"/>
    <x v="2"/>
    <x v="3"/>
    <x v="3"/>
    <n v="252"/>
    <n v="1481"/>
    <x v="0"/>
    <n v="5"/>
    <d v="2025-09-06T00:00:00"/>
    <n v="24.683333333333334"/>
    <n v="4.2"/>
    <x v="0"/>
    <s v="Satisfied"/>
    <s v="Resolved"/>
  </r>
  <r>
    <s v="TCK-000187"/>
    <s v="2025-09-06T21:21:36Z"/>
    <n v="1112"/>
    <x v="4"/>
    <x v="1"/>
    <x v="1"/>
    <n v="24"/>
    <n v="150"/>
    <x v="0"/>
    <n v="1"/>
    <d v="2025-09-06T00:00:00"/>
    <n v="2.5"/>
    <n v="0.4"/>
    <x v="0"/>
    <s v="Dissatisfied"/>
    <s v="Resolved"/>
  </r>
  <r>
    <s v="TCK-000188"/>
    <s v="2025-09-07T06:07:12Z"/>
    <n v="1361"/>
    <x v="2"/>
    <x v="0"/>
    <x v="6"/>
    <n v="6"/>
    <n v="176"/>
    <x v="0"/>
    <n v="4"/>
    <d v="2025-09-07T00:00:00"/>
    <n v="2.9333333333333331"/>
    <n v="0.1"/>
    <x v="0"/>
    <s v="Satisfied"/>
    <s v="Resolved"/>
  </r>
  <r>
    <s v="TCK-000189"/>
    <s v="2025-09-07T14:52:48Z"/>
    <n v="1643"/>
    <x v="0"/>
    <x v="3"/>
    <x v="8"/>
    <n v="460"/>
    <n v="1604"/>
    <x v="0"/>
    <n v="4"/>
    <d v="2025-09-07T00:00:00"/>
    <n v="26.733333333333334"/>
    <n v="7.666666666666667"/>
    <x v="0"/>
    <s v="Satisfied"/>
    <s v="Resolved"/>
  </r>
  <r>
    <s v="TCK-000190"/>
    <s v="2025-09-07T23:38:24Z"/>
    <n v="1478"/>
    <x v="0"/>
    <x v="0"/>
    <x v="5"/>
    <n v="9"/>
    <m/>
    <x v="3"/>
    <m/>
    <d v="2025-09-07T00:00:00"/>
    <s v=""/>
    <n v="0.15"/>
    <x v="1"/>
    <s v="No Rating"/>
    <s v="Unresolved"/>
  </r>
  <r>
    <s v="TCK-000191"/>
    <s v="2025-09-08T08:24:00Z"/>
    <n v="1866"/>
    <x v="3"/>
    <x v="2"/>
    <x v="5"/>
    <n v="176"/>
    <m/>
    <x v="3"/>
    <m/>
    <d v="2025-09-08T00:00:00"/>
    <s v=""/>
    <n v="2.9333333333333331"/>
    <x v="1"/>
    <s v="No Rating"/>
    <s v="Unresolved"/>
  </r>
  <r>
    <s v="TCK-000192"/>
    <s v="2025-09-08T17:09:36Z"/>
    <n v="1505"/>
    <x v="1"/>
    <x v="0"/>
    <x v="5"/>
    <n v="3"/>
    <n v="94"/>
    <x v="0"/>
    <m/>
    <d v="2025-09-08T00:00:00"/>
    <n v="1.5666666666666667"/>
    <n v="0.05"/>
    <x v="0"/>
    <s v="No Rating"/>
    <s v="Resolved"/>
  </r>
  <r>
    <s v="TCK-000193"/>
    <s v="2025-09-09T01:55:12Z"/>
    <n v="1413"/>
    <x v="2"/>
    <x v="1"/>
    <x v="6"/>
    <n v="32"/>
    <n v="926"/>
    <x v="0"/>
    <n v="5"/>
    <d v="2025-09-09T00:00:00"/>
    <n v="15.433333333333334"/>
    <n v="0.53333333333333333"/>
    <x v="0"/>
    <s v="Satisfied"/>
    <s v="Resolved"/>
  </r>
  <r>
    <s v="TCK-000194"/>
    <s v="2025-09-09T10:40:48Z"/>
    <n v="1855"/>
    <x v="2"/>
    <x v="3"/>
    <x v="7"/>
    <n v="373"/>
    <n v="6244"/>
    <x v="1"/>
    <n v="5"/>
    <d v="2025-09-09T00:00:00"/>
    <n v="104.06666666666666"/>
    <n v="6.2166666666666668"/>
    <x v="2"/>
    <s v="Satisfied"/>
    <s v="Resolved"/>
  </r>
  <r>
    <s v="TCK-000195"/>
    <s v="2025-09-09T19:26:24Z"/>
    <n v="1066"/>
    <x v="0"/>
    <x v="1"/>
    <x v="3"/>
    <n v="45"/>
    <n v="651"/>
    <x v="1"/>
    <m/>
    <d v="2025-09-09T00:00:00"/>
    <n v="10.85"/>
    <n v="0.75"/>
    <x v="0"/>
    <s v="No Rating"/>
    <s v="Resolved"/>
  </r>
  <r>
    <s v="TCK-000196"/>
    <s v="2025-09-10T04:12:00Z"/>
    <n v="1252"/>
    <x v="2"/>
    <x v="3"/>
    <x v="2"/>
    <n v="332"/>
    <n v="2889"/>
    <x v="0"/>
    <n v="2"/>
    <d v="2025-09-10T00:00:00"/>
    <n v="48.15"/>
    <n v="5.5333333333333332"/>
    <x v="0"/>
    <s v="Dissatisfied"/>
    <s v="Resolved"/>
  </r>
  <r>
    <s v="TCK-000197"/>
    <s v="2025-09-10T12:57:36Z"/>
    <n v="1015"/>
    <x v="4"/>
    <x v="1"/>
    <x v="7"/>
    <n v="17"/>
    <m/>
    <x v="3"/>
    <m/>
    <d v="2025-09-10T00:00:00"/>
    <s v=""/>
    <n v="0.28333333333333333"/>
    <x v="1"/>
    <s v="No Rating"/>
    <s v="Unresolved"/>
  </r>
  <r>
    <s v="TCK-000198"/>
    <s v="2025-09-10T21:43:12Z"/>
    <n v="1415"/>
    <x v="3"/>
    <x v="3"/>
    <x v="7"/>
    <n v="259"/>
    <m/>
    <x v="3"/>
    <m/>
    <d v="2025-09-10T00:00:00"/>
    <s v=""/>
    <n v="4.3166666666666664"/>
    <x v="1"/>
    <s v="No Rating"/>
    <s v="Unresolved"/>
  </r>
  <r>
    <s v="TCK-000199"/>
    <s v="2025-09-11T06:28:48Z"/>
    <n v="1978"/>
    <x v="4"/>
    <x v="1"/>
    <x v="0"/>
    <n v="28"/>
    <n v="246"/>
    <x v="0"/>
    <n v="4"/>
    <d v="2025-09-11T00:00:00"/>
    <n v="4.0999999999999996"/>
    <n v="0.46666666666666667"/>
    <x v="0"/>
    <s v="Satisfied"/>
    <s v="Resolved"/>
  </r>
  <r>
    <s v="TCK-000200"/>
    <s v="2025-09-11T15:14:24Z"/>
    <n v="1061"/>
    <x v="1"/>
    <x v="0"/>
    <x v="7"/>
    <n v="3"/>
    <m/>
    <x v="3"/>
    <m/>
    <d v="2025-09-11T00:00:00"/>
    <s v=""/>
    <n v="0.05"/>
    <x v="1"/>
    <s v="No Rating"/>
    <s v="Unresolved"/>
  </r>
  <r>
    <s v="TCK-000201"/>
    <s v="2025-09-12T00:00:00Z"/>
    <n v="1214"/>
    <x v="2"/>
    <x v="2"/>
    <x v="5"/>
    <n v="72"/>
    <n v="2342"/>
    <x v="0"/>
    <n v="2"/>
    <d v="2025-09-12T00:00:00"/>
    <n v="39.033333333333331"/>
    <n v="1.2"/>
    <x v="0"/>
    <s v="Dissatisfied"/>
    <s v="Resolved"/>
  </r>
  <r>
    <s v="TCK-000202"/>
    <s v="2025-09-12T08:45:36Z"/>
    <n v="1997"/>
    <x v="4"/>
    <x v="2"/>
    <x v="5"/>
    <n v="54"/>
    <n v="1956"/>
    <x v="0"/>
    <n v="3"/>
    <d v="2025-09-12T00:00:00"/>
    <n v="32.6"/>
    <n v="0.9"/>
    <x v="0"/>
    <s v="Neutral"/>
    <s v="Resolved"/>
  </r>
  <r>
    <s v="TCK-000203"/>
    <s v="2025-09-12T17:31:12Z"/>
    <n v="1605"/>
    <x v="4"/>
    <x v="2"/>
    <x v="6"/>
    <n v="49"/>
    <n v="2629"/>
    <x v="0"/>
    <m/>
    <d v="2025-09-12T00:00:00"/>
    <n v="43.81666666666667"/>
    <n v="0.81666666666666665"/>
    <x v="0"/>
    <s v="No Rating"/>
    <s v="Resolved"/>
  </r>
  <r>
    <s v="TCK-000204"/>
    <s v="2025-09-13T02:16:48Z"/>
    <n v="1622"/>
    <x v="4"/>
    <x v="2"/>
    <x v="1"/>
    <n v="49"/>
    <n v="1901"/>
    <x v="0"/>
    <n v="3"/>
    <d v="2025-09-13T00:00:00"/>
    <n v="31.683333333333334"/>
    <n v="0.81666666666666665"/>
    <x v="0"/>
    <s v="Neutral"/>
    <s v="Resolved"/>
  </r>
  <r>
    <s v="TCK-000205"/>
    <s v="2025-09-13T11:02:24Z"/>
    <n v="1882"/>
    <x v="3"/>
    <x v="2"/>
    <x v="7"/>
    <n v="42"/>
    <n v="1487"/>
    <x v="0"/>
    <n v="5"/>
    <d v="2025-09-13T00:00:00"/>
    <n v="24.783333333333335"/>
    <n v="0.7"/>
    <x v="0"/>
    <s v="Satisfied"/>
    <s v="Resolved"/>
  </r>
  <r>
    <s v="TCK-000206"/>
    <s v="2025-09-13T19:48:00Z"/>
    <n v="1169"/>
    <x v="1"/>
    <x v="0"/>
    <x v="1"/>
    <n v="7"/>
    <n v="194"/>
    <x v="0"/>
    <n v="5"/>
    <d v="2025-09-13T00:00:00"/>
    <n v="3.2333333333333334"/>
    <n v="0.11666666666666667"/>
    <x v="0"/>
    <s v="Satisfied"/>
    <s v="Resolved"/>
  </r>
  <r>
    <s v="TCK-000207"/>
    <s v="2025-09-14T04:33:36Z"/>
    <n v="1631"/>
    <x v="2"/>
    <x v="0"/>
    <x v="8"/>
    <n v="10"/>
    <n v="111"/>
    <x v="1"/>
    <n v="1"/>
    <d v="2025-09-14T00:00:00"/>
    <n v="1.85"/>
    <n v="0.16666666666666666"/>
    <x v="0"/>
    <s v="Dissatisfied"/>
    <s v="Resolved"/>
  </r>
  <r>
    <s v="TCK-000208"/>
    <s v="2025-09-14T13:19:12Z"/>
    <n v="1233"/>
    <x v="1"/>
    <x v="2"/>
    <x v="8"/>
    <n v="133"/>
    <n v="3342"/>
    <x v="0"/>
    <m/>
    <d v="2025-09-14T00:00:00"/>
    <n v="55.7"/>
    <n v="2.2166666666666668"/>
    <x v="2"/>
    <s v="No Rating"/>
    <s v="Resolved"/>
  </r>
  <r>
    <s v="TCK-000209"/>
    <s v="2025-09-14T22:04:48Z"/>
    <n v="1520"/>
    <x v="2"/>
    <x v="0"/>
    <x v="1"/>
    <n v="3"/>
    <n v="199"/>
    <x v="0"/>
    <m/>
    <d v="2025-09-14T00:00:00"/>
    <n v="3.3166666666666669"/>
    <n v="0.05"/>
    <x v="0"/>
    <s v="No Rating"/>
    <s v="Resolved"/>
  </r>
  <r>
    <s v="TCK-000210"/>
    <s v="2025-09-15T06:50:24Z"/>
    <n v="1820"/>
    <x v="4"/>
    <x v="2"/>
    <x v="7"/>
    <n v="77"/>
    <m/>
    <x v="3"/>
    <m/>
    <d v="2025-09-15T00:00:00"/>
    <s v=""/>
    <n v="1.2833333333333334"/>
    <x v="1"/>
    <s v="No Rating"/>
    <s v="Unresolved"/>
  </r>
  <r>
    <s v="TCK-000211"/>
    <s v="2025-09-15T15:36:00Z"/>
    <n v="1235"/>
    <x v="0"/>
    <x v="3"/>
    <x v="6"/>
    <n v="132"/>
    <n v="6767"/>
    <x v="0"/>
    <m/>
    <d v="2025-09-15T00:00:00"/>
    <n v="112.78333333333333"/>
    <n v="2.2000000000000002"/>
    <x v="2"/>
    <s v="No Rating"/>
    <s v="Resolved"/>
  </r>
  <r>
    <s v="TCK-000212"/>
    <s v="2025-09-16T00:21:36Z"/>
    <n v="1352"/>
    <x v="0"/>
    <x v="3"/>
    <x v="5"/>
    <n v="323"/>
    <n v="2923"/>
    <x v="0"/>
    <m/>
    <d v="2025-09-16T00:00:00"/>
    <n v="48.716666666666669"/>
    <n v="5.3833333333333337"/>
    <x v="0"/>
    <s v="No Rating"/>
    <s v="Resolved"/>
  </r>
  <r>
    <s v="TCK-000213"/>
    <s v="2025-09-16T09:07:12Z"/>
    <n v="1209"/>
    <x v="0"/>
    <x v="2"/>
    <x v="4"/>
    <n v="150"/>
    <n v="3371"/>
    <x v="0"/>
    <n v="2"/>
    <d v="2025-09-16T00:00:00"/>
    <n v="56.18333333333333"/>
    <n v="2.5"/>
    <x v="2"/>
    <s v="Dissatisfied"/>
    <s v="Resolved"/>
  </r>
  <r>
    <s v="TCK-000214"/>
    <s v="2025-09-16T17:52:48Z"/>
    <n v="1568"/>
    <x v="3"/>
    <x v="1"/>
    <x v="5"/>
    <n v="43"/>
    <n v="785"/>
    <x v="1"/>
    <n v="3"/>
    <d v="2025-09-16T00:00:00"/>
    <n v="13.083333333333334"/>
    <n v="0.71666666666666667"/>
    <x v="0"/>
    <s v="Neutral"/>
    <s v="Resolved"/>
  </r>
  <r>
    <s v="TCK-000215"/>
    <s v="2025-09-17T02:38:24Z"/>
    <n v="1478"/>
    <x v="0"/>
    <x v="2"/>
    <x v="6"/>
    <n v="148"/>
    <m/>
    <x v="2"/>
    <m/>
    <d v="2025-09-17T00:00:00"/>
    <s v=""/>
    <n v="2.4666666666666668"/>
    <x v="1"/>
    <s v="No Rating"/>
    <s v="Unresolved"/>
  </r>
  <r>
    <s v="TCK-000216"/>
    <s v="2025-09-17T11:24:00Z"/>
    <n v="1647"/>
    <x v="1"/>
    <x v="3"/>
    <x v="8"/>
    <n v="357"/>
    <n v="2446"/>
    <x v="0"/>
    <n v="2"/>
    <d v="2025-09-17T00:00:00"/>
    <n v="40.766666666666666"/>
    <n v="5.95"/>
    <x v="0"/>
    <s v="Dissatisfied"/>
    <s v="Resolved"/>
  </r>
  <r>
    <s v="TCK-000217"/>
    <s v="2025-09-17T20:09:36Z"/>
    <n v="1521"/>
    <x v="3"/>
    <x v="0"/>
    <x v="8"/>
    <n v="2"/>
    <n v="365"/>
    <x v="0"/>
    <m/>
    <d v="2025-09-17T00:00:00"/>
    <n v="6.083333333333333"/>
    <n v="3.3333333333333333E-2"/>
    <x v="0"/>
    <s v="No Rating"/>
    <s v="Resolved"/>
  </r>
  <r>
    <s v="TCK-000218"/>
    <s v="2025-09-18T04:55:12Z"/>
    <n v="1700"/>
    <x v="2"/>
    <x v="2"/>
    <x v="6"/>
    <n v="128"/>
    <n v="3163"/>
    <x v="0"/>
    <n v="2"/>
    <d v="2025-09-18T00:00:00"/>
    <n v="52.716666666666669"/>
    <n v="2.1333333333333333"/>
    <x v="2"/>
    <s v="Dissatisfied"/>
    <s v="Resolved"/>
  </r>
  <r>
    <s v="TCK-000219"/>
    <s v="2025-09-18T13:40:48Z"/>
    <n v="1532"/>
    <x v="4"/>
    <x v="2"/>
    <x v="0"/>
    <n v="38"/>
    <n v="1032"/>
    <x v="0"/>
    <n v="2"/>
    <d v="2025-09-18T00:00:00"/>
    <n v="17.2"/>
    <n v="0.6333333333333333"/>
    <x v="0"/>
    <s v="Dissatisfied"/>
    <s v="Resolved"/>
  </r>
  <r>
    <s v="TCK-000220"/>
    <s v="2025-09-18T22:26:24Z"/>
    <n v="1379"/>
    <x v="1"/>
    <x v="3"/>
    <x v="6"/>
    <n v="149"/>
    <n v="5140"/>
    <x v="1"/>
    <n v="3"/>
    <d v="2025-09-18T00:00:00"/>
    <n v="85.666666666666671"/>
    <n v="2.4833333333333334"/>
    <x v="2"/>
    <s v="Neutral"/>
    <s v="Resolved"/>
  </r>
  <r>
    <s v="TCK-000221"/>
    <s v="2025-09-19T07:12:00Z"/>
    <n v="1385"/>
    <x v="3"/>
    <x v="0"/>
    <x v="2"/>
    <n v="10"/>
    <n v="381"/>
    <x v="1"/>
    <n v="3"/>
    <d v="2025-09-19T00:00:00"/>
    <n v="6.35"/>
    <n v="0.16666666666666666"/>
    <x v="0"/>
    <s v="Neutral"/>
    <s v="Resolved"/>
  </r>
  <r>
    <s v="TCK-000222"/>
    <s v="2025-09-19T15:57:36Z"/>
    <n v="1779"/>
    <x v="2"/>
    <x v="2"/>
    <x v="8"/>
    <n v="101"/>
    <m/>
    <x v="2"/>
    <m/>
    <d v="2025-09-19T00:00:00"/>
    <s v=""/>
    <n v="1.6833333333333333"/>
    <x v="1"/>
    <s v="No Rating"/>
    <s v="Unresolved"/>
  </r>
  <r>
    <s v="TCK-000223"/>
    <s v="2025-09-20T00:43:12Z"/>
    <n v="1123"/>
    <x v="4"/>
    <x v="1"/>
    <x v="2"/>
    <n v="16"/>
    <n v="168"/>
    <x v="0"/>
    <n v="2"/>
    <d v="2025-09-20T00:00:00"/>
    <n v="2.8"/>
    <n v="0.26666666666666666"/>
    <x v="0"/>
    <s v="Dissatisfied"/>
    <s v="Resolved"/>
  </r>
  <r>
    <s v="TCK-000224"/>
    <s v="2025-09-20T09:28:48Z"/>
    <n v="1587"/>
    <x v="2"/>
    <x v="1"/>
    <x v="8"/>
    <n v="45"/>
    <n v="910"/>
    <x v="0"/>
    <m/>
    <d v="2025-09-20T00:00:00"/>
    <n v="15.166666666666666"/>
    <n v="0.75"/>
    <x v="0"/>
    <s v="No Rating"/>
    <s v="Resolved"/>
  </r>
  <r>
    <s v="TCK-000225"/>
    <s v="2025-09-20T18:14:24Z"/>
    <n v="1884"/>
    <x v="0"/>
    <x v="3"/>
    <x v="1"/>
    <n v="187"/>
    <n v="6532"/>
    <x v="1"/>
    <n v="4"/>
    <d v="2025-09-20T00:00:00"/>
    <n v="108.86666666666666"/>
    <n v="3.1166666666666667"/>
    <x v="2"/>
    <s v="Satisfied"/>
    <s v="Resolved"/>
  </r>
  <r>
    <s v="TCK-000226"/>
    <s v="2025-09-21T03:00:00Z"/>
    <n v="1706"/>
    <x v="4"/>
    <x v="1"/>
    <x v="3"/>
    <n v="19"/>
    <n v="346"/>
    <x v="1"/>
    <m/>
    <d v="2025-09-21T00:00:00"/>
    <n v="5.7666666666666666"/>
    <n v="0.31666666666666665"/>
    <x v="0"/>
    <s v="No Rating"/>
    <s v="Resolved"/>
  </r>
  <r>
    <s v="TCK-000227"/>
    <s v="2025-09-21T11:45:36Z"/>
    <n v="1923"/>
    <x v="3"/>
    <x v="2"/>
    <x v="6"/>
    <n v="75"/>
    <m/>
    <x v="2"/>
    <m/>
    <d v="2025-09-21T00:00:00"/>
    <s v=""/>
    <n v="1.25"/>
    <x v="1"/>
    <s v="No Rating"/>
    <s v="Unresolved"/>
  </r>
  <r>
    <s v="TCK-000228"/>
    <s v="2025-09-21T20:31:12Z"/>
    <n v="1830"/>
    <x v="2"/>
    <x v="2"/>
    <x v="5"/>
    <n v="138"/>
    <n v="3297"/>
    <x v="0"/>
    <n v="1"/>
    <d v="2025-09-21T00:00:00"/>
    <n v="54.95"/>
    <n v="2.2999999999999998"/>
    <x v="2"/>
    <s v="Dissatisfied"/>
    <s v="Resolved"/>
  </r>
  <r>
    <s v="TCK-000229"/>
    <s v="2025-09-22T05:16:48Z"/>
    <n v="1766"/>
    <x v="0"/>
    <x v="2"/>
    <x v="2"/>
    <n v="158"/>
    <n v="1335"/>
    <x v="0"/>
    <n v="1"/>
    <d v="2025-09-22T00:00:00"/>
    <n v="22.25"/>
    <n v="2.6333333333333333"/>
    <x v="0"/>
    <s v="Dissatisfied"/>
    <s v="Resolved"/>
  </r>
  <r>
    <s v="TCK-000230"/>
    <s v="2025-09-22T14:02:24Z"/>
    <n v="1858"/>
    <x v="1"/>
    <x v="3"/>
    <x v="3"/>
    <n v="244"/>
    <n v="6732"/>
    <x v="0"/>
    <n v="2"/>
    <d v="2025-09-22T00:00:00"/>
    <n v="112.2"/>
    <n v="4.0666666666666664"/>
    <x v="2"/>
    <s v="Dissatisfied"/>
    <s v="Resolved"/>
  </r>
  <r>
    <s v="TCK-000231"/>
    <s v="2025-09-22T22:48:00Z"/>
    <n v="1337"/>
    <x v="1"/>
    <x v="2"/>
    <x v="5"/>
    <n v="57"/>
    <n v="2322"/>
    <x v="1"/>
    <m/>
    <d v="2025-09-22T00:00:00"/>
    <n v="38.700000000000003"/>
    <n v="0.95"/>
    <x v="0"/>
    <s v="No Rating"/>
    <s v="Resolved"/>
  </r>
  <r>
    <s v="TCK-000232"/>
    <s v="2025-09-23T07:33:36Z"/>
    <n v="1058"/>
    <x v="0"/>
    <x v="2"/>
    <x v="1"/>
    <n v="55"/>
    <m/>
    <x v="2"/>
    <m/>
    <d v="2025-09-23T00:00:00"/>
    <s v=""/>
    <n v="0.91666666666666663"/>
    <x v="1"/>
    <s v="No Rating"/>
    <s v="Unresolved"/>
  </r>
  <r>
    <s v="TCK-000233"/>
    <s v="2025-09-23T16:19:12Z"/>
    <n v="1166"/>
    <x v="1"/>
    <x v="2"/>
    <x v="5"/>
    <n v="129"/>
    <n v="1091"/>
    <x v="0"/>
    <n v="3"/>
    <d v="2025-09-23T00:00:00"/>
    <n v="18.183333333333334"/>
    <n v="2.15"/>
    <x v="0"/>
    <s v="Neutral"/>
    <s v="Resolved"/>
  </r>
  <r>
    <s v="TCK-000234"/>
    <s v="2025-09-24T01:04:48Z"/>
    <n v="1150"/>
    <x v="1"/>
    <x v="0"/>
    <x v="2"/>
    <n v="4"/>
    <n v="354"/>
    <x v="0"/>
    <m/>
    <d v="2025-09-24T00:00:00"/>
    <n v="5.9"/>
    <n v="6.6666666666666666E-2"/>
    <x v="0"/>
    <s v="No Rating"/>
    <s v="Resolved"/>
  </r>
  <r>
    <s v="TCK-000235"/>
    <s v="2025-09-24T09:50:24Z"/>
    <n v="1254"/>
    <x v="0"/>
    <x v="3"/>
    <x v="7"/>
    <n v="277"/>
    <m/>
    <x v="2"/>
    <m/>
    <d v="2025-09-24T00:00:00"/>
    <s v=""/>
    <n v="4.6166666666666663"/>
    <x v="1"/>
    <s v="No Rating"/>
    <s v="Unresolved"/>
  </r>
  <r>
    <s v="TCK-000236"/>
    <s v="2025-09-24T18:36:00Z"/>
    <n v="1135"/>
    <x v="2"/>
    <x v="2"/>
    <x v="1"/>
    <n v="74"/>
    <n v="2470"/>
    <x v="0"/>
    <n v="3"/>
    <d v="2025-09-24T00:00:00"/>
    <n v="41.166666666666664"/>
    <n v="1.2333333333333334"/>
    <x v="0"/>
    <s v="Neutral"/>
    <s v="Resolved"/>
  </r>
  <r>
    <s v="TCK-000237"/>
    <s v="2025-09-25T03:21:36Z"/>
    <n v="1756"/>
    <x v="2"/>
    <x v="1"/>
    <x v="8"/>
    <n v="31"/>
    <n v="470"/>
    <x v="1"/>
    <m/>
    <d v="2025-09-25T00:00:00"/>
    <n v="7.833333333333333"/>
    <n v="0.51666666666666672"/>
    <x v="0"/>
    <s v="No Rating"/>
    <s v="Resolved"/>
  </r>
  <r>
    <s v="TCK-000238"/>
    <s v="2025-09-25T12:07:12Z"/>
    <n v="1680"/>
    <x v="4"/>
    <x v="3"/>
    <x v="8"/>
    <n v="119"/>
    <n v="4055"/>
    <x v="1"/>
    <m/>
    <d v="2025-09-25T00:00:00"/>
    <n v="67.583333333333329"/>
    <n v="1.9833333333333334"/>
    <x v="0"/>
    <s v="No Rating"/>
    <s v="Resolved"/>
  </r>
  <r>
    <s v="TCK-000239"/>
    <s v="2025-09-25T20:52:48Z"/>
    <n v="1204"/>
    <x v="0"/>
    <x v="2"/>
    <x v="5"/>
    <n v="107"/>
    <m/>
    <x v="2"/>
    <m/>
    <d v="2025-09-25T00:00:00"/>
    <s v=""/>
    <n v="1.7833333333333334"/>
    <x v="1"/>
    <s v="No Rating"/>
    <s v="Unresolved"/>
  </r>
  <r>
    <s v="TCK-000240"/>
    <s v="2025-09-26T05:38:24Z"/>
    <n v="1654"/>
    <x v="4"/>
    <x v="2"/>
    <x v="7"/>
    <n v="81"/>
    <n v="2878"/>
    <x v="0"/>
    <n v="2"/>
    <d v="2025-09-26T00:00:00"/>
    <n v="47.966666666666669"/>
    <n v="1.35"/>
    <x v="0"/>
    <s v="Dissatisfied"/>
    <s v="Resolved"/>
  </r>
  <r>
    <s v="TCK-000241"/>
    <s v="2025-09-26T14:24:00Z"/>
    <n v="1051"/>
    <x v="0"/>
    <x v="2"/>
    <x v="1"/>
    <n v="162"/>
    <n v="823"/>
    <x v="0"/>
    <n v="4"/>
    <d v="2025-09-26T00:00:00"/>
    <n v="13.716666666666667"/>
    <n v="2.7"/>
    <x v="0"/>
    <s v="Satisfied"/>
    <s v="Resolved"/>
  </r>
  <r>
    <s v="TCK-000242"/>
    <s v="2025-09-26T23:09:36Z"/>
    <n v="1011"/>
    <x v="0"/>
    <x v="2"/>
    <x v="0"/>
    <n v="33"/>
    <n v="435"/>
    <x v="0"/>
    <n v="5"/>
    <d v="2025-09-26T00:00:00"/>
    <n v="7.25"/>
    <n v="0.55000000000000004"/>
    <x v="0"/>
    <s v="Satisfied"/>
    <s v="Resolved"/>
  </r>
  <r>
    <s v="TCK-000243"/>
    <s v="2025-09-27T07:55:12Z"/>
    <n v="1619"/>
    <x v="0"/>
    <x v="2"/>
    <x v="5"/>
    <n v="107"/>
    <n v="1596"/>
    <x v="0"/>
    <n v="4"/>
    <d v="2025-09-27T00:00:00"/>
    <n v="26.6"/>
    <n v="1.7833333333333334"/>
    <x v="0"/>
    <s v="Satisfied"/>
    <s v="Resolved"/>
  </r>
  <r>
    <s v="TCK-000244"/>
    <s v="2025-09-27T16:40:48Z"/>
    <n v="1233"/>
    <x v="1"/>
    <x v="1"/>
    <x v="5"/>
    <n v="50"/>
    <m/>
    <x v="2"/>
    <m/>
    <d v="2025-09-27T00:00:00"/>
    <s v=""/>
    <n v="0.83333333333333337"/>
    <x v="1"/>
    <s v="No Rating"/>
    <s v="Unresolved"/>
  </r>
  <r>
    <s v="TCK-000245"/>
    <s v="2025-09-28T01:26:24Z"/>
    <n v="1853"/>
    <x v="4"/>
    <x v="2"/>
    <x v="2"/>
    <n v="57"/>
    <n v="3554"/>
    <x v="0"/>
    <n v="4"/>
    <d v="2025-09-28T00:00:00"/>
    <n v="59.233333333333334"/>
    <n v="0.95"/>
    <x v="2"/>
    <s v="Satisfied"/>
    <s v="Resolved"/>
  </r>
  <r>
    <s v="TCK-000246"/>
    <s v="2025-09-28T10:12:00Z"/>
    <n v="1907"/>
    <x v="4"/>
    <x v="0"/>
    <x v="3"/>
    <n v="6"/>
    <n v="59"/>
    <x v="0"/>
    <n v="1"/>
    <d v="2025-09-28T00:00:00"/>
    <n v="0.98333333333333328"/>
    <n v="0.1"/>
    <x v="0"/>
    <s v="Dissatisfied"/>
    <s v="Resolved"/>
  </r>
  <r>
    <s v="TCK-000247"/>
    <s v="2025-09-28T18:57:36Z"/>
    <n v="1794"/>
    <x v="0"/>
    <x v="2"/>
    <x v="4"/>
    <n v="139"/>
    <n v="1873"/>
    <x v="0"/>
    <m/>
    <d v="2025-09-28T00:00:00"/>
    <n v="31.216666666666665"/>
    <n v="2.3166666666666669"/>
    <x v="0"/>
    <s v="No Rating"/>
    <s v="Resolved"/>
  </r>
  <r>
    <s v="TCK-000248"/>
    <s v="2025-09-29T03:43:12Z"/>
    <n v="1335"/>
    <x v="0"/>
    <x v="3"/>
    <x v="5"/>
    <n v="471"/>
    <n v="1488"/>
    <x v="0"/>
    <n v="5"/>
    <d v="2025-09-29T00:00:00"/>
    <n v="24.8"/>
    <n v="7.85"/>
    <x v="0"/>
    <s v="Satisfied"/>
    <s v="Resolved"/>
  </r>
  <r>
    <s v="TCK-000249"/>
    <s v="2025-09-29T12:28:48Z"/>
    <n v="1675"/>
    <x v="1"/>
    <x v="2"/>
    <x v="7"/>
    <n v="167"/>
    <m/>
    <x v="3"/>
    <m/>
    <d v="2025-09-29T00:00:00"/>
    <s v=""/>
    <n v="2.7833333333333332"/>
    <x v="1"/>
    <s v="No Rating"/>
    <s v="Unresolved"/>
  </r>
  <r>
    <s v="TCK-000250"/>
    <s v="2025-09-29T21:14:24Z"/>
    <n v="1600"/>
    <x v="0"/>
    <x v="2"/>
    <x v="0"/>
    <n v="82"/>
    <m/>
    <x v="3"/>
    <m/>
    <d v="2025-09-29T00:00:00"/>
    <s v=""/>
    <n v="1.3666666666666667"/>
    <x v="1"/>
    <s v="No Rating"/>
    <s v="Unresolved"/>
  </r>
  <r>
    <s v="TCK-000251"/>
    <s v="2025-09-30T06:00:00Z"/>
    <n v="1087"/>
    <x v="0"/>
    <x v="0"/>
    <x v="4"/>
    <n v="6"/>
    <n v="142"/>
    <x v="0"/>
    <n v="2"/>
    <d v="2025-09-30T00:00:00"/>
    <n v="2.3666666666666667"/>
    <n v="0.1"/>
    <x v="0"/>
    <s v="Dissatisfied"/>
    <s v="Resolved"/>
  </r>
  <r>
    <s v="TCK-000252"/>
    <s v="2025-09-30T14:45:36Z"/>
    <n v="1343"/>
    <x v="1"/>
    <x v="2"/>
    <x v="6"/>
    <n v="176"/>
    <m/>
    <x v="3"/>
    <m/>
    <d v="2025-09-30T00:00:00"/>
    <s v=""/>
    <n v="2.9333333333333331"/>
    <x v="1"/>
    <s v="No Rating"/>
    <s v="Unresolved"/>
  </r>
  <r>
    <s v="TCK-000253"/>
    <s v="2025-09-30T23:31:12Z"/>
    <n v="1817"/>
    <x v="3"/>
    <x v="1"/>
    <x v="6"/>
    <n v="31"/>
    <n v="1013"/>
    <x v="1"/>
    <m/>
    <d v="2025-09-30T00:00:00"/>
    <n v="16.883333333333333"/>
    <n v="0.51666666666666672"/>
    <x v="0"/>
    <s v="No Rating"/>
    <s v="Resolved"/>
  </r>
  <r>
    <s v="TCK-000254"/>
    <s v="2025-10-01T08:16:48Z"/>
    <n v="1113"/>
    <x v="3"/>
    <x v="2"/>
    <x v="1"/>
    <n v="71"/>
    <n v="2715"/>
    <x v="0"/>
    <n v="4"/>
    <d v="2025-10-01T00:00:00"/>
    <n v="45.25"/>
    <n v="1.1833333333333333"/>
    <x v="0"/>
    <s v="Satisfied"/>
    <s v="Resolved"/>
  </r>
  <r>
    <s v="TCK-000255"/>
    <s v="2025-10-01T17:02:24Z"/>
    <n v="1781"/>
    <x v="2"/>
    <x v="0"/>
    <x v="8"/>
    <n v="12"/>
    <n v="384"/>
    <x v="0"/>
    <m/>
    <d v="2025-10-01T00:00:00"/>
    <n v="6.4"/>
    <n v="0.2"/>
    <x v="0"/>
    <s v="No Rating"/>
    <s v="Resolved"/>
  </r>
  <r>
    <s v="TCK-000256"/>
    <s v="2025-10-02T01:48:00Z"/>
    <n v="1043"/>
    <x v="0"/>
    <x v="3"/>
    <x v="0"/>
    <n v="123"/>
    <n v="1500"/>
    <x v="0"/>
    <m/>
    <d v="2025-10-02T00:00:00"/>
    <n v="25"/>
    <n v="2.0499999999999998"/>
    <x v="0"/>
    <s v="No Rating"/>
    <s v="Resolved"/>
  </r>
  <r>
    <s v="TCK-000257"/>
    <s v="2025-10-02T10:33:36Z"/>
    <n v="1226"/>
    <x v="0"/>
    <x v="0"/>
    <x v="8"/>
    <n v="5"/>
    <n v="95"/>
    <x v="1"/>
    <n v="2"/>
    <d v="2025-10-02T00:00:00"/>
    <n v="1.5833333333333333"/>
    <n v="8.3333333333333329E-2"/>
    <x v="0"/>
    <s v="Dissatisfied"/>
    <s v="Resolved"/>
  </r>
  <r>
    <s v="TCK-000258"/>
    <s v="2025-10-02T19:19:12Z"/>
    <n v="1581"/>
    <x v="1"/>
    <x v="0"/>
    <x v="6"/>
    <n v="8"/>
    <m/>
    <x v="2"/>
    <m/>
    <d v="2025-10-02T00:00:00"/>
    <s v=""/>
    <n v="0.13333333333333333"/>
    <x v="1"/>
    <s v="No Rating"/>
    <s v="Unresolved"/>
  </r>
  <r>
    <s v="TCK-000259"/>
    <s v="2025-10-03T04:04:48Z"/>
    <n v="1729"/>
    <x v="0"/>
    <x v="1"/>
    <x v="8"/>
    <n v="15"/>
    <n v="267"/>
    <x v="0"/>
    <n v="2"/>
    <d v="2025-10-03T00:00:00"/>
    <n v="4.45"/>
    <n v="0.25"/>
    <x v="0"/>
    <s v="Dissatisfied"/>
    <s v="Resolved"/>
  </r>
  <r>
    <s v="TCK-000260"/>
    <s v="2025-10-03T12:50:24Z"/>
    <n v="1829"/>
    <x v="3"/>
    <x v="0"/>
    <x v="6"/>
    <n v="2"/>
    <n v="98"/>
    <x v="0"/>
    <n v="1"/>
    <d v="2025-10-03T00:00:00"/>
    <n v="1.6333333333333333"/>
    <n v="3.3333333333333333E-2"/>
    <x v="0"/>
    <s v="Dissatisfied"/>
    <s v="Resolved"/>
  </r>
  <r>
    <s v="TCK-000261"/>
    <s v="2025-10-03T21:36:00Z"/>
    <n v="1609"/>
    <x v="0"/>
    <x v="2"/>
    <x v="7"/>
    <n v="120"/>
    <n v="2836"/>
    <x v="0"/>
    <m/>
    <d v="2025-10-03T00:00:00"/>
    <n v="47.266666666666666"/>
    <n v="2"/>
    <x v="0"/>
    <s v="No Rating"/>
    <s v="Resolved"/>
  </r>
  <r>
    <s v="TCK-000262"/>
    <s v="2025-10-04T06:21:36Z"/>
    <n v="1992"/>
    <x v="2"/>
    <x v="0"/>
    <x v="6"/>
    <n v="12"/>
    <n v="393"/>
    <x v="0"/>
    <n v="4"/>
    <d v="2025-10-04T00:00:00"/>
    <n v="6.55"/>
    <n v="0.2"/>
    <x v="0"/>
    <s v="Satisfied"/>
    <s v="Resolved"/>
  </r>
  <r>
    <s v="TCK-000263"/>
    <s v="2025-10-04T15:07:12Z"/>
    <n v="1163"/>
    <x v="1"/>
    <x v="2"/>
    <x v="0"/>
    <n v="83"/>
    <n v="1033"/>
    <x v="0"/>
    <n v="3"/>
    <d v="2025-10-04T00:00:00"/>
    <n v="17.216666666666665"/>
    <n v="1.3833333333333333"/>
    <x v="0"/>
    <s v="Neutral"/>
    <s v="Resolved"/>
  </r>
  <r>
    <s v="TCK-000264"/>
    <s v="2025-10-04T23:52:48Z"/>
    <n v="1379"/>
    <x v="1"/>
    <x v="2"/>
    <x v="1"/>
    <n v="117"/>
    <n v="1127"/>
    <x v="1"/>
    <n v="3"/>
    <d v="2025-10-04T00:00:00"/>
    <n v="18.783333333333335"/>
    <n v="1.95"/>
    <x v="0"/>
    <s v="Neutral"/>
    <s v="Resolved"/>
  </r>
  <r>
    <s v="TCK-000265"/>
    <s v="2025-10-05T08:38:24Z"/>
    <n v="1703"/>
    <x v="0"/>
    <x v="2"/>
    <x v="1"/>
    <n v="90"/>
    <n v="1696"/>
    <x v="0"/>
    <n v="1"/>
    <d v="2025-10-05T00:00:00"/>
    <n v="28.266666666666666"/>
    <n v="1.5"/>
    <x v="0"/>
    <s v="Dissatisfied"/>
    <s v="Resolved"/>
  </r>
  <r>
    <s v="TCK-000266"/>
    <s v="2025-10-05T17:24:00Z"/>
    <n v="1254"/>
    <x v="1"/>
    <x v="1"/>
    <x v="2"/>
    <n v="9"/>
    <n v="809"/>
    <x v="0"/>
    <n v="1"/>
    <d v="2025-10-05T00:00:00"/>
    <n v="13.483333333333333"/>
    <n v="0.15"/>
    <x v="0"/>
    <s v="Dissatisfied"/>
    <s v="Resolved"/>
  </r>
  <r>
    <s v="TCK-000267"/>
    <s v="2025-10-06T02:09:36Z"/>
    <n v="1414"/>
    <x v="4"/>
    <x v="0"/>
    <x v="5"/>
    <n v="5"/>
    <n v="126"/>
    <x v="0"/>
    <n v="3"/>
    <d v="2025-10-06T00:00:00"/>
    <n v="2.1"/>
    <n v="8.3333333333333329E-2"/>
    <x v="0"/>
    <s v="Neutral"/>
    <s v="Resolved"/>
  </r>
  <r>
    <s v="TCK-000268"/>
    <s v="2025-10-06T10:55:12Z"/>
    <n v="1645"/>
    <x v="1"/>
    <x v="3"/>
    <x v="7"/>
    <n v="389"/>
    <n v="3164"/>
    <x v="1"/>
    <n v="1"/>
    <d v="2025-10-06T00:00:00"/>
    <n v="52.733333333333334"/>
    <n v="6.4833333333333334"/>
    <x v="0"/>
    <s v="Dissatisfied"/>
    <s v="Resolved"/>
  </r>
  <r>
    <s v="TCK-000269"/>
    <s v="2025-10-06T19:40:48Z"/>
    <n v="1656"/>
    <x v="0"/>
    <x v="0"/>
    <x v="3"/>
    <n v="9"/>
    <n v="318"/>
    <x v="0"/>
    <m/>
    <d v="2025-10-06T00:00:00"/>
    <n v="5.3"/>
    <n v="0.15"/>
    <x v="0"/>
    <s v="No Rating"/>
    <s v="Resolved"/>
  </r>
  <r>
    <s v="TCK-000270"/>
    <s v="2025-10-07T04:26:24Z"/>
    <n v="1727"/>
    <x v="0"/>
    <x v="3"/>
    <x v="5"/>
    <n v="256"/>
    <n v="5523"/>
    <x v="1"/>
    <n v="3"/>
    <d v="2025-10-07T00:00:00"/>
    <n v="92.05"/>
    <n v="4.2666666666666666"/>
    <x v="2"/>
    <s v="Neutral"/>
    <s v="Resolved"/>
  </r>
  <r>
    <s v="TCK-000271"/>
    <s v="2025-10-07T13:12:00Z"/>
    <n v="1312"/>
    <x v="3"/>
    <x v="1"/>
    <x v="5"/>
    <n v="25"/>
    <m/>
    <x v="2"/>
    <m/>
    <d v="2025-10-07T00:00:00"/>
    <s v=""/>
    <n v="0.41666666666666669"/>
    <x v="1"/>
    <s v="No Rating"/>
    <s v="Unresolved"/>
  </r>
  <r>
    <s v="TCK-000272"/>
    <s v="2025-10-07T21:57:36Z"/>
    <n v="1006"/>
    <x v="0"/>
    <x v="3"/>
    <x v="5"/>
    <n v="400"/>
    <n v="7427"/>
    <x v="1"/>
    <n v="4"/>
    <d v="2025-10-07T00:00:00"/>
    <n v="123.78333333333333"/>
    <n v="6.666666666666667"/>
    <x v="2"/>
    <s v="Satisfied"/>
    <s v="Resolved"/>
  </r>
  <r>
    <s v="TCK-000273"/>
    <s v="2025-10-08T06:43:12Z"/>
    <n v="1092"/>
    <x v="4"/>
    <x v="3"/>
    <x v="8"/>
    <n v="257"/>
    <n v="6666"/>
    <x v="1"/>
    <n v="3"/>
    <d v="2025-10-08T00:00:00"/>
    <n v="111.1"/>
    <n v="4.2833333333333332"/>
    <x v="2"/>
    <s v="Neutral"/>
    <s v="Resolved"/>
  </r>
  <r>
    <s v="TCK-000274"/>
    <s v="2025-10-08T15:28:48Z"/>
    <n v="1005"/>
    <x v="4"/>
    <x v="2"/>
    <x v="4"/>
    <n v="142"/>
    <n v="2275"/>
    <x v="0"/>
    <m/>
    <d v="2025-10-08T00:00:00"/>
    <n v="37.916666666666664"/>
    <n v="2.3666666666666667"/>
    <x v="0"/>
    <s v="No Rating"/>
    <s v="Resolved"/>
  </r>
  <r>
    <s v="TCK-000275"/>
    <s v="2025-10-09T00:14:24Z"/>
    <n v="1492"/>
    <x v="3"/>
    <x v="2"/>
    <x v="4"/>
    <n v="104"/>
    <n v="3255"/>
    <x v="0"/>
    <n v="2"/>
    <d v="2025-10-09T00:00:00"/>
    <n v="54.25"/>
    <n v="1.7333333333333334"/>
    <x v="2"/>
    <s v="Dissatisfied"/>
    <s v="Resolved"/>
  </r>
  <r>
    <s v="TCK-000276"/>
    <s v="2025-10-09T09:00:00Z"/>
    <n v="1278"/>
    <x v="3"/>
    <x v="0"/>
    <x v="5"/>
    <n v="10"/>
    <n v="338"/>
    <x v="1"/>
    <n v="3"/>
    <d v="2025-10-09T00:00:00"/>
    <n v="5.6333333333333337"/>
    <n v="0.16666666666666666"/>
    <x v="0"/>
    <s v="Neutral"/>
    <s v="Resolved"/>
  </r>
  <r>
    <s v="TCK-000277"/>
    <s v="2025-10-09T17:45:36Z"/>
    <n v="1069"/>
    <x v="0"/>
    <x v="2"/>
    <x v="6"/>
    <n v="40"/>
    <n v="2227"/>
    <x v="1"/>
    <m/>
    <d v="2025-10-09T00:00:00"/>
    <n v="37.116666666666667"/>
    <n v="0.66666666666666663"/>
    <x v="0"/>
    <s v="No Rating"/>
    <s v="Resolved"/>
  </r>
  <r>
    <s v="TCK-000278"/>
    <s v="2025-10-10T02:31:12Z"/>
    <n v="1216"/>
    <x v="1"/>
    <x v="0"/>
    <x v="8"/>
    <n v="7"/>
    <n v="342"/>
    <x v="0"/>
    <n v="2"/>
    <d v="2025-10-10T00:00:00"/>
    <n v="5.7"/>
    <n v="0.11666666666666667"/>
    <x v="0"/>
    <s v="Dissatisfied"/>
    <s v="Resolved"/>
  </r>
  <r>
    <s v="TCK-000279"/>
    <s v="2025-10-10T11:16:48Z"/>
    <n v="1416"/>
    <x v="3"/>
    <x v="0"/>
    <x v="2"/>
    <n v="3"/>
    <n v="350"/>
    <x v="1"/>
    <m/>
    <d v="2025-10-10T00:00:00"/>
    <n v="5.833333333333333"/>
    <n v="0.05"/>
    <x v="0"/>
    <s v="No Rating"/>
    <s v="Resolved"/>
  </r>
  <r>
    <s v="TCK-000280"/>
    <s v="2025-10-10T20:02:24Z"/>
    <n v="1602"/>
    <x v="3"/>
    <x v="2"/>
    <x v="1"/>
    <n v="62"/>
    <n v="3627"/>
    <x v="1"/>
    <n v="5"/>
    <d v="2025-10-10T00:00:00"/>
    <n v="60.45"/>
    <n v="1.0333333333333334"/>
    <x v="2"/>
    <s v="Satisfied"/>
    <s v="Resolved"/>
  </r>
  <r>
    <s v="TCK-000281"/>
    <s v="2025-10-11T04:48:00Z"/>
    <n v="1836"/>
    <x v="1"/>
    <x v="2"/>
    <x v="5"/>
    <n v="130"/>
    <n v="3088"/>
    <x v="0"/>
    <n v="5"/>
    <d v="2025-10-11T00:00:00"/>
    <n v="51.466666666666669"/>
    <n v="2.1666666666666665"/>
    <x v="2"/>
    <s v="Satisfied"/>
    <s v="Resolved"/>
  </r>
  <r>
    <s v="TCK-000282"/>
    <s v="2025-10-11T13:33:36Z"/>
    <n v="1126"/>
    <x v="2"/>
    <x v="0"/>
    <x v="2"/>
    <n v="2"/>
    <m/>
    <x v="2"/>
    <m/>
    <d v="2025-10-11T00:00:00"/>
    <s v=""/>
    <n v="3.3333333333333333E-2"/>
    <x v="1"/>
    <s v="No Rating"/>
    <s v="Unresolved"/>
  </r>
  <r>
    <s v="TCK-000283"/>
    <s v="2025-10-11T22:19:12Z"/>
    <n v="1184"/>
    <x v="3"/>
    <x v="1"/>
    <x v="6"/>
    <n v="34"/>
    <n v="658"/>
    <x v="0"/>
    <m/>
    <d v="2025-10-11T00:00:00"/>
    <n v="10.966666666666667"/>
    <n v="0.56666666666666665"/>
    <x v="0"/>
    <s v="No Rating"/>
    <s v="Resolved"/>
  </r>
  <r>
    <s v="TCK-000284"/>
    <s v="2025-10-12T07:04:48Z"/>
    <n v="1100"/>
    <x v="0"/>
    <x v="2"/>
    <x v="5"/>
    <n v="36"/>
    <n v="2924"/>
    <x v="1"/>
    <n v="5"/>
    <d v="2025-10-12T00:00:00"/>
    <n v="48.733333333333334"/>
    <n v="0.6"/>
    <x v="2"/>
    <s v="Satisfied"/>
    <s v="Resolved"/>
  </r>
  <r>
    <s v="TCK-000285"/>
    <s v="2025-10-12T15:50:24Z"/>
    <n v="1371"/>
    <x v="0"/>
    <x v="2"/>
    <x v="1"/>
    <n v="87"/>
    <n v="685"/>
    <x v="0"/>
    <m/>
    <d v="2025-10-12T00:00:00"/>
    <n v="11.416666666666666"/>
    <n v="1.45"/>
    <x v="0"/>
    <s v="No Rating"/>
    <s v="Resolved"/>
  </r>
  <r>
    <s v="TCK-000286"/>
    <s v="2025-10-13T00:36:00Z"/>
    <n v="1199"/>
    <x v="0"/>
    <x v="2"/>
    <x v="4"/>
    <n v="156"/>
    <n v="1880"/>
    <x v="0"/>
    <n v="2"/>
    <d v="2025-10-13T00:00:00"/>
    <n v="31.333333333333332"/>
    <n v="2.6"/>
    <x v="0"/>
    <s v="Dissatisfied"/>
    <s v="Resolved"/>
  </r>
  <r>
    <s v="TCK-000287"/>
    <s v="2025-10-13T09:21:36Z"/>
    <n v="1110"/>
    <x v="1"/>
    <x v="0"/>
    <x v="3"/>
    <n v="9"/>
    <n v="369"/>
    <x v="0"/>
    <n v="1"/>
    <d v="2025-10-13T00:00:00"/>
    <n v="6.15"/>
    <n v="0.15"/>
    <x v="0"/>
    <s v="Dissatisfied"/>
    <s v="Resolved"/>
  </r>
  <r>
    <s v="TCK-000288"/>
    <s v="2025-10-13T18:07:12Z"/>
    <n v="1543"/>
    <x v="4"/>
    <x v="0"/>
    <x v="1"/>
    <n v="7"/>
    <n v="419"/>
    <x v="0"/>
    <m/>
    <d v="2025-10-13T00:00:00"/>
    <n v="6.9833333333333334"/>
    <n v="0.11666666666666667"/>
    <x v="0"/>
    <s v="No Rating"/>
    <s v="Resolved"/>
  </r>
  <r>
    <s v="TCK-000289"/>
    <s v="2025-10-14T02:52:48Z"/>
    <n v="1478"/>
    <x v="2"/>
    <x v="1"/>
    <x v="5"/>
    <n v="25"/>
    <n v="976"/>
    <x v="0"/>
    <n v="4"/>
    <d v="2025-10-14T00:00:00"/>
    <n v="16.266666666666666"/>
    <n v="0.41666666666666669"/>
    <x v="0"/>
    <s v="Satisfied"/>
    <s v="Resolved"/>
  </r>
  <r>
    <s v="TCK-000290"/>
    <s v="2025-10-14T11:38:24Z"/>
    <n v="1264"/>
    <x v="1"/>
    <x v="2"/>
    <x v="4"/>
    <n v="175"/>
    <n v="1266"/>
    <x v="0"/>
    <n v="4"/>
    <d v="2025-10-14T00:00:00"/>
    <n v="21.1"/>
    <n v="2.9166666666666665"/>
    <x v="0"/>
    <s v="Satisfied"/>
    <s v="Resolved"/>
  </r>
  <r>
    <s v="TCK-000291"/>
    <s v="2025-10-14T20:24:00Z"/>
    <n v="1742"/>
    <x v="3"/>
    <x v="2"/>
    <x v="0"/>
    <n v="28"/>
    <m/>
    <x v="2"/>
    <m/>
    <d v="2025-10-14T00:00:00"/>
    <s v=""/>
    <n v="0.46666666666666667"/>
    <x v="1"/>
    <s v="No Rating"/>
    <s v="Unresolved"/>
  </r>
  <r>
    <s v="TCK-000292"/>
    <s v="2025-10-15T05:09:36Z"/>
    <n v="1431"/>
    <x v="4"/>
    <x v="2"/>
    <x v="2"/>
    <n v="88"/>
    <n v="1264"/>
    <x v="0"/>
    <n v="2"/>
    <d v="2025-10-15T00:00:00"/>
    <n v="21.066666666666666"/>
    <n v="1.4666666666666666"/>
    <x v="0"/>
    <s v="Dissatisfied"/>
    <s v="Resolved"/>
  </r>
  <r>
    <s v="TCK-000293"/>
    <s v="2025-10-15T13:55:12Z"/>
    <n v="1989"/>
    <x v="1"/>
    <x v="2"/>
    <x v="1"/>
    <n v="165"/>
    <n v="3428"/>
    <x v="1"/>
    <n v="4"/>
    <d v="2025-10-15T00:00:00"/>
    <n v="57.133333333333333"/>
    <n v="2.75"/>
    <x v="2"/>
    <s v="Satisfied"/>
    <s v="Resolved"/>
  </r>
  <r>
    <s v="TCK-000294"/>
    <s v="2025-10-15T22:40:48Z"/>
    <n v="1160"/>
    <x v="4"/>
    <x v="1"/>
    <x v="0"/>
    <n v="28"/>
    <n v="769"/>
    <x v="1"/>
    <m/>
    <d v="2025-10-15T00:00:00"/>
    <n v="12.816666666666666"/>
    <n v="0.46666666666666667"/>
    <x v="0"/>
    <s v="No Rating"/>
    <s v="Resolved"/>
  </r>
  <r>
    <s v="TCK-000295"/>
    <s v="2025-10-16T07:26:24Z"/>
    <n v="1970"/>
    <x v="1"/>
    <x v="2"/>
    <x v="0"/>
    <n v="151"/>
    <m/>
    <x v="2"/>
    <m/>
    <d v="2025-10-16T00:00:00"/>
    <s v=""/>
    <n v="2.5166666666666666"/>
    <x v="1"/>
    <s v="No Rating"/>
    <s v="Unresolved"/>
  </r>
  <r>
    <s v="TCK-000296"/>
    <s v="2025-10-16T16:12:00Z"/>
    <n v="1421"/>
    <x v="4"/>
    <x v="3"/>
    <x v="3"/>
    <n v="102"/>
    <n v="6020"/>
    <x v="0"/>
    <n v="3"/>
    <d v="2025-10-16T00:00:00"/>
    <n v="100.33333333333333"/>
    <n v="1.7"/>
    <x v="2"/>
    <s v="Neutral"/>
    <s v="Resolved"/>
  </r>
  <r>
    <s v="TCK-000297"/>
    <s v="2025-10-17T00:57:36Z"/>
    <n v="1816"/>
    <x v="4"/>
    <x v="1"/>
    <x v="5"/>
    <n v="35"/>
    <n v="392"/>
    <x v="0"/>
    <n v="4"/>
    <d v="2025-10-17T00:00:00"/>
    <n v="6.5333333333333332"/>
    <n v="0.58333333333333337"/>
    <x v="0"/>
    <s v="Satisfied"/>
    <s v="Resolved"/>
  </r>
  <r>
    <s v="TCK-000298"/>
    <s v="2025-10-17T09:43:12Z"/>
    <n v="1036"/>
    <x v="4"/>
    <x v="2"/>
    <x v="8"/>
    <n v="151"/>
    <n v="2104"/>
    <x v="0"/>
    <n v="4"/>
    <d v="2025-10-17T00:00:00"/>
    <n v="35.06666666666667"/>
    <n v="2.5166666666666666"/>
    <x v="0"/>
    <s v="Satisfied"/>
    <s v="Resolved"/>
  </r>
  <r>
    <s v="TCK-000299"/>
    <s v="2025-10-17T18:28:48Z"/>
    <n v="1182"/>
    <x v="2"/>
    <x v="2"/>
    <x v="7"/>
    <n v="80"/>
    <n v="3117"/>
    <x v="0"/>
    <n v="5"/>
    <d v="2025-10-17T00:00:00"/>
    <n v="51.95"/>
    <n v="1.3333333333333333"/>
    <x v="2"/>
    <s v="Satisfied"/>
    <s v="Resolved"/>
  </r>
  <r>
    <s v="TCK-000300"/>
    <s v="2025-10-18T03:14:24Z"/>
    <n v="1587"/>
    <x v="0"/>
    <x v="2"/>
    <x v="6"/>
    <n v="133"/>
    <n v="743"/>
    <x v="1"/>
    <n v="2"/>
    <d v="2025-10-18T00:00:00"/>
    <n v="12.383333333333333"/>
    <n v="2.2166666666666668"/>
    <x v="0"/>
    <s v="Dissatisfied"/>
    <s v="Resolved"/>
  </r>
  <r>
    <s v="TCK-000301"/>
    <s v="2025-10-18T12:00:00Z"/>
    <n v="1887"/>
    <x v="3"/>
    <x v="2"/>
    <x v="4"/>
    <n v="140"/>
    <n v="2112"/>
    <x v="0"/>
    <m/>
    <d v="2025-10-18T00:00:00"/>
    <n v="35.200000000000003"/>
    <n v="2.3333333333333335"/>
    <x v="0"/>
    <s v="No Rating"/>
    <s v="Resolved"/>
  </r>
  <r>
    <s v="TCK-000302"/>
    <s v="2025-10-18T20:45:36Z"/>
    <n v="1280"/>
    <x v="4"/>
    <x v="2"/>
    <x v="8"/>
    <n v="141"/>
    <m/>
    <x v="2"/>
    <m/>
    <d v="2025-10-18T00:00:00"/>
    <s v=""/>
    <n v="2.35"/>
    <x v="1"/>
    <s v="No Rating"/>
    <s v="Unresolved"/>
  </r>
  <r>
    <s v="TCK-000303"/>
    <s v="2025-10-19T05:31:12Z"/>
    <n v="1733"/>
    <x v="3"/>
    <x v="1"/>
    <x v="1"/>
    <n v="42"/>
    <n v="764"/>
    <x v="1"/>
    <n v="2"/>
    <d v="2025-10-19T00:00:00"/>
    <n v="12.733333333333333"/>
    <n v="0.7"/>
    <x v="0"/>
    <s v="Dissatisfied"/>
    <s v="Resolved"/>
  </r>
  <r>
    <s v="TCK-000304"/>
    <s v="2025-10-19T14:16:48Z"/>
    <n v="1269"/>
    <x v="0"/>
    <x v="2"/>
    <x v="0"/>
    <n v="135"/>
    <n v="2759"/>
    <x v="1"/>
    <n v="5"/>
    <d v="2025-10-19T00:00:00"/>
    <n v="45.983333333333334"/>
    <n v="2.25"/>
    <x v="0"/>
    <s v="Satisfied"/>
    <s v="Resolved"/>
  </r>
  <r>
    <s v="TCK-000305"/>
    <s v="2025-10-19T23:02:24Z"/>
    <n v="1059"/>
    <x v="2"/>
    <x v="0"/>
    <x v="3"/>
    <n v="10"/>
    <n v="346"/>
    <x v="0"/>
    <m/>
    <d v="2025-10-19T00:00:00"/>
    <n v="5.7666666666666666"/>
    <n v="0.16666666666666666"/>
    <x v="0"/>
    <s v="No Rating"/>
    <s v="Resolved"/>
  </r>
  <r>
    <s v="TCK-000306"/>
    <s v="2025-10-20T07:48:00Z"/>
    <n v="1510"/>
    <x v="0"/>
    <x v="2"/>
    <x v="3"/>
    <n v="63"/>
    <n v="2006"/>
    <x v="0"/>
    <m/>
    <d v="2025-10-20T00:00:00"/>
    <n v="33.43333333333333"/>
    <n v="1.05"/>
    <x v="0"/>
    <s v="No Rating"/>
    <s v="Resolved"/>
  </r>
  <r>
    <s v="TCK-000307"/>
    <s v="2025-10-20T16:33:36Z"/>
    <n v="1556"/>
    <x v="1"/>
    <x v="3"/>
    <x v="1"/>
    <n v="355"/>
    <m/>
    <x v="2"/>
    <m/>
    <d v="2025-10-20T00:00:00"/>
    <s v=""/>
    <n v="5.916666666666667"/>
    <x v="1"/>
    <s v="No Rating"/>
    <s v="Unresolved"/>
  </r>
  <r>
    <s v="TCK-000308"/>
    <s v="2025-10-21T01:19:12Z"/>
    <n v="1744"/>
    <x v="4"/>
    <x v="2"/>
    <x v="3"/>
    <n v="117"/>
    <m/>
    <x v="3"/>
    <m/>
    <d v="2025-10-21T00:00:00"/>
    <s v=""/>
    <n v="1.95"/>
    <x v="1"/>
    <s v="No Rating"/>
    <s v="Unresolved"/>
  </r>
  <r>
    <s v="TCK-000309"/>
    <s v="2025-10-21T10:04:48Z"/>
    <n v="1578"/>
    <x v="2"/>
    <x v="2"/>
    <x v="1"/>
    <n v="86"/>
    <n v="3085"/>
    <x v="0"/>
    <n v="1"/>
    <d v="2025-10-21T00:00:00"/>
    <n v="51.416666666666664"/>
    <n v="1.4333333333333333"/>
    <x v="2"/>
    <s v="Dissatisfied"/>
    <s v="Resolved"/>
  </r>
  <r>
    <s v="TCK-000310"/>
    <s v="2025-10-21T18:50:24Z"/>
    <n v="1995"/>
    <x v="3"/>
    <x v="2"/>
    <x v="1"/>
    <n v="173"/>
    <n v="1609"/>
    <x v="0"/>
    <n v="2"/>
    <d v="2025-10-21T00:00:00"/>
    <n v="26.816666666666666"/>
    <n v="2.8833333333333333"/>
    <x v="0"/>
    <s v="Dissatisfied"/>
    <s v="Resolved"/>
  </r>
  <r>
    <s v="TCK-000311"/>
    <s v="2025-10-22T03:36:00Z"/>
    <n v="1121"/>
    <x v="0"/>
    <x v="2"/>
    <x v="1"/>
    <n v="33"/>
    <n v="1448"/>
    <x v="1"/>
    <n v="3"/>
    <d v="2025-10-22T00:00:00"/>
    <n v="24.133333333333333"/>
    <n v="0.55000000000000004"/>
    <x v="0"/>
    <s v="Neutral"/>
    <s v="Resolved"/>
  </r>
  <r>
    <s v="TCK-000312"/>
    <s v="2025-10-22T12:21:36Z"/>
    <n v="1507"/>
    <x v="0"/>
    <x v="2"/>
    <x v="5"/>
    <n v="122"/>
    <m/>
    <x v="2"/>
    <m/>
    <d v="2025-10-22T00:00:00"/>
    <s v=""/>
    <n v="2.0333333333333332"/>
    <x v="1"/>
    <s v="No Rating"/>
    <s v="Unresolved"/>
  </r>
  <r>
    <s v="TCK-000313"/>
    <s v="2025-10-22T21:07:12Z"/>
    <n v="1404"/>
    <x v="4"/>
    <x v="3"/>
    <x v="2"/>
    <n v="311"/>
    <n v="4267"/>
    <x v="0"/>
    <n v="4"/>
    <d v="2025-10-22T00:00:00"/>
    <n v="71.11666666666666"/>
    <n v="5.1833333333333336"/>
    <x v="0"/>
    <s v="Satisfied"/>
    <s v="Resolved"/>
  </r>
  <r>
    <s v="TCK-000314"/>
    <s v="2025-10-23T05:52:48Z"/>
    <n v="1598"/>
    <x v="0"/>
    <x v="0"/>
    <x v="8"/>
    <n v="5"/>
    <m/>
    <x v="2"/>
    <m/>
    <d v="2025-10-23T00:00:00"/>
    <s v=""/>
    <n v="8.3333333333333329E-2"/>
    <x v="1"/>
    <s v="No Rating"/>
    <s v="Unresolved"/>
  </r>
  <r>
    <s v="TCK-000315"/>
    <s v="2025-10-23T14:38:24Z"/>
    <n v="1794"/>
    <x v="1"/>
    <x v="2"/>
    <x v="1"/>
    <n v="102"/>
    <m/>
    <x v="2"/>
    <m/>
    <d v="2025-10-23T00:00:00"/>
    <s v=""/>
    <n v="1.7"/>
    <x v="1"/>
    <s v="No Rating"/>
    <s v="Unresolved"/>
  </r>
  <r>
    <s v="TCK-000316"/>
    <s v="2025-10-23T23:24:00Z"/>
    <n v="1297"/>
    <x v="1"/>
    <x v="0"/>
    <x v="0"/>
    <n v="8"/>
    <n v="375"/>
    <x v="0"/>
    <m/>
    <d v="2025-10-23T00:00:00"/>
    <n v="6.25"/>
    <n v="0.13333333333333333"/>
    <x v="0"/>
    <s v="No Rating"/>
    <s v="Resolved"/>
  </r>
  <r>
    <s v="TCK-000317"/>
    <s v="2025-10-24T08:09:36Z"/>
    <n v="1631"/>
    <x v="4"/>
    <x v="1"/>
    <x v="5"/>
    <n v="8"/>
    <n v="782"/>
    <x v="0"/>
    <n v="4"/>
    <d v="2025-10-24T00:00:00"/>
    <n v="13.033333333333333"/>
    <n v="0.13333333333333333"/>
    <x v="0"/>
    <s v="Satisfied"/>
    <s v="Resolved"/>
  </r>
  <r>
    <s v="TCK-000318"/>
    <s v="2025-10-24T16:55:12Z"/>
    <n v="1255"/>
    <x v="2"/>
    <x v="1"/>
    <x v="8"/>
    <n v="31"/>
    <n v="456"/>
    <x v="0"/>
    <m/>
    <d v="2025-10-24T00:00:00"/>
    <n v="7.6"/>
    <n v="0.51666666666666672"/>
    <x v="0"/>
    <s v="No Rating"/>
    <s v="Resolved"/>
  </r>
  <r>
    <s v="TCK-000319"/>
    <s v="2025-10-25T01:40:48Z"/>
    <n v="1831"/>
    <x v="2"/>
    <x v="3"/>
    <x v="4"/>
    <n v="224"/>
    <m/>
    <x v="3"/>
    <m/>
    <d v="2025-10-25T00:00:00"/>
    <s v=""/>
    <n v="3.7333333333333334"/>
    <x v="1"/>
    <s v="No Rating"/>
    <s v="Unresolved"/>
  </r>
  <r>
    <s v="TCK-000320"/>
    <s v="2025-10-25T10:26:24Z"/>
    <n v="1045"/>
    <x v="2"/>
    <x v="2"/>
    <x v="1"/>
    <n v="111"/>
    <n v="1803"/>
    <x v="0"/>
    <n v="3"/>
    <d v="2025-10-25T00:00:00"/>
    <n v="30.05"/>
    <n v="1.85"/>
    <x v="0"/>
    <s v="Neutral"/>
    <s v="Resolved"/>
  </r>
  <r>
    <s v="TCK-000321"/>
    <s v="2025-10-25T19:12:00Z"/>
    <n v="1751"/>
    <x v="2"/>
    <x v="2"/>
    <x v="3"/>
    <n v="164"/>
    <n v="1925"/>
    <x v="0"/>
    <n v="3"/>
    <d v="2025-10-25T00:00:00"/>
    <n v="32.083333333333336"/>
    <n v="2.7333333333333334"/>
    <x v="0"/>
    <s v="Neutral"/>
    <s v="Resolved"/>
  </r>
  <r>
    <s v="TCK-000322"/>
    <s v="2025-10-26T03:57:36Z"/>
    <n v="1208"/>
    <x v="2"/>
    <x v="1"/>
    <x v="2"/>
    <n v="17"/>
    <n v="1150"/>
    <x v="0"/>
    <n v="1"/>
    <d v="2025-10-26T00:00:00"/>
    <n v="19.166666666666668"/>
    <n v="0.28333333333333333"/>
    <x v="0"/>
    <s v="Dissatisfied"/>
    <s v="Resolved"/>
  </r>
  <r>
    <s v="TCK-000323"/>
    <s v="2025-10-26T12:43:12Z"/>
    <n v="1400"/>
    <x v="1"/>
    <x v="2"/>
    <x v="2"/>
    <n v="56"/>
    <n v="2591"/>
    <x v="1"/>
    <n v="5"/>
    <d v="2025-10-26T00:00:00"/>
    <n v="43.18333333333333"/>
    <n v="0.93333333333333335"/>
    <x v="0"/>
    <s v="Satisfied"/>
    <s v="Resolved"/>
  </r>
  <r>
    <s v="TCK-000324"/>
    <s v="2025-10-26T21:28:48Z"/>
    <n v="1850"/>
    <x v="0"/>
    <x v="2"/>
    <x v="1"/>
    <n v="75"/>
    <n v="1607"/>
    <x v="0"/>
    <n v="1"/>
    <d v="2025-10-26T00:00:00"/>
    <n v="26.783333333333335"/>
    <n v="1.25"/>
    <x v="0"/>
    <s v="Dissatisfied"/>
    <s v="Resolved"/>
  </r>
  <r>
    <s v="TCK-000325"/>
    <s v="2025-10-27T06:14:24Z"/>
    <n v="1664"/>
    <x v="0"/>
    <x v="2"/>
    <x v="2"/>
    <n v="35"/>
    <n v="3401"/>
    <x v="0"/>
    <n v="5"/>
    <d v="2025-10-27T00:00:00"/>
    <n v="56.68333333333333"/>
    <n v="0.58333333333333337"/>
    <x v="2"/>
    <s v="Satisfied"/>
    <s v="Resolved"/>
  </r>
  <r>
    <s v="TCK-000326"/>
    <s v="2025-10-27T15:00:00Z"/>
    <n v="1730"/>
    <x v="2"/>
    <x v="3"/>
    <x v="0"/>
    <n v="212"/>
    <m/>
    <x v="2"/>
    <m/>
    <d v="2025-10-27T00:00:00"/>
    <s v=""/>
    <n v="3.5333333333333332"/>
    <x v="1"/>
    <s v="No Rating"/>
    <s v="Unresolved"/>
  </r>
  <r>
    <s v="TCK-000327"/>
    <s v="2025-10-27T23:45:36Z"/>
    <n v="1431"/>
    <x v="3"/>
    <x v="0"/>
    <x v="7"/>
    <n v="9"/>
    <n v="68"/>
    <x v="0"/>
    <n v="5"/>
    <d v="2025-10-27T00:00:00"/>
    <n v="1.1333333333333333"/>
    <n v="0.15"/>
    <x v="0"/>
    <s v="Satisfied"/>
    <s v="Resolved"/>
  </r>
  <r>
    <s v="TCK-000328"/>
    <s v="2025-10-28T08:31:12Z"/>
    <n v="1879"/>
    <x v="0"/>
    <x v="1"/>
    <x v="7"/>
    <n v="16"/>
    <n v="703"/>
    <x v="0"/>
    <n v="2"/>
    <d v="2025-10-28T00:00:00"/>
    <n v="11.716666666666667"/>
    <n v="0.26666666666666666"/>
    <x v="0"/>
    <s v="Dissatisfied"/>
    <s v="Resolved"/>
  </r>
  <r>
    <s v="TCK-000329"/>
    <s v="2025-10-28T17:16:48Z"/>
    <n v="1113"/>
    <x v="0"/>
    <x v="1"/>
    <x v="1"/>
    <n v="12"/>
    <n v="180"/>
    <x v="0"/>
    <n v="2"/>
    <d v="2025-10-28T00:00:00"/>
    <n v="3"/>
    <n v="0.2"/>
    <x v="0"/>
    <s v="Dissatisfied"/>
    <s v="Resolved"/>
  </r>
  <r>
    <s v="TCK-000330"/>
    <s v="2025-10-29T02:02:24Z"/>
    <n v="1535"/>
    <x v="2"/>
    <x v="2"/>
    <x v="1"/>
    <n v="126"/>
    <n v="2484"/>
    <x v="1"/>
    <n v="4"/>
    <d v="2025-10-29T00:00:00"/>
    <n v="41.4"/>
    <n v="2.1"/>
    <x v="0"/>
    <s v="Satisfied"/>
    <s v="Resolved"/>
  </r>
  <r>
    <s v="TCK-000331"/>
    <s v="2025-10-29T10:48:00Z"/>
    <n v="1395"/>
    <x v="4"/>
    <x v="0"/>
    <x v="8"/>
    <n v="10"/>
    <n v="67"/>
    <x v="0"/>
    <m/>
    <d v="2025-10-29T00:00:00"/>
    <n v="1.1166666666666667"/>
    <n v="0.16666666666666666"/>
    <x v="0"/>
    <s v="No Rating"/>
    <s v="Resolved"/>
  </r>
  <r>
    <s v="TCK-000332"/>
    <s v="2025-10-29T19:33:36Z"/>
    <n v="1831"/>
    <x v="0"/>
    <x v="0"/>
    <x v="8"/>
    <n v="7"/>
    <m/>
    <x v="2"/>
    <m/>
    <d v="2025-10-29T00:00:00"/>
    <s v=""/>
    <n v="0.11666666666666667"/>
    <x v="1"/>
    <s v="No Rating"/>
    <s v="Unresolved"/>
  </r>
  <r>
    <s v="TCK-000333"/>
    <s v="2025-10-30T04:19:12Z"/>
    <n v="1737"/>
    <x v="2"/>
    <x v="2"/>
    <x v="3"/>
    <n v="167"/>
    <n v="2970"/>
    <x v="0"/>
    <n v="2"/>
    <d v="2025-10-30T00:00:00"/>
    <n v="49.5"/>
    <n v="2.7833333333333332"/>
    <x v="2"/>
    <s v="Dissatisfied"/>
    <s v="Resolved"/>
  </r>
  <r>
    <s v="TCK-000334"/>
    <s v="2025-10-30T13:04:48Z"/>
    <n v="1430"/>
    <x v="2"/>
    <x v="1"/>
    <x v="3"/>
    <n v="26"/>
    <n v="571"/>
    <x v="0"/>
    <n v="3"/>
    <d v="2025-10-30T00:00:00"/>
    <n v="9.5166666666666675"/>
    <n v="0.43333333333333335"/>
    <x v="0"/>
    <s v="Neutral"/>
    <s v="Resolved"/>
  </r>
  <r>
    <s v="TCK-000335"/>
    <s v="2025-10-30T21:50:24Z"/>
    <n v="1753"/>
    <x v="0"/>
    <x v="2"/>
    <x v="4"/>
    <n v="33"/>
    <n v="2486"/>
    <x v="1"/>
    <n v="2"/>
    <d v="2025-10-30T00:00:00"/>
    <n v="41.43333333333333"/>
    <n v="0.55000000000000004"/>
    <x v="0"/>
    <s v="Dissatisfied"/>
    <s v="Resolved"/>
  </r>
  <r>
    <s v="TCK-000336"/>
    <s v="2025-10-31T06:36:00Z"/>
    <n v="1848"/>
    <x v="4"/>
    <x v="0"/>
    <x v="1"/>
    <n v="3"/>
    <n v="123"/>
    <x v="0"/>
    <n v="4"/>
    <d v="2025-10-31T00:00:00"/>
    <n v="2.0499999999999998"/>
    <n v="0.05"/>
    <x v="0"/>
    <s v="Satisfied"/>
    <s v="Resolved"/>
  </r>
  <r>
    <s v="TCK-000337"/>
    <s v="2025-10-31T15:21:36Z"/>
    <n v="1865"/>
    <x v="4"/>
    <x v="2"/>
    <x v="7"/>
    <n v="97"/>
    <n v="2001"/>
    <x v="1"/>
    <n v="4"/>
    <d v="2025-10-31T00:00:00"/>
    <n v="33.35"/>
    <n v="1.6166666666666667"/>
    <x v="0"/>
    <s v="Satisfied"/>
    <s v="Resolved"/>
  </r>
  <r>
    <s v="TCK-000338"/>
    <s v="2025-11-01T00:07:12Z"/>
    <n v="1042"/>
    <x v="3"/>
    <x v="3"/>
    <x v="2"/>
    <n v="371"/>
    <n v="2214"/>
    <x v="1"/>
    <n v="1"/>
    <d v="2025-11-01T00:00:00"/>
    <n v="36.9"/>
    <n v="6.1833333333333336"/>
    <x v="0"/>
    <s v="Dissatisfied"/>
    <s v="Resolved"/>
  </r>
  <r>
    <s v="TCK-000339"/>
    <s v="2025-11-01T08:52:48Z"/>
    <n v="1690"/>
    <x v="2"/>
    <x v="2"/>
    <x v="2"/>
    <n v="110"/>
    <n v="3565"/>
    <x v="1"/>
    <m/>
    <d v="2025-11-01T00:00:00"/>
    <n v="59.416666666666664"/>
    <n v="1.8333333333333333"/>
    <x v="2"/>
    <s v="No Rating"/>
    <s v="Resolved"/>
  </r>
  <r>
    <s v="TCK-000340"/>
    <s v="2025-11-01T17:38:24Z"/>
    <n v="1966"/>
    <x v="1"/>
    <x v="2"/>
    <x v="1"/>
    <n v="39"/>
    <n v="1717"/>
    <x v="0"/>
    <m/>
    <d v="2025-11-01T00:00:00"/>
    <n v="28.616666666666667"/>
    <n v="0.65"/>
    <x v="0"/>
    <s v="No Rating"/>
    <s v="Resolved"/>
  </r>
  <r>
    <s v="TCK-000341"/>
    <s v="2025-11-02T02:24:00Z"/>
    <n v="1074"/>
    <x v="0"/>
    <x v="1"/>
    <x v="5"/>
    <n v="41"/>
    <n v="979"/>
    <x v="0"/>
    <n v="1"/>
    <d v="2025-11-02T00:00:00"/>
    <n v="16.316666666666666"/>
    <n v="0.68333333333333335"/>
    <x v="0"/>
    <s v="Dissatisfied"/>
    <s v="Resolved"/>
  </r>
  <r>
    <s v="TCK-000342"/>
    <s v="2025-11-02T11:09:36Z"/>
    <n v="1845"/>
    <x v="2"/>
    <x v="2"/>
    <x v="5"/>
    <n v="42"/>
    <n v="1762"/>
    <x v="0"/>
    <m/>
    <d v="2025-11-02T00:00:00"/>
    <n v="29.366666666666667"/>
    <n v="0.7"/>
    <x v="0"/>
    <s v="No Rating"/>
    <s v="Resolved"/>
  </r>
  <r>
    <s v="TCK-000343"/>
    <s v="2025-11-02T19:55:12Z"/>
    <n v="1105"/>
    <x v="0"/>
    <x v="2"/>
    <x v="7"/>
    <n v="141"/>
    <n v="1823"/>
    <x v="0"/>
    <m/>
    <d v="2025-11-02T00:00:00"/>
    <n v="30.383333333333333"/>
    <n v="2.35"/>
    <x v="0"/>
    <s v="No Rating"/>
    <s v="Resolved"/>
  </r>
  <r>
    <s v="TCK-000344"/>
    <s v="2025-11-03T04:40:48Z"/>
    <n v="1235"/>
    <x v="4"/>
    <x v="2"/>
    <x v="1"/>
    <n v="127"/>
    <n v="3261"/>
    <x v="0"/>
    <n v="2"/>
    <d v="2025-11-03T00:00:00"/>
    <n v="54.35"/>
    <n v="2.1166666666666667"/>
    <x v="2"/>
    <s v="Dissatisfied"/>
    <s v="Resolved"/>
  </r>
  <r>
    <s v="TCK-000345"/>
    <s v="2025-11-03T13:26:24Z"/>
    <n v="1845"/>
    <x v="4"/>
    <x v="0"/>
    <x v="4"/>
    <n v="11"/>
    <n v="244"/>
    <x v="0"/>
    <m/>
    <d v="2025-11-03T00:00:00"/>
    <n v="4.0666666666666664"/>
    <n v="0.18333333333333332"/>
    <x v="0"/>
    <s v="No Rating"/>
    <s v="Resolved"/>
  </r>
  <r>
    <s v="TCK-000346"/>
    <s v="2025-11-03T22:12:00Z"/>
    <n v="1562"/>
    <x v="3"/>
    <x v="3"/>
    <x v="5"/>
    <n v="314"/>
    <n v="6918"/>
    <x v="0"/>
    <m/>
    <d v="2025-11-03T00:00:00"/>
    <n v="115.3"/>
    <n v="5.2333333333333334"/>
    <x v="2"/>
    <s v="No Rating"/>
    <s v="Resolved"/>
  </r>
  <r>
    <s v="TCK-000347"/>
    <s v="2025-11-04T06:57:36Z"/>
    <n v="1460"/>
    <x v="4"/>
    <x v="1"/>
    <x v="4"/>
    <n v="28"/>
    <n v="1185"/>
    <x v="0"/>
    <m/>
    <d v="2025-11-04T00:00:00"/>
    <n v="19.75"/>
    <n v="0.46666666666666667"/>
    <x v="0"/>
    <s v="No Rating"/>
    <s v="Resolved"/>
  </r>
  <r>
    <s v="TCK-000348"/>
    <s v="2025-11-04T15:43:12Z"/>
    <n v="1028"/>
    <x v="3"/>
    <x v="2"/>
    <x v="7"/>
    <n v="29"/>
    <n v="463"/>
    <x v="0"/>
    <n v="4"/>
    <d v="2025-11-04T00:00:00"/>
    <n v="7.7166666666666668"/>
    <n v="0.48333333333333334"/>
    <x v="0"/>
    <s v="Satisfied"/>
    <s v="Resolved"/>
  </r>
  <r>
    <s v="TCK-000349"/>
    <s v="2025-11-05T00:28:48Z"/>
    <n v="1477"/>
    <x v="0"/>
    <x v="3"/>
    <x v="4"/>
    <n v="220"/>
    <n v="4009"/>
    <x v="0"/>
    <n v="1"/>
    <d v="2025-11-05T00:00:00"/>
    <n v="66.816666666666663"/>
    <n v="3.6666666666666665"/>
    <x v="0"/>
    <s v="Dissatisfied"/>
    <s v="Resolved"/>
  </r>
  <r>
    <s v="TCK-000350"/>
    <s v="2025-11-05T09:14:24Z"/>
    <n v="1109"/>
    <x v="3"/>
    <x v="0"/>
    <x v="3"/>
    <n v="10"/>
    <n v="223"/>
    <x v="0"/>
    <m/>
    <d v="2025-11-05T00:00:00"/>
    <n v="3.7166666666666668"/>
    <n v="0.16666666666666666"/>
    <x v="0"/>
    <s v="No Rating"/>
    <s v="Resolved"/>
  </r>
  <r>
    <s v="TCK-000351"/>
    <s v="2025-11-05T18:00:00Z"/>
    <n v="1986"/>
    <x v="2"/>
    <x v="2"/>
    <x v="0"/>
    <n v="160"/>
    <n v="1009"/>
    <x v="0"/>
    <n v="5"/>
    <d v="2025-11-05T00:00:00"/>
    <n v="16.816666666666666"/>
    <n v="2.6666666666666665"/>
    <x v="0"/>
    <s v="Satisfied"/>
    <s v="Resolved"/>
  </r>
  <r>
    <s v="TCK-000352"/>
    <s v="2025-11-06T02:45:36Z"/>
    <n v="1554"/>
    <x v="4"/>
    <x v="1"/>
    <x v="0"/>
    <n v="36"/>
    <n v="820"/>
    <x v="1"/>
    <m/>
    <d v="2025-11-06T00:00:00"/>
    <n v="13.666666666666666"/>
    <n v="0.6"/>
    <x v="0"/>
    <s v="No Rating"/>
    <s v="Resolved"/>
  </r>
  <r>
    <s v="TCK-000353"/>
    <s v="2025-11-06T11:31:12Z"/>
    <n v="1817"/>
    <x v="1"/>
    <x v="1"/>
    <x v="2"/>
    <n v="17"/>
    <n v="661"/>
    <x v="0"/>
    <n v="1"/>
    <d v="2025-11-06T00:00:00"/>
    <n v="11.016666666666667"/>
    <n v="0.28333333333333333"/>
    <x v="0"/>
    <s v="Dissatisfied"/>
    <s v="Resolved"/>
  </r>
  <r>
    <s v="TCK-000354"/>
    <s v="2025-11-06T20:16:48Z"/>
    <n v="1268"/>
    <x v="0"/>
    <x v="1"/>
    <x v="7"/>
    <n v="22"/>
    <n v="826"/>
    <x v="1"/>
    <m/>
    <d v="2025-11-06T00:00:00"/>
    <n v="13.766666666666667"/>
    <n v="0.36666666666666664"/>
    <x v="0"/>
    <s v="No Rating"/>
    <s v="Resolved"/>
  </r>
  <r>
    <s v="TCK-000355"/>
    <s v="2025-11-07T05:02:24Z"/>
    <n v="1123"/>
    <x v="3"/>
    <x v="2"/>
    <x v="5"/>
    <n v="109"/>
    <n v="2817"/>
    <x v="0"/>
    <n v="3"/>
    <d v="2025-11-07T00:00:00"/>
    <n v="46.95"/>
    <n v="1.8166666666666667"/>
    <x v="0"/>
    <s v="Neutral"/>
    <s v="Resolved"/>
  </r>
  <r>
    <s v="TCK-000356"/>
    <s v="2025-11-07T13:48:00Z"/>
    <n v="1900"/>
    <x v="1"/>
    <x v="0"/>
    <x v="5"/>
    <n v="9"/>
    <n v="254"/>
    <x v="0"/>
    <n v="5"/>
    <d v="2025-11-07T00:00:00"/>
    <n v="4.2333333333333334"/>
    <n v="0.15"/>
    <x v="0"/>
    <s v="Satisfied"/>
    <s v="Resolved"/>
  </r>
  <r>
    <s v="TCK-000357"/>
    <s v="2025-11-07T22:33:36Z"/>
    <n v="1239"/>
    <x v="1"/>
    <x v="0"/>
    <x v="1"/>
    <n v="12"/>
    <n v="108"/>
    <x v="0"/>
    <n v="5"/>
    <d v="2025-11-07T00:00:00"/>
    <n v="1.8"/>
    <n v="0.2"/>
    <x v="0"/>
    <s v="Satisfied"/>
    <s v="Resolved"/>
  </r>
  <r>
    <s v="TCK-000358"/>
    <s v="2025-11-08T07:19:12Z"/>
    <n v="1253"/>
    <x v="3"/>
    <x v="3"/>
    <x v="8"/>
    <n v="143"/>
    <n v="4015"/>
    <x v="0"/>
    <n v="1"/>
    <d v="2025-11-08T00:00:00"/>
    <n v="66.916666666666671"/>
    <n v="2.3833333333333333"/>
    <x v="0"/>
    <s v="Dissatisfied"/>
    <s v="Resolved"/>
  </r>
  <r>
    <s v="TCK-000359"/>
    <s v="2025-11-08T16:04:48Z"/>
    <n v="1098"/>
    <x v="0"/>
    <x v="3"/>
    <x v="5"/>
    <n v="382"/>
    <n v="2671"/>
    <x v="1"/>
    <n v="1"/>
    <d v="2025-11-08T00:00:00"/>
    <n v="44.516666666666666"/>
    <n v="6.3666666666666663"/>
    <x v="0"/>
    <s v="Dissatisfied"/>
    <s v="Resolved"/>
  </r>
  <r>
    <s v="TCK-000360"/>
    <s v="2025-11-09T00:50:24Z"/>
    <n v="1192"/>
    <x v="4"/>
    <x v="2"/>
    <x v="1"/>
    <n v="70"/>
    <m/>
    <x v="2"/>
    <m/>
    <d v="2025-11-09T00:00:00"/>
    <s v=""/>
    <n v="1.1666666666666667"/>
    <x v="1"/>
    <s v="No Rating"/>
    <s v="Unresolved"/>
  </r>
  <r>
    <s v="TCK-000361"/>
    <s v="2025-11-09T09:36:00Z"/>
    <n v="1832"/>
    <x v="3"/>
    <x v="3"/>
    <x v="8"/>
    <n v="437"/>
    <n v="7197"/>
    <x v="0"/>
    <n v="1"/>
    <d v="2025-11-09T00:00:00"/>
    <n v="119.95"/>
    <n v="7.2833333333333332"/>
    <x v="2"/>
    <s v="Dissatisfied"/>
    <s v="Resolved"/>
  </r>
  <r>
    <s v="TCK-000362"/>
    <s v="2025-11-09T18:21:36Z"/>
    <n v="1960"/>
    <x v="1"/>
    <x v="1"/>
    <x v="8"/>
    <n v="22"/>
    <n v="792"/>
    <x v="0"/>
    <m/>
    <d v="2025-11-09T00:00:00"/>
    <n v="13.2"/>
    <n v="0.36666666666666664"/>
    <x v="0"/>
    <s v="No Rating"/>
    <s v="Resolved"/>
  </r>
  <r>
    <s v="TCK-000363"/>
    <s v="2025-11-10T03:07:12Z"/>
    <n v="1171"/>
    <x v="2"/>
    <x v="3"/>
    <x v="7"/>
    <n v="203"/>
    <n v="1548"/>
    <x v="1"/>
    <n v="3"/>
    <d v="2025-11-10T00:00:00"/>
    <n v="25.8"/>
    <n v="3.3833333333333333"/>
    <x v="0"/>
    <s v="Neutral"/>
    <s v="Resolved"/>
  </r>
  <r>
    <s v="TCK-000364"/>
    <s v="2025-11-10T11:52:48Z"/>
    <n v="1965"/>
    <x v="1"/>
    <x v="2"/>
    <x v="3"/>
    <n v="36"/>
    <n v="2348"/>
    <x v="0"/>
    <m/>
    <d v="2025-11-10T00:00:00"/>
    <n v="39.133333333333333"/>
    <n v="0.6"/>
    <x v="0"/>
    <s v="No Rating"/>
    <s v="Resolved"/>
  </r>
  <r>
    <s v="TCK-000365"/>
    <s v="2025-11-10T20:38:24Z"/>
    <n v="1194"/>
    <x v="0"/>
    <x v="0"/>
    <x v="8"/>
    <n v="6"/>
    <n v="302"/>
    <x v="1"/>
    <m/>
    <d v="2025-11-10T00:00:00"/>
    <n v="5.0333333333333332"/>
    <n v="0.1"/>
    <x v="0"/>
    <s v="No Rating"/>
    <s v="Resolved"/>
  </r>
  <r>
    <s v="TCK-000366"/>
    <s v="2025-11-11T05:24:00Z"/>
    <n v="1212"/>
    <x v="3"/>
    <x v="2"/>
    <x v="3"/>
    <n v="129"/>
    <n v="2181"/>
    <x v="0"/>
    <n v="5"/>
    <d v="2025-11-11T00:00:00"/>
    <n v="36.35"/>
    <n v="2.15"/>
    <x v="0"/>
    <s v="Satisfied"/>
    <s v="Resolved"/>
  </r>
  <r>
    <s v="TCK-000367"/>
    <s v="2025-11-11T14:09:36Z"/>
    <n v="1253"/>
    <x v="2"/>
    <x v="1"/>
    <x v="6"/>
    <n v="26"/>
    <n v="477"/>
    <x v="0"/>
    <n v="1"/>
    <d v="2025-11-11T00:00:00"/>
    <n v="7.95"/>
    <n v="0.43333333333333335"/>
    <x v="0"/>
    <s v="Dissatisfied"/>
    <s v="Resolved"/>
  </r>
  <r>
    <s v="TCK-000368"/>
    <s v="2025-11-11T22:55:12Z"/>
    <n v="1942"/>
    <x v="4"/>
    <x v="2"/>
    <x v="4"/>
    <n v="34"/>
    <n v="1315"/>
    <x v="1"/>
    <n v="2"/>
    <d v="2025-11-11T00:00:00"/>
    <n v="21.916666666666668"/>
    <n v="0.56666666666666665"/>
    <x v="0"/>
    <s v="Dissatisfied"/>
    <s v="Resolved"/>
  </r>
  <r>
    <s v="TCK-000369"/>
    <s v="2025-11-12T07:40:48Z"/>
    <n v="1691"/>
    <x v="1"/>
    <x v="2"/>
    <x v="1"/>
    <n v="53"/>
    <n v="1300"/>
    <x v="0"/>
    <m/>
    <d v="2025-11-12T00:00:00"/>
    <n v="21.666666666666668"/>
    <n v="0.8833333333333333"/>
    <x v="0"/>
    <s v="No Rating"/>
    <s v="Resolved"/>
  </r>
  <r>
    <s v="TCK-000370"/>
    <s v="2025-11-12T16:26:24Z"/>
    <n v="1867"/>
    <x v="0"/>
    <x v="1"/>
    <x v="3"/>
    <n v="41"/>
    <n v="493"/>
    <x v="0"/>
    <n v="5"/>
    <d v="2025-11-12T00:00:00"/>
    <n v="8.2166666666666668"/>
    <n v="0.68333333333333335"/>
    <x v="0"/>
    <s v="Satisfied"/>
    <s v="Resolved"/>
  </r>
  <r>
    <s v="TCK-000371"/>
    <s v="2025-11-13T01:12:00Z"/>
    <n v="1504"/>
    <x v="0"/>
    <x v="1"/>
    <x v="7"/>
    <n v="36"/>
    <n v="214"/>
    <x v="0"/>
    <m/>
    <d v="2025-11-13T00:00:00"/>
    <n v="3.5666666666666669"/>
    <n v="0.6"/>
    <x v="0"/>
    <s v="No Rating"/>
    <s v="Resolved"/>
  </r>
  <r>
    <s v="TCK-000372"/>
    <s v="2025-11-13T09:57:36Z"/>
    <n v="1921"/>
    <x v="2"/>
    <x v="1"/>
    <x v="0"/>
    <n v="11"/>
    <m/>
    <x v="3"/>
    <m/>
    <d v="2025-11-13T00:00:00"/>
    <s v=""/>
    <n v="0.18333333333333332"/>
    <x v="1"/>
    <s v="No Rating"/>
    <s v="Unresolved"/>
  </r>
  <r>
    <s v="TCK-000373"/>
    <s v="2025-11-13T18:43:12Z"/>
    <n v="1652"/>
    <x v="0"/>
    <x v="0"/>
    <x v="7"/>
    <n v="7"/>
    <m/>
    <x v="3"/>
    <m/>
    <d v="2025-11-13T00:00:00"/>
    <s v=""/>
    <n v="0.11666666666666667"/>
    <x v="1"/>
    <s v="No Rating"/>
    <s v="Unresolved"/>
  </r>
  <r>
    <s v="TCK-000374"/>
    <s v="2025-11-14T03:28:48Z"/>
    <n v="1197"/>
    <x v="2"/>
    <x v="2"/>
    <x v="8"/>
    <n v="62"/>
    <n v="993"/>
    <x v="0"/>
    <n v="1"/>
    <d v="2025-11-14T00:00:00"/>
    <n v="16.55"/>
    <n v="1.0333333333333334"/>
    <x v="0"/>
    <s v="Dissatisfied"/>
    <s v="Resolved"/>
  </r>
  <r>
    <s v="TCK-000375"/>
    <s v="2025-11-14T12:14:24Z"/>
    <n v="1480"/>
    <x v="4"/>
    <x v="2"/>
    <x v="2"/>
    <n v="136"/>
    <n v="1801"/>
    <x v="0"/>
    <n v="5"/>
    <d v="2025-11-14T00:00:00"/>
    <n v="30.016666666666666"/>
    <n v="2.2666666666666666"/>
    <x v="0"/>
    <s v="Satisfied"/>
    <s v="Resolved"/>
  </r>
  <r>
    <s v="TCK-000376"/>
    <s v="2025-11-14T21:00:00Z"/>
    <n v="1338"/>
    <x v="3"/>
    <x v="3"/>
    <x v="0"/>
    <n v="270"/>
    <m/>
    <x v="3"/>
    <m/>
    <d v="2025-11-14T00:00:00"/>
    <s v=""/>
    <n v="4.5"/>
    <x v="1"/>
    <s v="No Rating"/>
    <s v="Unresolved"/>
  </r>
  <r>
    <s v="TCK-000377"/>
    <s v="2025-11-15T05:45:36Z"/>
    <n v="1264"/>
    <x v="1"/>
    <x v="1"/>
    <x v="6"/>
    <n v="36"/>
    <n v="961"/>
    <x v="0"/>
    <m/>
    <d v="2025-11-15T00:00:00"/>
    <n v="16.016666666666666"/>
    <n v="0.6"/>
    <x v="0"/>
    <s v="No Rating"/>
    <s v="Resolved"/>
  </r>
  <r>
    <s v="TCK-000378"/>
    <s v="2025-11-15T14:31:12Z"/>
    <n v="1998"/>
    <x v="0"/>
    <x v="0"/>
    <x v="1"/>
    <n v="9"/>
    <n v="369"/>
    <x v="1"/>
    <m/>
    <d v="2025-11-15T00:00:00"/>
    <n v="6.15"/>
    <n v="0.15"/>
    <x v="0"/>
    <s v="No Rating"/>
    <s v="Resolved"/>
  </r>
  <r>
    <s v="TCK-000379"/>
    <s v="2025-11-15T23:16:48Z"/>
    <n v="1771"/>
    <x v="0"/>
    <x v="3"/>
    <x v="5"/>
    <n v="288"/>
    <n v="7945"/>
    <x v="1"/>
    <m/>
    <d v="2025-11-15T00:00:00"/>
    <n v="132.41666666666666"/>
    <n v="4.8"/>
    <x v="2"/>
    <s v="No Rating"/>
    <s v="Resolved"/>
  </r>
  <r>
    <s v="TCK-000380"/>
    <s v="2025-11-16T08:02:24Z"/>
    <n v="1780"/>
    <x v="1"/>
    <x v="2"/>
    <x v="6"/>
    <n v="133"/>
    <n v="2986"/>
    <x v="1"/>
    <n v="2"/>
    <d v="2025-11-16T00:00:00"/>
    <n v="49.766666666666666"/>
    <n v="2.2166666666666668"/>
    <x v="2"/>
    <s v="Dissatisfied"/>
    <s v="Resolved"/>
  </r>
  <r>
    <s v="TCK-000381"/>
    <s v="2025-11-16T16:48:00Z"/>
    <n v="2000"/>
    <x v="1"/>
    <x v="0"/>
    <x v="2"/>
    <n v="6"/>
    <n v="107"/>
    <x v="0"/>
    <n v="2"/>
    <d v="2025-11-16T00:00:00"/>
    <n v="1.7833333333333334"/>
    <n v="0.1"/>
    <x v="0"/>
    <s v="Dissatisfied"/>
    <s v="Resolved"/>
  </r>
  <r>
    <s v="TCK-000382"/>
    <s v="2025-11-17T01:33:36Z"/>
    <n v="2000"/>
    <x v="2"/>
    <x v="2"/>
    <x v="3"/>
    <n v="108"/>
    <n v="3155"/>
    <x v="0"/>
    <n v="1"/>
    <d v="2025-11-17T00:00:00"/>
    <n v="52.583333333333336"/>
    <n v="1.8"/>
    <x v="2"/>
    <s v="Dissatisfied"/>
    <s v="Resolved"/>
  </r>
  <r>
    <s v="TCK-000383"/>
    <s v="2025-11-17T10:19:12Z"/>
    <n v="1877"/>
    <x v="1"/>
    <x v="2"/>
    <x v="8"/>
    <n v="33"/>
    <n v="1349"/>
    <x v="0"/>
    <n v="4"/>
    <d v="2025-11-17T00:00:00"/>
    <n v="22.483333333333334"/>
    <n v="0.55000000000000004"/>
    <x v="0"/>
    <s v="Satisfied"/>
    <s v="Resolved"/>
  </r>
  <r>
    <s v="TCK-000384"/>
    <s v="2025-11-17T19:04:48Z"/>
    <n v="1763"/>
    <x v="0"/>
    <x v="0"/>
    <x v="4"/>
    <n v="12"/>
    <n v="429"/>
    <x v="1"/>
    <m/>
    <d v="2025-11-17T00:00:00"/>
    <n v="7.15"/>
    <n v="0.2"/>
    <x v="0"/>
    <s v="No Rating"/>
    <s v="Resolved"/>
  </r>
  <r>
    <s v="TCK-000385"/>
    <s v="2025-11-18T03:50:24Z"/>
    <n v="1610"/>
    <x v="1"/>
    <x v="2"/>
    <x v="0"/>
    <n v="73"/>
    <n v="616"/>
    <x v="0"/>
    <n v="4"/>
    <d v="2025-11-18T00:00:00"/>
    <n v="10.266666666666667"/>
    <n v="1.2166666666666666"/>
    <x v="0"/>
    <s v="Satisfied"/>
    <s v="Resolved"/>
  </r>
  <r>
    <s v="TCK-000386"/>
    <s v="2025-11-18T12:36:00Z"/>
    <n v="1624"/>
    <x v="2"/>
    <x v="3"/>
    <x v="0"/>
    <n v="467"/>
    <n v="8679"/>
    <x v="0"/>
    <n v="4"/>
    <d v="2025-11-18T00:00:00"/>
    <n v="144.65"/>
    <n v="7.7833333333333332"/>
    <x v="2"/>
    <s v="Satisfied"/>
    <s v="Resolved"/>
  </r>
  <r>
    <s v="TCK-000387"/>
    <s v="2025-11-18T21:21:36Z"/>
    <n v="1481"/>
    <x v="2"/>
    <x v="0"/>
    <x v="4"/>
    <n v="11"/>
    <n v="199"/>
    <x v="0"/>
    <n v="2"/>
    <d v="2025-11-18T00:00:00"/>
    <n v="3.3166666666666669"/>
    <n v="0.18333333333333332"/>
    <x v="0"/>
    <s v="Dissatisfied"/>
    <s v="Resolved"/>
  </r>
  <r>
    <s v="TCK-000388"/>
    <s v="2025-11-19T06:07:12Z"/>
    <n v="1416"/>
    <x v="2"/>
    <x v="0"/>
    <x v="0"/>
    <n v="10"/>
    <n v="281"/>
    <x v="0"/>
    <n v="1"/>
    <d v="2025-11-19T00:00:00"/>
    <n v="4.6833333333333336"/>
    <n v="0.16666666666666666"/>
    <x v="0"/>
    <s v="Dissatisfied"/>
    <s v="Resolved"/>
  </r>
  <r>
    <s v="TCK-000389"/>
    <s v="2025-11-19T14:52:48Z"/>
    <n v="1531"/>
    <x v="3"/>
    <x v="0"/>
    <x v="7"/>
    <n v="7"/>
    <n v="121"/>
    <x v="0"/>
    <n v="1"/>
    <d v="2025-11-19T00:00:00"/>
    <n v="2.0166666666666666"/>
    <n v="0.11666666666666667"/>
    <x v="0"/>
    <s v="Dissatisfied"/>
    <s v="Resolved"/>
  </r>
  <r>
    <s v="TCK-000390"/>
    <s v="2025-11-19T23:38:24Z"/>
    <n v="1595"/>
    <x v="4"/>
    <x v="0"/>
    <x v="6"/>
    <n v="7"/>
    <n v="207"/>
    <x v="0"/>
    <n v="4"/>
    <d v="2025-11-19T00:00:00"/>
    <n v="3.45"/>
    <n v="0.11666666666666667"/>
    <x v="0"/>
    <s v="Satisfied"/>
    <s v="Resolved"/>
  </r>
  <r>
    <s v="TCK-000391"/>
    <s v="2025-11-20T08:24:00Z"/>
    <n v="1959"/>
    <x v="0"/>
    <x v="0"/>
    <x v="8"/>
    <n v="4"/>
    <m/>
    <x v="2"/>
    <m/>
    <d v="2025-11-20T00:00:00"/>
    <s v=""/>
    <n v="6.6666666666666666E-2"/>
    <x v="1"/>
    <s v="No Rating"/>
    <s v="Unresolved"/>
  </r>
  <r>
    <s v="TCK-000392"/>
    <s v="2025-11-20T17:09:36Z"/>
    <n v="1336"/>
    <x v="1"/>
    <x v="0"/>
    <x v="2"/>
    <n v="2"/>
    <n v="322"/>
    <x v="0"/>
    <m/>
    <d v="2025-11-20T00:00:00"/>
    <n v="5.3666666666666663"/>
    <n v="3.3333333333333333E-2"/>
    <x v="0"/>
    <s v="No Rating"/>
    <s v="Resolved"/>
  </r>
  <r>
    <s v="TCK-000393"/>
    <s v="2025-11-21T01:55:12Z"/>
    <n v="1234"/>
    <x v="4"/>
    <x v="2"/>
    <x v="1"/>
    <n v="87"/>
    <n v="3654"/>
    <x v="0"/>
    <m/>
    <d v="2025-11-21T00:00:00"/>
    <n v="60.9"/>
    <n v="1.45"/>
    <x v="2"/>
    <s v="No Rating"/>
    <s v="Resolved"/>
  </r>
  <r>
    <s v="TCK-000394"/>
    <s v="2025-11-21T10:40:48Z"/>
    <n v="1573"/>
    <x v="4"/>
    <x v="2"/>
    <x v="7"/>
    <n v="98"/>
    <n v="841"/>
    <x v="0"/>
    <n v="5"/>
    <d v="2025-11-21T00:00:00"/>
    <n v="14.016666666666667"/>
    <n v="1.6333333333333333"/>
    <x v="0"/>
    <s v="Satisfied"/>
    <s v="Resolved"/>
  </r>
  <r>
    <s v="TCK-000395"/>
    <s v="2025-11-21T19:26:24Z"/>
    <n v="1894"/>
    <x v="3"/>
    <x v="2"/>
    <x v="5"/>
    <n v="98"/>
    <n v="2458"/>
    <x v="0"/>
    <m/>
    <d v="2025-11-21T00:00:00"/>
    <n v="40.966666666666669"/>
    <n v="1.6333333333333333"/>
    <x v="0"/>
    <s v="No Rating"/>
    <s v="Resolved"/>
  </r>
  <r>
    <s v="TCK-000396"/>
    <s v="2025-11-22T04:12:00Z"/>
    <n v="1051"/>
    <x v="4"/>
    <x v="2"/>
    <x v="0"/>
    <n v="91"/>
    <n v="2010"/>
    <x v="0"/>
    <n v="3"/>
    <d v="2025-11-22T00:00:00"/>
    <n v="33.5"/>
    <n v="1.5166666666666666"/>
    <x v="0"/>
    <s v="Neutral"/>
    <s v="Resolved"/>
  </r>
  <r>
    <s v="TCK-000397"/>
    <s v="2025-11-22T12:57:36Z"/>
    <n v="1261"/>
    <x v="1"/>
    <x v="0"/>
    <x v="2"/>
    <n v="7"/>
    <n v="405"/>
    <x v="0"/>
    <n v="5"/>
    <d v="2025-11-22T00:00:00"/>
    <n v="6.75"/>
    <n v="0.11666666666666667"/>
    <x v="0"/>
    <s v="Satisfied"/>
    <s v="Resolved"/>
  </r>
  <r>
    <s v="TCK-000398"/>
    <s v="2025-11-22T21:43:12Z"/>
    <n v="1457"/>
    <x v="4"/>
    <x v="3"/>
    <x v="5"/>
    <n v="413"/>
    <n v="7260"/>
    <x v="0"/>
    <n v="2"/>
    <d v="2025-11-22T00:00:00"/>
    <n v="121"/>
    <n v="6.8833333333333337"/>
    <x v="2"/>
    <s v="Dissatisfied"/>
    <s v="Resolved"/>
  </r>
  <r>
    <s v="TCK-000399"/>
    <s v="2025-11-23T06:28:48Z"/>
    <n v="1936"/>
    <x v="1"/>
    <x v="1"/>
    <x v="5"/>
    <n v="45"/>
    <n v="721"/>
    <x v="0"/>
    <n v="5"/>
    <d v="2025-11-23T00:00:00"/>
    <n v="12.016666666666667"/>
    <n v="0.75"/>
    <x v="0"/>
    <s v="Satisfied"/>
    <s v="Resolved"/>
  </r>
  <r>
    <s v="TCK-000400"/>
    <s v="2025-11-23T15:14:24Z"/>
    <n v="1535"/>
    <x v="1"/>
    <x v="2"/>
    <x v="8"/>
    <n v="87"/>
    <n v="1227"/>
    <x v="0"/>
    <n v="5"/>
    <d v="2025-11-23T00:00:00"/>
    <n v="20.45"/>
    <n v="1.45"/>
    <x v="0"/>
    <s v="Satisfied"/>
    <s v="Resolved"/>
  </r>
  <r>
    <s v="TCK-000401"/>
    <s v="2025-11-24T00:00:00Z"/>
    <n v="1009"/>
    <x v="3"/>
    <x v="0"/>
    <x v="2"/>
    <n v="10"/>
    <n v="221"/>
    <x v="0"/>
    <n v="1"/>
    <d v="2025-11-24T00:00:00"/>
    <n v="3.6833333333333331"/>
    <n v="0.16666666666666666"/>
    <x v="0"/>
    <s v="Dissatisfied"/>
    <s v="Resolved"/>
  </r>
  <r>
    <s v="TCK-000402"/>
    <s v="2025-11-24T08:45:36Z"/>
    <n v="1904"/>
    <x v="3"/>
    <x v="2"/>
    <x v="1"/>
    <n v="117"/>
    <n v="1592"/>
    <x v="1"/>
    <m/>
    <d v="2025-11-24T00:00:00"/>
    <n v="26.533333333333335"/>
    <n v="1.95"/>
    <x v="0"/>
    <s v="No Rating"/>
    <s v="Resolved"/>
  </r>
  <r>
    <s v="TCK-000403"/>
    <s v="2025-11-24T17:31:12Z"/>
    <n v="1289"/>
    <x v="2"/>
    <x v="1"/>
    <x v="5"/>
    <n v="26"/>
    <n v="938"/>
    <x v="0"/>
    <m/>
    <d v="2025-11-24T00:00:00"/>
    <n v="15.633333333333333"/>
    <n v="0.43333333333333335"/>
    <x v="0"/>
    <s v="No Rating"/>
    <s v="Resolved"/>
  </r>
  <r>
    <s v="TCK-000404"/>
    <s v="2025-11-25T02:16:48Z"/>
    <n v="1189"/>
    <x v="0"/>
    <x v="1"/>
    <x v="7"/>
    <n v="18"/>
    <n v="1079"/>
    <x v="0"/>
    <m/>
    <d v="2025-11-25T00:00:00"/>
    <n v="17.983333333333334"/>
    <n v="0.3"/>
    <x v="0"/>
    <s v="No Rating"/>
    <s v="Resolved"/>
  </r>
  <r>
    <s v="TCK-000405"/>
    <s v="2025-11-25T11:02:24Z"/>
    <n v="1085"/>
    <x v="2"/>
    <x v="3"/>
    <x v="7"/>
    <n v="328"/>
    <n v="5267"/>
    <x v="0"/>
    <n v="2"/>
    <d v="2025-11-25T00:00:00"/>
    <n v="87.783333333333331"/>
    <n v="5.4666666666666668"/>
    <x v="2"/>
    <s v="Dissatisfied"/>
    <s v="Resolved"/>
  </r>
  <r>
    <s v="TCK-000406"/>
    <s v="2025-11-25T19:48:00Z"/>
    <n v="1517"/>
    <x v="4"/>
    <x v="0"/>
    <x v="1"/>
    <n v="10"/>
    <m/>
    <x v="2"/>
    <m/>
    <d v="2025-11-25T00:00:00"/>
    <s v=""/>
    <n v="0.16666666666666666"/>
    <x v="1"/>
    <s v="No Rating"/>
    <s v="Unresolved"/>
  </r>
  <r>
    <s v="TCK-000407"/>
    <s v="2025-11-26T04:33:36Z"/>
    <n v="1387"/>
    <x v="1"/>
    <x v="2"/>
    <x v="4"/>
    <n v="96"/>
    <n v="1367"/>
    <x v="0"/>
    <n v="3"/>
    <d v="2025-11-26T00:00:00"/>
    <n v="22.783333333333335"/>
    <n v="1.6"/>
    <x v="0"/>
    <s v="Neutral"/>
    <s v="Resolved"/>
  </r>
  <r>
    <s v="TCK-000408"/>
    <s v="2025-11-26T13:19:12Z"/>
    <n v="1219"/>
    <x v="1"/>
    <x v="2"/>
    <x v="3"/>
    <n v="153"/>
    <n v="3014"/>
    <x v="0"/>
    <n v="1"/>
    <d v="2025-11-26T00:00:00"/>
    <n v="50.233333333333334"/>
    <n v="2.5499999999999998"/>
    <x v="2"/>
    <s v="Dissatisfied"/>
    <s v="Resolved"/>
  </r>
  <r>
    <s v="TCK-000409"/>
    <s v="2025-11-26T22:04:48Z"/>
    <n v="1558"/>
    <x v="3"/>
    <x v="3"/>
    <x v="5"/>
    <n v="464"/>
    <n v="8841"/>
    <x v="0"/>
    <m/>
    <d v="2025-11-26T00:00:00"/>
    <n v="147.35"/>
    <n v="7.7333333333333334"/>
    <x v="2"/>
    <s v="No Rating"/>
    <s v="Resolved"/>
  </r>
  <r>
    <s v="TCK-000410"/>
    <s v="2025-11-27T06:50:24Z"/>
    <n v="1656"/>
    <x v="0"/>
    <x v="1"/>
    <x v="5"/>
    <n v="8"/>
    <m/>
    <x v="3"/>
    <m/>
    <d v="2025-11-27T00:00:00"/>
    <s v=""/>
    <n v="0.13333333333333333"/>
    <x v="1"/>
    <s v="No Rating"/>
    <s v="Unresolved"/>
  </r>
  <r>
    <s v="TCK-000411"/>
    <s v="2025-11-27T15:36:00Z"/>
    <n v="1772"/>
    <x v="2"/>
    <x v="3"/>
    <x v="6"/>
    <n v="254"/>
    <n v="8660"/>
    <x v="0"/>
    <n v="5"/>
    <d v="2025-11-27T00:00:00"/>
    <n v="144.33333333333334"/>
    <n v="4.2333333333333334"/>
    <x v="2"/>
    <s v="Satisfied"/>
    <s v="Resolved"/>
  </r>
  <r>
    <s v="TCK-000412"/>
    <s v="2025-11-28T00:21:36Z"/>
    <n v="1602"/>
    <x v="0"/>
    <x v="2"/>
    <x v="4"/>
    <n v="120"/>
    <n v="3076"/>
    <x v="0"/>
    <n v="1"/>
    <d v="2025-11-28T00:00:00"/>
    <n v="51.266666666666666"/>
    <n v="2"/>
    <x v="2"/>
    <s v="Dissatisfied"/>
    <s v="Resolved"/>
  </r>
  <r>
    <s v="TCK-000413"/>
    <s v="2025-11-28T09:07:12Z"/>
    <n v="1994"/>
    <x v="2"/>
    <x v="3"/>
    <x v="8"/>
    <n v="75"/>
    <n v="6027"/>
    <x v="0"/>
    <n v="3"/>
    <d v="2025-11-28T00:00:00"/>
    <n v="100.45"/>
    <n v="1.25"/>
    <x v="2"/>
    <s v="Neutral"/>
    <s v="Resolved"/>
  </r>
  <r>
    <s v="TCK-000414"/>
    <s v="2025-11-28T17:52:48Z"/>
    <n v="1062"/>
    <x v="1"/>
    <x v="1"/>
    <x v="7"/>
    <n v="13"/>
    <n v="205"/>
    <x v="0"/>
    <n v="2"/>
    <d v="2025-11-28T00:00:00"/>
    <n v="3.4166666666666665"/>
    <n v="0.21666666666666667"/>
    <x v="0"/>
    <s v="Dissatisfied"/>
    <s v="Resolved"/>
  </r>
  <r>
    <s v="TCK-000415"/>
    <s v="2025-11-29T02:38:24Z"/>
    <n v="1332"/>
    <x v="1"/>
    <x v="1"/>
    <x v="8"/>
    <n v="41"/>
    <n v="507"/>
    <x v="0"/>
    <n v="3"/>
    <d v="2025-11-29T00:00:00"/>
    <n v="8.4499999999999993"/>
    <n v="0.68333333333333335"/>
    <x v="0"/>
    <s v="Neutral"/>
    <s v="Resolved"/>
  </r>
  <r>
    <s v="TCK-000416"/>
    <s v="2025-11-29T11:24:00Z"/>
    <n v="1392"/>
    <x v="3"/>
    <x v="2"/>
    <x v="6"/>
    <n v="121"/>
    <n v="720"/>
    <x v="1"/>
    <m/>
    <d v="2025-11-29T00:00:00"/>
    <n v="12"/>
    <n v="2.0166666666666666"/>
    <x v="0"/>
    <s v="No Rating"/>
    <s v="Resolved"/>
  </r>
  <r>
    <s v="TCK-000417"/>
    <s v="2025-11-29T20:09:36Z"/>
    <n v="1470"/>
    <x v="3"/>
    <x v="0"/>
    <x v="1"/>
    <n v="2"/>
    <n v="269"/>
    <x v="1"/>
    <m/>
    <d v="2025-11-29T00:00:00"/>
    <n v="4.4833333333333334"/>
    <n v="3.3333333333333333E-2"/>
    <x v="0"/>
    <s v="No Rating"/>
    <s v="Resolved"/>
  </r>
  <r>
    <s v="TCK-000418"/>
    <s v="2025-11-30T04:55:12Z"/>
    <n v="1569"/>
    <x v="0"/>
    <x v="1"/>
    <x v="4"/>
    <n v="13"/>
    <n v="1042"/>
    <x v="0"/>
    <m/>
    <d v="2025-11-30T00:00:00"/>
    <n v="17.366666666666667"/>
    <n v="0.21666666666666667"/>
    <x v="0"/>
    <s v="No Rating"/>
    <s v="Resolved"/>
  </r>
  <r>
    <s v="TCK-000419"/>
    <s v="2025-11-30T13:40:48Z"/>
    <n v="1114"/>
    <x v="4"/>
    <x v="3"/>
    <x v="7"/>
    <n v="297"/>
    <n v="8477"/>
    <x v="0"/>
    <m/>
    <d v="2025-11-30T00:00:00"/>
    <n v="141.28333333333333"/>
    <n v="4.95"/>
    <x v="2"/>
    <s v="No Rating"/>
    <s v="Resolved"/>
  </r>
  <r>
    <s v="TCK-000420"/>
    <s v="2025-11-30T22:26:24Z"/>
    <n v="1042"/>
    <x v="0"/>
    <x v="1"/>
    <x v="6"/>
    <n v="11"/>
    <m/>
    <x v="2"/>
    <m/>
    <d v="2025-11-30T00:00:00"/>
    <s v=""/>
    <n v="0.18333333333333332"/>
    <x v="1"/>
    <s v="No Rating"/>
    <s v="Unresolved"/>
  </r>
  <r>
    <s v="TCK-000421"/>
    <s v="2025-12-01T07:12:00Z"/>
    <n v="1764"/>
    <x v="4"/>
    <x v="1"/>
    <x v="1"/>
    <n v="39"/>
    <m/>
    <x v="3"/>
    <m/>
    <d v="2025-12-01T00:00:00"/>
    <s v=""/>
    <n v="0.65"/>
    <x v="1"/>
    <s v="No Rating"/>
    <s v="Unresolved"/>
  </r>
  <r>
    <s v="TCK-000422"/>
    <s v="2025-12-01T15:57:36Z"/>
    <n v="1569"/>
    <x v="1"/>
    <x v="3"/>
    <x v="1"/>
    <n v="243"/>
    <n v="1676"/>
    <x v="0"/>
    <n v="2"/>
    <d v="2025-12-01T00:00:00"/>
    <n v="27.933333333333334"/>
    <n v="4.05"/>
    <x v="0"/>
    <s v="Dissatisfied"/>
    <s v="Resolved"/>
  </r>
  <r>
    <s v="TCK-000423"/>
    <s v="2025-12-02T00:43:12Z"/>
    <n v="1004"/>
    <x v="4"/>
    <x v="3"/>
    <x v="5"/>
    <n v="204"/>
    <n v="2796"/>
    <x v="0"/>
    <n v="4"/>
    <d v="2025-12-02T00:00:00"/>
    <n v="46.6"/>
    <n v="3.4"/>
    <x v="0"/>
    <s v="Satisfied"/>
    <s v="Resolved"/>
  </r>
  <r>
    <s v="TCK-000424"/>
    <s v="2025-12-02T09:28:48Z"/>
    <n v="1948"/>
    <x v="0"/>
    <x v="2"/>
    <x v="5"/>
    <n v="86"/>
    <n v="752"/>
    <x v="1"/>
    <m/>
    <d v="2025-12-02T00:00:00"/>
    <n v="12.533333333333333"/>
    <n v="1.4333333333333333"/>
    <x v="0"/>
    <s v="No Rating"/>
    <s v="Resolved"/>
  </r>
  <r>
    <s v="TCK-000425"/>
    <s v="2025-12-02T18:14:24Z"/>
    <n v="1865"/>
    <x v="1"/>
    <x v="2"/>
    <x v="1"/>
    <n v="155"/>
    <n v="1566"/>
    <x v="1"/>
    <n v="5"/>
    <d v="2025-12-02T00:00:00"/>
    <n v="26.1"/>
    <n v="2.5833333333333335"/>
    <x v="0"/>
    <s v="Satisfied"/>
    <s v="Resolved"/>
  </r>
  <r>
    <s v="TCK-000426"/>
    <s v="2025-12-03T03:00:00Z"/>
    <n v="1438"/>
    <x v="1"/>
    <x v="2"/>
    <x v="4"/>
    <n v="139"/>
    <n v="3444"/>
    <x v="0"/>
    <n v="4"/>
    <d v="2025-12-03T00:00:00"/>
    <n v="57.4"/>
    <n v="2.3166666666666669"/>
    <x v="2"/>
    <s v="Satisfied"/>
    <s v="Resolved"/>
  </r>
  <r>
    <s v="TCK-000427"/>
    <s v="2025-12-03T11:45:36Z"/>
    <n v="1557"/>
    <x v="0"/>
    <x v="2"/>
    <x v="0"/>
    <n v="101"/>
    <m/>
    <x v="3"/>
    <m/>
    <d v="2025-12-03T00:00:00"/>
    <s v=""/>
    <n v="1.6833333333333333"/>
    <x v="1"/>
    <s v="No Rating"/>
    <s v="Unresolved"/>
  </r>
  <r>
    <s v="TCK-000428"/>
    <s v="2025-12-03T20:31:12Z"/>
    <n v="1332"/>
    <x v="4"/>
    <x v="2"/>
    <x v="8"/>
    <n v="49"/>
    <n v="2029"/>
    <x v="0"/>
    <n v="5"/>
    <d v="2025-12-03T00:00:00"/>
    <n v="33.81666666666667"/>
    <n v="0.81666666666666665"/>
    <x v="0"/>
    <s v="Satisfied"/>
    <s v="Resolved"/>
  </r>
  <r>
    <s v="TCK-000429"/>
    <s v="2025-12-04T05:16:48Z"/>
    <n v="1608"/>
    <x v="0"/>
    <x v="0"/>
    <x v="5"/>
    <n v="9"/>
    <n v="209"/>
    <x v="1"/>
    <m/>
    <d v="2025-12-04T00:00:00"/>
    <n v="3.4833333333333334"/>
    <n v="0.15"/>
    <x v="0"/>
    <s v="No Rating"/>
    <s v="Resolved"/>
  </r>
  <r>
    <s v="TCK-000430"/>
    <s v="2025-12-04T14:02:24Z"/>
    <n v="1307"/>
    <x v="0"/>
    <x v="1"/>
    <x v="2"/>
    <n v="14"/>
    <n v="701"/>
    <x v="0"/>
    <n v="1"/>
    <d v="2025-12-04T00:00:00"/>
    <n v="11.683333333333334"/>
    <n v="0.23333333333333334"/>
    <x v="0"/>
    <s v="Dissatisfied"/>
    <s v="Resolved"/>
  </r>
  <r>
    <s v="TCK-000431"/>
    <s v="2025-12-04T22:48:00Z"/>
    <n v="1168"/>
    <x v="0"/>
    <x v="0"/>
    <x v="1"/>
    <n v="9"/>
    <n v="196"/>
    <x v="1"/>
    <n v="3"/>
    <d v="2025-12-04T00:00:00"/>
    <n v="3.2666666666666666"/>
    <n v="0.15"/>
    <x v="0"/>
    <s v="Neutral"/>
    <s v="Resolved"/>
  </r>
  <r>
    <s v="TCK-000432"/>
    <s v="2025-12-05T07:33:36Z"/>
    <n v="1335"/>
    <x v="0"/>
    <x v="2"/>
    <x v="2"/>
    <n v="103"/>
    <n v="1763"/>
    <x v="1"/>
    <n v="2"/>
    <d v="2025-12-05T00:00:00"/>
    <n v="29.383333333333333"/>
    <n v="1.7166666666666666"/>
    <x v="0"/>
    <s v="Dissatisfied"/>
    <s v="Resolved"/>
  </r>
  <r>
    <s v="TCK-000433"/>
    <s v="2025-12-05T16:19:12Z"/>
    <n v="1575"/>
    <x v="0"/>
    <x v="2"/>
    <x v="5"/>
    <n v="35"/>
    <n v="3220"/>
    <x v="0"/>
    <n v="2"/>
    <d v="2025-12-05T00:00:00"/>
    <n v="53.666666666666664"/>
    <n v="0.58333333333333337"/>
    <x v="2"/>
    <s v="Dissatisfied"/>
    <s v="Resolved"/>
  </r>
  <r>
    <s v="TCK-000434"/>
    <s v="2025-12-06T01:04:48Z"/>
    <n v="1235"/>
    <x v="1"/>
    <x v="2"/>
    <x v="4"/>
    <n v="83"/>
    <n v="2481"/>
    <x v="0"/>
    <n v="3"/>
    <d v="2025-12-06T00:00:00"/>
    <n v="41.35"/>
    <n v="1.3833333333333333"/>
    <x v="0"/>
    <s v="Neutral"/>
    <s v="Resolved"/>
  </r>
  <r>
    <s v="TCK-000435"/>
    <s v="2025-12-06T09:50:24Z"/>
    <n v="2000"/>
    <x v="4"/>
    <x v="1"/>
    <x v="7"/>
    <n v="43"/>
    <n v="850"/>
    <x v="0"/>
    <n v="2"/>
    <d v="2025-12-06T00:00:00"/>
    <n v="14.166666666666666"/>
    <n v="0.71666666666666667"/>
    <x v="0"/>
    <s v="Dissatisfied"/>
    <s v="Resolved"/>
  </r>
  <r>
    <s v="TCK-000436"/>
    <s v="2025-12-06T18:36:00Z"/>
    <n v="1698"/>
    <x v="3"/>
    <x v="1"/>
    <x v="8"/>
    <n v="17"/>
    <n v="822"/>
    <x v="0"/>
    <n v="3"/>
    <d v="2025-12-06T00:00:00"/>
    <n v="13.7"/>
    <n v="0.28333333333333333"/>
    <x v="0"/>
    <s v="Neutral"/>
    <s v="Resolved"/>
  </r>
  <r>
    <s v="TCK-000437"/>
    <s v="2025-12-07T03:21:36Z"/>
    <n v="1716"/>
    <x v="3"/>
    <x v="1"/>
    <x v="0"/>
    <n v="19"/>
    <n v="153"/>
    <x v="0"/>
    <n v="1"/>
    <d v="2025-12-07T00:00:00"/>
    <n v="2.5499999999999998"/>
    <n v="0.31666666666666665"/>
    <x v="0"/>
    <s v="Dissatisfied"/>
    <s v="Resolved"/>
  </r>
  <r>
    <s v="TCK-000438"/>
    <s v="2025-12-07T12:07:12Z"/>
    <n v="1308"/>
    <x v="4"/>
    <x v="2"/>
    <x v="7"/>
    <n v="53"/>
    <n v="2233"/>
    <x v="0"/>
    <n v="1"/>
    <d v="2025-12-07T00:00:00"/>
    <n v="37.216666666666669"/>
    <n v="0.8833333333333333"/>
    <x v="0"/>
    <s v="Dissatisfied"/>
    <s v="Resolved"/>
  </r>
  <r>
    <s v="TCK-000439"/>
    <s v="2025-12-07T20:52:48Z"/>
    <n v="1425"/>
    <x v="1"/>
    <x v="2"/>
    <x v="7"/>
    <n v="137"/>
    <n v="2335"/>
    <x v="0"/>
    <n v="1"/>
    <d v="2025-12-07T00:00:00"/>
    <n v="38.916666666666664"/>
    <n v="2.2833333333333332"/>
    <x v="0"/>
    <s v="Dissatisfied"/>
    <s v="Resolved"/>
  </r>
  <r>
    <s v="TCK-000440"/>
    <s v="2025-12-08T05:38:24Z"/>
    <n v="1260"/>
    <x v="3"/>
    <x v="3"/>
    <x v="0"/>
    <n v="353"/>
    <n v="1501"/>
    <x v="0"/>
    <m/>
    <d v="2025-12-08T00:00:00"/>
    <n v="25.016666666666666"/>
    <n v="5.8833333333333337"/>
    <x v="0"/>
    <s v="No Rating"/>
    <s v="Resolved"/>
  </r>
  <r>
    <s v="TCK-000441"/>
    <s v="2025-12-08T14:24:00Z"/>
    <n v="1321"/>
    <x v="4"/>
    <x v="3"/>
    <x v="8"/>
    <n v="181"/>
    <m/>
    <x v="2"/>
    <m/>
    <d v="2025-12-08T00:00:00"/>
    <s v=""/>
    <n v="3.0166666666666666"/>
    <x v="1"/>
    <s v="No Rating"/>
    <s v="Unresolved"/>
  </r>
  <r>
    <s v="TCK-000442"/>
    <s v="2025-12-08T23:09:36Z"/>
    <n v="1759"/>
    <x v="3"/>
    <x v="1"/>
    <x v="4"/>
    <n v="35"/>
    <n v="844"/>
    <x v="0"/>
    <n v="5"/>
    <d v="2025-12-08T00:00:00"/>
    <n v="14.066666666666666"/>
    <n v="0.58333333333333337"/>
    <x v="0"/>
    <s v="Satisfied"/>
    <s v="Resolved"/>
  </r>
  <r>
    <s v="TCK-000443"/>
    <s v="2025-12-09T07:55:12Z"/>
    <n v="1480"/>
    <x v="4"/>
    <x v="1"/>
    <x v="8"/>
    <n v="17"/>
    <n v="192"/>
    <x v="0"/>
    <n v="2"/>
    <d v="2025-12-09T00:00:00"/>
    <n v="3.2"/>
    <n v="0.28333333333333333"/>
    <x v="0"/>
    <s v="Dissatisfied"/>
    <s v="Resolved"/>
  </r>
  <r>
    <s v="TCK-000444"/>
    <s v="2025-12-09T16:40:48Z"/>
    <n v="1094"/>
    <x v="1"/>
    <x v="3"/>
    <x v="7"/>
    <n v="204"/>
    <n v="3054"/>
    <x v="1"/>
    <m/>
    <d v="2025-12-09T00:00:00"/>
    <n v="50.9"/>
    <n v="3.4"/>
    <x v="0"/>
    <s v="No Rating"/>
    <s v="Resolved"/>
  </r>
  <r>
    <s v="TCK-000445"/>
    <s v="2025-12-10T01:26:24Z"/>
    <n v="1202"/>
    <x v="1"/>
    <x v="1"/>
    <x v="0"/>
    <n v="31"/>
    <n v="997"/>
    <x v="0"/>
    <m/>
    <d v="2025-12-10T00:00:00"/>
    <n v="16.616666666666667"/>
    <n v="0.51666666666666672"/>
    <x v="0"/>
    <s v="No Rating"/>
    <s v="Resolved"/>
  </r>
  <r>
    <s v="TCK-000446"/>
    <s v="2025-12-10T10:12:00Z"/>
    <n v="1686"/>
    <x v="1"/>
    <x v="2"/>
    <x v="0"/>
    <n v="99"/>
    <n v="2314"/>
    <x v="0"/>
    <m/>
    <d v="2025-12-10T00:00:00"/>
    <n v="38.56666666666667"/>
    <n v="1.65"/>
    <x v="0"/>
    <s v="No Rating"/>
    <s v="Resolved"/>
  </r>
  <r>
    <s v="TCK-000447"/>
    <s v="2025-12-10T18:57:36Z"/>
    <n v="1279"/>
    <x v="4"/>
    <x v="0"/>
    <x v="5"/>
    <n v="6"/>
    <n v="244"/>
    <x v="0"/>
    <m/>
    <d v="2025-12-10T00:00:00"/>
    <n v="4.0666666666666664"/>
    <n v="0.1"/>
    <x v="0"/>
    <s v="No Rating"/>
    <s v="Resolved"/>
  </r>
  <r>
    <s v="TCK-000448"/>
    <s v="2025-12-11T03:43:12Z"/>
    <n v="1098"/>
    <x v="1"/>
    <x v="2"/>
    <x v="6"/>
    <n v="55"/>
    <n v="1009"/>
    <x v="1"/>
    <n v="2"/>
    <d v="2025-12-11T00:00:00"/>
    <n v="16.816666666666666"/>
    <n v="0.91666666666666663"/>
    <x v="0"/>
    <s v="Dissatisfied"/>
    <s v="Resolved"/>
  </r>
  <r>
    <s v="TCK-000449"/>
    <s v="2025-12-11T12:28:48Z"/>
    <n v="1315"/>
    <x v="0"/>
    <x v="2"/>
    <x v="4"/>
    <n v="93"/>
    <n v="995"/>
    <x v="0"/>
    <m/>
    <d v="2025-12-11T00:00:00"/>
    <n v="16.583333333333332"/>
    <n v="1.55"/>
    <x v="0"/>
    <s v="No Rating"/>
    <s v="Resolved"/>
  </r>
  <r>
    <s v="TCK-000450"/>
    <s v="2025-12-11T21:14:24Z"/>
    <n v="1330"/>
    <x v="3"/>
    <x v="2"/>
    <x v="3"/>
    <n v="110"/>
    <n v="3300"/>
    <x v="0"/>
    <m/>
    <d v="2025-12-11T00:00:00"/>
    <n v="55"/>
    <n v="1.8333333333333333"/>
    <x v="2"/>
    <s v="No Rating"/>
    <s v="Resolved"/>
  </r>
  <r>
    <s v="TCK-000451"/>
    <s v="2025-12-12T06:00:00Z"/>
    <n v="1961"/>
    <x v="0"/>
    <x v="0"/>
    <x v="1"/>
    <n v="3"/>
    <n v="242"/>
    <x v="0"/>
    <m/>
    <d v="2025-12-12T00:00:00"/>
    <n v="4.0333333333333332"/>
    <n v="0.05"/>
    <x v="0"/>
    <s v="No Rating"/>
    <s v="Resolved"/>
  </r>
  <r>
    <s v="TCK-000452"/>
    <s v="2025-12-12T14:45:36Z"/>
    <n v="1768"/>
    <x v="2"/>
    <x v="3"/>
    <x v="6"/>
    <n v="302"/>
    <n v="3193"/>
    <x v="0"/>
    <n v="2"/>
    <d v="2025-12-12T00:00:00"/>
    <n v="53.216666666666669"/>
    <n v="5.0333333333333332"/>
    <x v="0"/>
    <s v="Dissatisfied"/>
    <s v="Resolved"/>
  </r>
  <r>
    <s v="TCK-000453"/>
    <s v="2025-12-12T23:31:12Z"/>
    <n v="1960"/>
    <x v="0"/>
    <x v="2"/>
    <x v="8"/>
    <n v="157"/>
    <n v="3608"/>
    <x v="0"/>
    <n v="4"/>
    <d v="2025-12-12T00:00:00"/>
    <n v="60.133333333333333"/>
    <n v="2.6166666666666667"/>
    <x v="2"/>
    <s v="Satisfied"/>
    <s v="Resolved"/>
  </r>
  <r>
    <s v="TCK-000454"/>
    <s v="2025-12-13T08:16:48Z"/>
    <n v="1428"/>
    <x v="1"/>
    <x v="0"/>
    <x v="1"/>
    <n v="5"/>
    <n v="404"/>
    <x v="0"/>
    <n v="2"/>
    <d v="2025-12-13T00:00:00"/>
    <n v="6.7333333333333334"/>
    <n v="8.3333333333333329E-2"/>
    <x v="0"/>
    <s v="Dissatisfied"/>
    <s v="Resolved"/>
  </r>
  <r>
    <s v="TCK-000455"/>
    <s v="2025-12-13T17:02:24Z"/>
    <n v="1222"/>
    <x v="3"/>
    <x v="1"/>
    <x v="1"/>
    <n v="21"/>
    <n v="772"/>
    <x v="0"/>
    <n v="1"/>
    <d v="2025-12-13T00:00:00"/>
    <n v="12.866666666666667"/>
    <n v="0.35"/>
    <x v="0"/>
    <s v="Dissatisfied"/>
    <s v="Resolved"/>
  </r>
  <r>
    <s v="TCK-000456"/>
    <s v="2025-12-14T01:48:00Z"/>
    <n v="1705"/>
    <x v="2"/>
    <x v="2"/>
    <x v="8"/>
    <n v="55"/>
    <m/>
    <x v="2"/>
    <m/>
    <d v="2025-12-14T00:00:00"/>
    <s v=""/>
    <n v="0.91666666666666663"/>
    <x v="1"/>
    <s v="No Rating"/>
    <s v="Unresolved"/>
  </r>
  <r>
    <s v="TCK-000457"/>
    <s v="2025-12-14T10:33:36Z"/>
    <n v="1844"/>
    <x v="2"/>
    <x v="1"/>
    <x v="3"/>
    <n v="18"/>
    <n v="1125"/>
    <x v="0"/>
    <n v="3"/>
    <d v="2025-12-14T00:00:00"/>
    <n v="18.75"/>
    <n v="0.3"/>
    <x v="0"/>
    <s v="Neutral"/>
    <s v="Resolved"/>
  </r>
  <r>
    <s v="TCK-000458"/>
    <s v="2025-12-14T19:19:12Z"/>
    <n v="1167"/>
    <x v="3"/>
    <x v="3"/>
    <x v="5"/>
    <n v="464"/>
    <n v="1544"/>
    <x v="0"/>
    <m/>
    <d v="2025-12-14T00:00:00"/>
    <n v="25.733333333333334"/>
    <n v="7.7333333333333334"/>
    <x v="0"/>
    <s v="No Rating"/>
    <s v="Resolved"/>
  </r>
  <r>
    <s v="TCK-000459"/>
    <s v="2025-12-15T04:04:48Z"/>
    <n v="1059"/>
    <x v="0"/>
    <x v="2"/>
    <x v="1"/>
    <n v="33"/>
    <n v="2716"/>
    <x v="0"/>
    <n v="5"/>
    <d v="2025-12-15T00:00:00"/>
    <n v="45.266666666666666"/>
    <n v="0.55000000000000004"/>
    <x v="0"/>
    <s v="Satisfied"/>
    <s v="Resolved"/>
  </r>
  <r>
    <s v="TCK-000460"/>
    <s v="2025-12-15T12:50:24Z"/>
    <n v="1607"/>
    <x v="2"/>
    <x v="0"/>
    <x v="8"/>
    <n v="9"/>
    <m/>
    <x v="3"/>
    <m/>
    <d v="2025-12-15T00:00:00"/>
    <s v=""/>
    <n v="0.15"/>
    <x v="1"/>
    <s v="No Rating"/>
    <s v="Unresolved"/>
  </r>
  <r>
    <s v="TCK-000461"/>
    <s v="2025-12-15T21:36:00Z"/>
    <n v="1914"/>
    <x v="1"/>
    <x v="2"/>
    <x v="6"/>
    <n v="78"/>
    <n v="3649"/>
    <x v="0"/>
    <m/>
    <d v="2025-12-15T00:00:00"/>
    <n v="60.81666666666667"/>
    <n v="1.3"/>
    <x v="2"/>
    <s v="No Rating"/>
    <s v="Resolved"/>
  </r>
  <r>
    <s v="TCK-000462"/>
    <s v="2025-12-16T06:21:36Z"/>
    <n v="1472"/>
    <x v="4"/>
    <x v="0"/>
    <x v="0"/>
    <n v="6"/>
    <m/>
    <x v="3"/>
    <m/>
    <d v="2025-12-16T00:00:00"/>
    <s v=""/>
    <n v="0.1"/>
    <x v="1"/>
    <s v="No Rating"/>
    <s v="Unresolved"/>
  </r>
  <r>
    <s v="TCK-000463"/>
    <s v="2025-12-16T15:07:12Z"/>
    <n v="1144"/>
    <x v="3"/>
    <x v="1"/>
    <x v="2"/>
    <n v="28"/>
    <n v="225"/>
    <x v="0"/>
    <n v="2"/>
    <d v="2025-12-16T00:00:00"/>
    <n v="3.75"/>
    <n v="0.46666666666666667"/>
    <x v="0"/>
    <s v="Dissatisfied"/>
    <s v="Resolved"/>
  </r>
  <r>
    <s v="TCK-000464"/>
    <s v="2025-12-16T23:52:48Z"/>
    <n v="1226"/>
    <x v="3"/>
    <x v="2"/>
    <x v="4"/>
    <n v="95"/>
    <n v="3085"/>
    <x v="1"/>
    <m/>
    <d v="2025-12-16T00:00:00"/>
    <n v="51.416666666666664"/>
    <n v="1.5833333333333333"/>
    <x v="2"/>
    <s v="No Rating"/>
    <s v="Resolved"/>
  </r>
  <r>
    <s v="TCK-000465"/>
    <s v="2025-12-17T08:38:24Z"/>
    <n v="1966"/>
    <x v="3"/>
    <x v="2"/>
    <x v="3"/>
    <n v="101"/>
    <n v="894"/>
    <x v="0"/>
    <n v="5"/>
    <d v="2025-12-17T00:00:00"/>
    <n v="14.9"/>
    <n v="1.6833333333333333"/>
    <x v="0"/>
    <s v="Satisfied"/>
    <s v="Resolved"/>
  </r>
  <r>
    <s v="TCK-000466"/>
    <s v="2025-12-17T17:24:00Z"/>
    <n v="1188"/>
    <x v="0"/>
    <x v="3"/>
    <x v="2"/>
    <n v="438"/>
    <n v="4865"/>
    <x v="0"/>
    <n v="1"/>
    <d v="2025-12-17T00:00:00"/>
    <n v="81.083333333333329"/>
    <n v="7.3"/>
    <x v="2"/>
    <s v="Dissatisfied"/>
    <s v="Resolved"/>
  </r>
  <r>
    <s v="TCK-000467"/>
    <s v="2025-12-18T02:09:36Z"/>
    <n v="1085"/>
    <x v="2"/>
    <x v="1"/>
    <x v="0"/>
    <n v="13"/>
    <n v="202"/>
    <x v="0"/>
    <m/>
    <d v="2025-12-18T00:00:00"/>
    <n v="3.3666666666666667"/>
    <n v="0.21666666666666667"/>
    <x v="0"/>
    <s v="No Rating"/>
    <s v="Resolved"/>
  </r>
  <r>
    <s v="TCK-000468"/>
    <s v="2025-12-18T10:55:12Z"/>
    <n v="1234"/>
    <x v="1"/>
    <x v="1"/>
    <x v="0"/>
    <n v="27"/>
    <n v="681"/>
    <x v="0"/>
    <n v="2"/>
    <d v="2025-12-18T00:00:00"/>
    <n v="11.35"/>
    <n v="0.45"/>
    <x v="0"/>
    <s v="Dissatisfied"/>
    <s v="Resolved"/>
  </r>
  <r>
    <s v="TCK-000469"/>
    <s v="2025-12-18T19:40:48Z"/>
    <n v="1883"/>
    <x v="0"/>
    <x v="3"/>
    <x v="8"/>
    <n v="444"/>
    <n v="2739"/>
    <x v="1"/>
    <n v="2"/>
    <d v="2025-12-18T00:00:00"/>
    <n v="45.65"/>
    <n v="7.4"/>
    <x v="0"/>
    <s v="Dissatisfied"/>
    <s v="Resolved"/>
  </r>
  <r>
    <s v="TCK-000470"/>
    <s v="2025-12-19T04:26:24Z"/>
    <n v="1554"/>
    <x v="1"/>
    <x v="2"/>
    <x v="3"/>
    <n v="179"/>
    <n v="695"/>
    <x v="0"/>
    <n v="3"/>
    <d v="2025-12-19T00:00:00"/>
    <n v="11.583333333333334"/>
    <n v="2.9833333333333334"/>
    <x v="0"/>
    <s v="Neutral"/>
    <s v="Resolved"/>
  </r>
  <r>
    <s v="TCK-000471"/>
    <s v="2025-12-19T13:12:00Z"/>
    <n v="1316"/>
    <x v="2"/>
    <x v="2"/>
    <x v="4"/>
    <n v="127"/>
    <n v="2128"/>
    <x v="0"/>
    <m/>
    <d v="2025-12-19T00:00:00"/>
    <n v="35.466666666666669"/>
    <n v="2.1166666666666667"/>
    <x v="0"/>
    <s v="No Rating"/>
    <s v="Resolved"/>
  </r>
  <r>
    <s v="TCK-000472"/>
    <s v="2025-12-19T21:57:36Z"/>
    <n v="1422"/>
    <x v="2"/>
    <x v="0"/>
    <x v="3"/>
    <n v="3"/>
    <n v="208"/>
    <x v="0"/>
    <m/>
    <d v="2025-12-19T00:00:00"/>
    <n v="3.4666666666666668"/>
    <n v="0.05"/>
    <x v="0"/>
    <s v="No Rating"/>
    <s v="Resolved"/>
  </r>
  <r>
    <s v="TCK-000473"/>
    <s v="2025-12-20T06:43:12Z"/>
    <n v="1601"/>
    <x v="2"/>
    <x v="2"/>
    <x v="0"/>
    <n v="138"/>
    <n v="2949"/>
    <x v="0"/>
    <n v="5"/>
    <d v="2025-12-20T00:00:00"/>
    <n v="49.15"/>
    <n v="2.2999999999999998"/>
    <x v="2"/>
    <s v="Satisfied"/>
    <s v="Resolved"/>
  </r>
  <r>
    <s v="TCK-000474"/>
    <s v="2025-12-20T15:28:48Z"/>
    <n v="1596"/>
    <x v="4"/>
    <x v="3"/>
    <x v="5"/>
    <n v="223"/>
    <n v="3884"/>
    <x v="0"/>
    <n v="5"/>
    <d v="2025-12-20T00:00:00"/>
    <n v="64.733333333333334"/>
    <n v="3.7166666666666668"/>
    <x v="0"/>
    <s v="Satisfied"/>
    <s v="Resolved"/>
  </r>
  <r>
    <s v="TCK-000475"/>
    <s v="2025-12-21T00:14:24Z"/>
    <n v="1830"/>
    <x v="0"/>
    <x v="0"/>
    <x v="7"/>
    <n v="9"/>
    <n v="278"/>
    <x v="0"/>
    <n v="4"/>
    <d v="2025-12-21T00:00:00"/>
    <n v="4.6333333333333337"/>
    <n v="0.15"/>
    <x v="0"/>
    <s v="Satisfied"/>
    <s v="Resolved"/>
  </r>
  <r>
    <s v="TCK-000476"/>
    <s v="2025-12-21T09:00:00Z"/>
    <n v="1811"/>
    <x v="1"/>
    <x v="2"/>
    <x v="7"/>
    <n v="116"/>
    <n v="1236"/>
    <x v="0"/>
    <n v="3"/>
    <d v="2025-12-21T00:00:00"/>
    <n v="20.6"/>
    <n v="1.9333333333333333"/>
    <x v="0"/>
    <s v="Neutral"/>
    <s v="Resolved"/>
  </r>
  <r>
    <s v="TCK-000477"/>
    <s v="2025-12-21T17:45:36Z"/>
    <n v="1464"/>
    <x v="0"/>
    <x v="0"/>
    <x v="3"/>
    <n v="3"/>
    <n v="256"/>
    <x v="1"/>
    <n v="1"/>
    <d v="2025-12-21T00:00:00"/>
    <n v="4.2666666666666666"/>
    <n v="0.05"/>
    <x v="0"/>
    <s v="Dissatisfied"/>
    <s v="Resolved"/>
  </r>
  <r>
    <s v="TCK-000478"/>
    <s v="2025-12-22T02:31:12Z"/>
    <n v="1142"/>
    <x v="2"/>
    <x v="2"/>
    <x v="6"/>
    <n v="155"/>
    <n v="2000"/>
    <x v="0"/>
    <m/>
    <d v="2025-12-22T00:00:00"/>
    <n v="33.333333333333336"/>
    <n v="2.5833333333333335"/>
    <x v="0"/>
    <s v="No Rating"/>
    <s v="Resolved"/>
  </r>
  <r>
    <s v="TCK-000479"/>
    <s v="2025-12-22T11:16:48Z"/>
    <n v="1388"/>
    <x v="3"/>
    <x v="3"/>
    <x v="3"/>
    <n v="429"/>
    <n v="5382"/>
    <x v="0"/>
    <m/>
    <d v="2025-12-22T00:00:00"/>
    <n v="89.7"/>
    <n v="7.15"/>
    <x v="2"/>
    <s v="No Rating"/>
    <s v="Resolved"/>
  </r>
  <r>
    <s v="TCK-000480"/>
    <s v="2025-12-22T20:02:24Z"/>
    <n v="1011"/>
    <x v="1"/>
    <x v="0"/>
    <x v="0"/>
    <n v="3"/>
    <n v="399"/>
    <x v="1"/>
    <n v="4"/>
    <d v="2025-12-22T00:00:00"/>
    <n v="6.65"/>
    <n v="0.05"/>
    <x v="0"/>
    <s v="Satisfied"/>
    <s v="Resolved"/>
  </r>
  <r>
    <s v="TCK-000481"/>
    <s v="2025-12-23T04:48:00Z"/>
    <n v="1195"/>
    <x v="1"/>
    <x v="1"/>
    <x v="3"/>
    <n v="33"/>
    <n v="461"/>
    <x v="0"/>
    <m/>
    <d v="2025-12-23T00:00:00"/>
    <n v="7.6833333333333336"/>
    <n v="0.55000000000000004"/>
    <x v="0"/>
    <s v="No Rating"/>
    <s v="Resolved"/>
  </r>
  <r>
    <s v="TCK-000482"/>
    <s v="2025-12-23T13:33:36Z"/>
    <n v="1163"/>
    <x v="1"/>
    <x v="0"/>
    <x v="7"/>
    <n v="7"/>
    <n v="405"/>
    <x v="1"/>
    <n v="5"/>
    <d v="2025-12-23T00:00:00"/>
    <n v="6.75"/>
    <n v="0.11666666666666667"/>
    <x v="0"/>
    <s v="Satisfied"/>
    <s v="Resolved"/>
  </r>
  <r>
    <s v="TCK-000483"/>
    <s v="2025-12-23T22:19:12Z"/>
    <n v="1966"/>
    <x v="0"/>
    <x v="2"/>
    <x v="2"/>
    <n v="174"/>
    <n v="919"/>
    <x v="0"/>
    <n v="3"/>
    <d v="2025-12-23T00:00:00"/>
    <n v="15.316666666666666"/>
    <n v="2.9"/>
    <x v="0"/>
    <s v="Neutral"/>
    <s v="Resolved"/>
  </r>
  <r>
    <s v="TCK-000484"/>
    <s v="2025-12-24T07:04:48Z"/>
    <n v="1443"/>
    <x v="3"/>
    <x v="2"/>
    <x v="8"/>
    <n v="131"/>
    <n v="2313"/>
    <x v="0"/>
    <n v="2"/>
    <d v="2025-12-24T00:00:00"/>
    <n v="38.549999999999997"/>
    <n v="2.1833333333333331"/>
    <x v="0"/>
    <s v="Dissatisfied"/>
    <s v="Resolved"/>
  </r>
  <r>
    <s v="TCK-000485"/>
    <s v="2025-12-24T15:50:24Z"/>
    <n v="1864"/>
    <x v="2"/>
    <x v="1"/>
    <x v="3"/>
    <n v="50"/>
    <m/>
    <x v="3"/>
    <m/>
    <d v="2025-12-24T00:00:00"/>
    <s v=""/>
    <n v="0.83333333333333337"/>
    <x v="1"/>
    <s v="No Rating"/>
    <s v="Unresolved"/>
  </r>
  <r>
    <s v="TCK-000486"/>
    <s v="2025-12-25T00:36:00Z"/>
    <n v="1959"/>
    <x v="0"/>
    <x v="0"/>
    <x v="0"/>
    <n v="4"/>
    <n v="154"/>
    <x v="0"/>
    <m/>
    <d v="2025-12-25T00:00:00"/>
    <n v="2.5666666666666669"/>
    <n v="6.6666666666666666E-2"/>
    <x v="0"/>
    <s v="No Rating"/>
    <s v="Resolved"/>
  </r>
  <r>
    <s v="TCK-000487"/>
    <s v="2025-12-25T09:21:36Z"/>
    <n v="1704"/>
    <x v="2"/>
    <x v="0"/>
    <x v="4"/>
    <n v="12"/>
    <n v="141"/>
    <x v="0"/>
    <n v="3"/>
    <d v="2025-12-25T00:00:00"/>
    <n v="2.35"/>
    <n v="0.2"/>
    <x v="0"/>
    <s v="Neutral"/>
    <s v="Resolved"/>
  </r>
  <r>
    <s v="TCK-000488"/>
    <s v="2025-12-25T18:07:12Z"/>
    <n v="1601"/>
    <x v="0"/>
    <x v="0"/>
    <x v="6"/>
    <n v="7"/>
    <n v="349"/>
    <x v="1"/>
    <m/>
    <d v="2025-12-25T00:00:00"/>
    <n v="5.8166666666666664"/>
    <n v="0.11666666666666667"/>
    <x v="0"/>
    <s v="No Rating"/>
    <s v="Resolved"/>
  </r>
  <r>
    <s v="TCK-000489"/>
    <s v="2025-12-26T02:52:48Z"/>
    <n v="1868"/>
    <x v="2"/>
    <x v="2"/>
    <x v="6"/>
    <n v="96"/>
    <n v="1007"/>
    <x v="0"/>
    <n v="5"/>
    <d v="2025-12-26T00:00:00"/>
    <n v="16.783333333333335"/>
    <n v="1.6"/>
    <x v="0"/>
    <s v="Satisfied"/>
    <s v="Resolved"/>
  </r>
  <r>
    <s v="TCK-000490"/>
    <s v="2025-12-26T11:38:24Z"/>
    <n v="1949"/>
    <x v="2"/>
    <x v="1"/>
    <x v="4"/>
    <n v="32"/>
    <m/>
    <x v="3"/>
    <m/>
    <d v="2025-12-26T00:00:00"/>
    <s v=""/>
    <n v="0.53333333333333333"/>
    <x v="1"/>
    <s v="No Rating"/>
    <s v="Unresolved"/>
  </r>
  <r>
    <s v="TCK-000491"/>
    <s v="2025-12-26T20:24:00Z"/>
    <n v="1247"/>
    <x v="4"/>
    <x v="2"/>
    <x v="8"/>
    <n v="77"/>
    <n v="665"/>
    <x v="0"/>
    <n v="5"/>
    <d v="2025-12-26T00:00:00"/>
    <n v="11.083333333333334"/>
    <n v="1.2833333333333334"/>
    <x v="0"/>
    <s v="Satisfied"/>
    <s v="Resolved"/>
  </r>
  <r>
    <s v="TCK-000492"/>
    <s v="2025-12-27T05:09:36Z"/>
    <n v="1394"/>
    <x v="4"/>
    <x v="2"/>
    <x v="1"/>
    <n v="40"/>
    <m/>
    <x v="3"/>
    <m/>
    <d v="2025-12-27T00:00:00"/>
    <s v=""/>
    <n v="0.66666666666666663"/>
    <x v="1"/>
    <s v="No Rating"/>
    <s v="Unresolved"/>
  </r>
  <r>
    <s v="TCK-000493"/>
    <s v="2025-12-27T13:55:12Z"/>
    <n v="1658"/>
    <x v="3"/>
    <x v="0"/>
    <x v="0"/>
    <n v="3"/>
    <n v="57"/>
    <x v="0"/>
    <n v="2"/>
    <d v="2025-12-27T00:00:00"/>
    <n v="0.95"/>
    <n v="0.05"/>
    <x v="0"/>
    <s v="Dissatisfied"/>
    <s v="Resolved"/>
  </r>
  <r>
    <s v="TCK-000494"/>
    <s v="2025-12-27T22:40:48Z"/>
    <n v="1283"/>
    <x v="0"/>
    <x v="0"/>
    <x v="5"/>
    <n v="12"/>
    <n v="198"/>
    <x v="0"/>
    <m/>
    <d v="2025-12-27T00:00:00"/>
    <n v="3.3"/>
    <n v="0.2"/>
    <x v="0"/>
    <s v="No Rating"/>
    <s v="Resolved"/>
  </r>
  <r>
    <s v="TCK-000495"/>
    <s v="2025-12-28T07:26:24Z"/>
    <n v="1259"/>
    <x v="4"/>
    <x v="3"/>
    <x v="0"/>
    <n v="302"/>
    <n v="5627"/>
    <x v="0"/>
    <n v="3"/>
    <d v="2025-12-28T00:00:00"/>
    <n v="93.783333333333331"/>
    <n v="5.0333333333333332"/>
    <x v="2"/>
    <s v="Neutral"/>
    <s v="Resolved"/>
  </r>
  <r>
    <s v="TCK-000496"/>
    <s v="2025-12-28T16:12:00Z"/>
    <n v="1258"/>
    <x v="1"/>
    <x v="3"/>
    <x v="5"/>
    <n v="456"/>
    <n v="6595"/>
    <x v="0"/>
    <m/>
    <d v="2025-12-28T00:00:00"/>
    <n v="109.91666666666667"/>
    <n v="7.6"/>
    <x v="2"/>
    <s v="No Rating"/>
    <s v="Resolved"/>
  </r>
  <r>
    <s v="TCK-000497"/>
    <s v="2025-12-29T00:57:36Z"/>
    <n v="1267"/>
    <x v="3"/>
    <x v="2"/>
    <x v="5"/>
    <n v="144"/>
    <n v="510"/>
    <x v="0"/>
    <n v="2"/>
    <d v="2025-12-29T00:00:00"/>
    <n v="8.5"/>
    <n v="2.4"/>
    <x v="0"/>
    <s v="Dissatisfied"/>
    <s v="Resolved"/>
  </r>
  <r>
    <s v="TCK-000498"/>
    <s v="2025-12-29T09:43:12Z"/>
    <n v="1644"/>
    <x v="2"/>
    <x v="0"/>
    <x v="7"/>
    <n v="3"/>
    <m/>
    <x v="2"/>
    <m/>
    <d v="2025-12-29T00:00:00"/>
    <s v=""/>
    <n v="0.05"/>
    <x v="1"/>
    <s v="No Rating"/>
    <s v="Unresolved"/>
  </r>
  <r>
    <s v="TCK-000499"/>
    <s v="2025-12-29T18:28:48Z"/>
    <n v="1893"/>
    <x v="0"/>
    <x v="2"/>
    <x v="5"/>
    <n v="109"/>
    <n v="1179"/>
    <x v="0"/>
    <n v="5"/>
    <d v="2025-12-29T00:00:00"/>
    <n v="19.649999999999999"/>
    <n v="1.8166666666666667"/>
    <x v="0"/>
    <s v="Satisfied"/>
    <s v="Resolved"/>
  </r>
  <r>
    <s v="TCK-000500"/>
    <s v="2025-12-30T03:14:24Z"/>
    <n v="1044"/>
    <x v="3"/>
    <x v="2"/>
    <x v="5"/>
    <n v="93"/>
    <n v="1017"/>
    <x v="1"/>
    <m/>
    <d v="2025-12-30T00:00:00"/>
    <n v="16.95"/>
    <n v="1.55"/>
    <x v="0"/>
    <s v="No Rating"/>
    <s v="Resolved"/>
  </r>
  <r>
    <s v="TCK-000501"/>
    <s v="2025-12-30T12:00:00Z"/>
    <n v="1453"/>
    <x v="2"/>
    <x v="1"/>
    <x v="4"/>
    <n v="32"/>
    <n v="1247"/>
    <x v="0"/>
    <n v="1"/>
    <d v="2025-12-30T00:00:00"/>
    <n v="20.783333333333335"/>
    <n v="0.53333333333333333"/>
    <x v="0"/>
    <s v="Dissatisfied"/>
    <s v="Resolved"/>
  </r>
  <r>
    <s v="TCK-000502"/>
    <s v="2025-12-30T20:45:36Z"/>
    <n v="1560"/>
    <x v="1"/>
    <x v="2"/>
    <x v="3"/>
    <n v="78"/>
    <n v="1690"/>
    <x v="0"/>
    <n v="4"/>
    <d v="2025-12-30T00:00:00"/>
    <n v="28.166666666666668"/>
    <n v="1.3"/>
    <x v="0"/>
    <s v="Satisfied"/>
    <s v="Resolved"/>
  </r>
  <r>
    <s v="TCK-000503"/>
    <s v="2025-12-31T05:31:12Z"/>
    <n v="1766"/>
    <x v="1"/>
    <x v="2"/>
    <x v="5"/>
    <n v="49"/>
    <n v="2235"/>
    <x v="1"/>
    <m/>
    <d v="2025-12-31T00:00:00"/>
    <n v="37.25"/>
    <n v="0.81666666666666665"/>
    <x v="0"/>
    <s v="No Rating"/>
    <s v="Resolved"/>
  </r>
  <r>
    <s v="TCK-000504"/>
    <s v="2025-12-31T14:16:48Z"/>
    <n v="1057"/>
    <x v="3"/>
    <x v="1"/>
    <x v="2"/>
    <n v="28"/>
    <n v="724"/>
    <x v="0"/>
    <m/>
    <d v="2025-12-31T00:00:00"/>
    <n v="12.066666666666666"/>
    <n v="0.46666666666666667"/>
    <x v="0"/>
    <s v="No Rating"/>
    <s v="Resolved"/>
  </r>
  <r>
    <s v="TCK-000505"/>
    <s v="2025-12-31T23:02:24Z"/>
    <n v="1643"/>
    <x v="1"/>
    <x v="1"/>
    <x v="2"/>
    <n v="36"/>
    <n v="966"/>
    <x v="1"/>
    <m/>
    <d v="2025-12-31T00:00:00"/>
    <n v="16.100000000000001"/>
    <n v="0.6"/>
    <x v="0"/>
    <s v="No Rating"/>
    <s v="Resolved"/>
  </r>
  <r>
    <s v="TCK-000506"/>
    <s v="2026-01-01T07:48:00Z"/>
    <n v="1230"/>
    <x v="2"/>
    <x v="3"/>
    <x v="8"/>
    <n v="216"/>
    <n v="3528"/>
    <x v="0"/>
    <n v="3"/>
    <d v="2026-01-01T00:00:00"/>
    <n v="58.8"/>
    <n v="3.6"/>
    <x v="0"/>
    <s v="Neutral"/>
    <s v="Resolved"/>
  </r>
  <r>
    <s v="TCK-000507"/>
    <s v="2026-01-01T16:33:36Z"/>
    <n v="1981"/>
    <x v="0"/>
    <x v="2"/>
    <x v="4"/>
    <n v="141"/>
    <n v="2095"/>
    <x v="0"/>
    <m/>
    <d v="2026-01-01T00:00:00"/>
    <n v="34.916666666666664"/>
    <n v="2.35"/>
    <x v="0"/>
    <s v="No Rating"/>
    <s v="Resolved"/>
  </r>
  <r>
    <s v="TCK-000508"/>
    <s v="2026-01-02T01:19:12Z"/>
    <n v="1567"/>
    <x v="1"/>
    <x v="2"/>
    <x v="4"/>
    <n v="107"/>
    <m/>
    <x v="3"/>
    <m/>
    <d v="2026-01-02T00:00:00"/>
    <s v=""/>
    <n v="1.7833333333333334"/>
    <x v="1"/>
    <s v="No Rating"/>
    <s v="Unresolved"/>
  </r>
  <r>
    <s v="TCK-000509"/>
    <s v="2026-01-02T10:04:48Z"/>
    <n v="1723"/>
    <x v="3"/>
    <x v="2"/>
    <x v="4"/>
    <n v="124"/>
    <n v="1438"/>
    <x v="0"/>
    <n v="1"/>
    <d v="2026-01-02T00:00:00"/>
    <n v="23.966666666666665"/>
    <n v="2.0666666666666669"/>
    <x v="0"/>
    <s v="Dissatisfied"/>
    <s v="Resolved"/>
  </r>
  <r>
    <s v="TCK-000510"/>
    <s v="2026-01-02T18:50:24Z"/>
    <n v="1803"/>
    <x v="1"/>
    <x v="2"/>
    <x v="6"/>
    <n v="112"/>
    <m/>
    <x v="2"/>
    <m/>
    <d v="2026-01-02T00:00:00"/>
    <s v=""/>
    <n v="1.8666666666666667"/>
    <x v="1"/>
    <s v="No Rating"/>
    <s v="Unresolved"/>
  </r>
  <r>
    <s v="TCK-000511"/>
    <s v="2026-01-03T03:36:00Z"/>
    <n v="1997"/>
    <x v="0"/>
    <x v="2"/>
    <x v="1"/>
    <n v="171"/>
    <m/>
    <x v="2"/>
    <m/>
    <d v="2026-01-03T00:00:00"/>
    <s v=""/>
    <n v="2.85"/>
    <x v="1"/>
    <s v="No Rating"/>
    <s v="Unresolved"/>
  </r>
  <r>
    <s v="TCK-000512"/>
    <s v="2026-01-03T12:21:36Z"/>
    <n v="1082"/>
    <x v="3"/>
    <x v="0"/>
    <x v="7"/>
    <n v="6"/>
    <n v="83"/>
    <x v="0"/>
    <m/>
    <d v="2026-01-03T00:00:00"/>
    <n v="1.3833333333333333"/>
    <n v="0.1"/>
    <x v="0"/>
    <s v="No Rating"/>
    <s v="Resolved"/>
  </r>
  <r>
    <s v="TCK-000513"/>
    <s v="2026-01-03T21:07:12Z"/>
    <n v="1676"/>
    <x v="4"/>
    <x v="2"/>
    <x v="1"/>
    <n v="33"/>
    <n v="2990"/>
    <x v="0"/>
    <n v="5"/>
    <d v="2026-01-03T00:00:00"/>
    <n v="49.833333333333336"/>
    <n v="0.55000000000000004"/>
    <x v="2"/>
    <s v="Satisfied"/>
    <s v="Resolved"/>
  </r>
  <r>
    <s v="TCK-000514"/>
    <s v="2026-01-04T05:52:48Z"/>
    <n v="1463"/>
    <x v="4"/>
    <x v="2"/>
    <x v="0"/>
    <n v="39"/>
    <n v="1906"/>
    <x v="0"/>
    <n v="4"/>
    <d v="2026-01-04T00:00:00"/>
    <n v="31.766666666666666"/>
    <n v="0.65"/>
    <x v="0"/>
    <s v="Satisfied"/>
    <s v="Resolved"/>
  </r>
  <r>
    <s v="TCK-000515"/>
    <s v="2026-01-04T14:38:24Z"/>
    <n v="1430"/>
    <x v="1"/>
    <x v="2"/>
    <x v="0"/>
    <n v="91"/>
    <n v="2611"/>
    <x v="1"/>
    <m/>
    <d v="2026-01-04T00:00:00"/>
    <n v="43.516666666666666"/>
    <n v="1.5166666666666666"/>
    <x v="0"/>
    <s v="No Rating"/>
    <s v="Resolved"/>
  </r>
  <r>
    <s v="TCK-000516"/>
    <s v="2026-01-04T23:24:00Z"/>
    <n v="1963"/>
    <x v="3"/>
    <x v="2"/>
    <x v="5"/>
    <n v="69"/>
    <n v="1910"/>
    <x v="1"/>
    <m/>
    <d v="2026-01-04T00:00:00"/>
    <n v="31.833333333333332"/>
    <n v="1.1499999999999999"/>
    <x v="0"/>
    <s v="No Rating"/>
    <s v="Resolved"/>
  </r>
  <r>
    <s v="TCK-000517"/>
    <s v="2026-01-05T08:09:36Z"/>
    <n v="1716"/>
    <x v="1"/>
    <x v="3"/>
    <x v="2"/>
    <n v="238"/>
    <n v="5374"/>
    <x v="0"/>
    <n v="2"/>
    <d v="2026-01-05T00:00:00"/>
    <n v="89.566666666666663"/>
    <n v="3.9666666666666668"/>
    <x v="2"/>
    <s v="Dissatisfied"/>
    <s v="Resolved"/>
  </r>
  <r>
    <s v="TCK-000518"/>
    <s v="2026-01-05T16:55:12Z"/>
    <n v="1123"/>
    <x v="2"/>
    <x v="0"/>
    <x v="1"/>
    <n v="12"/>
    <n v="283"/>
    <x v="1"/>
    <m/>
    <d v="2026-01-05T00:00:00"/>
    <n v="4.7166666666666668"/>
    <n v="0.2"/>
    <x v="0"/>
    <s v="No Rating"/>
    <s v="Resolved"/>
  </r>
  <r>
    <s v="TCK-000519"/>
    <s v="2026-01-06T01:40:48Z"/>
    <n v="1630"/>
    <x v="4"/>
    <x v="1"/>
    <x v="2"/>
    <n v="20"/>
    <n v="956"/>
    <x v="1"/>
    <n v="2"/>
    <d v="2026-01-06T00:00:00"/>
    <n v="15.933333333333334"/>
    <n v="0.33333333333333331"/>
    <x v="0"/>
    <s v="Dissatisfied"/>
    <s v="Resolved"/>
  </r>
  <r>
    <s v="TCK-000520"/>
    <s v="2026-01-06T10:26:24Z"/>
    <n v="1233"/>
    <x v="1"/>
    <x v="3"/>
    <x v="0"/>
    <n v="117"/>
    <n v="6076"/>
    <x v="1"/>
    <n v="5"/>
    <d v="2026-01-06T00:00:00"/>
    <n v="101.26666666666667"/>
    <n v="1.95"/>
    <x v="2"/>
    <s v="Satisfied"/>
    <s v="Resolved"/>
  </r>
  <r>
    <s v="TCK-000521"/>
    <s v="2026-01-06T19:12:00Z"/>
    <n v="1209"/>
    <x v="3"/>
    <x v="1"/>
    <x v="4"/>
    <n v="30"/>
    <n v="430"/>
    <x v="0"/>
    <m/>
    <d v="2026-01-06T00:00:00"/>
    <n v="7.166666666666667"/>
    <n v="0.5"/>
    <x v="0"/>
    <s v="No Rating"/>
    <s v="Resolved"/>
  </r>
  <r>
    <s v="TCK-000522"/>
    <s v="2026-01-07T03:57:36Z"/>
    <n v="1320"/>
    <x v="2"/>
    <x v="1"/>
    <x v="0"/>
    <n v="17"/>
    <n v="944"/>
    <x v="0"/>
    <m/>
    <d v="2026-01-07T00:00:00"/>
    <n v="15.733333333333333"/>
    <n v="0.28333333333333333"/>
    <x v="0"/>
    <s v="No Rating"/>
    <s v="Resolved"/>
  </r>
  <r>
    <s v="TCK-000523"/>
    <s v="2026-01-07T12:43:12Z"/>
    <n v="1182"/>
    <x v="0"/>
    <x v="3"/>
    <x v="8"/>
    <n v="245"/>
    <m/>
    <x v="3"/>
    <m/>
    <d v="2026-01-07T00:00:00"/>
    <s v=""/>
    <n v="4.083333333333333"/>
    <x v="1"/>
    <s v="No Rating"/>
    <s v="Unresolved"/>
  </r>
  <r>
    <s v="TCK-000524"/>
    <s v="2026-01-07T21:28:48Z"/>
    <n v="1917"/>
    <x v="3"/>
    <x v="2"/>
    <x v="3"/>
    <n v="105"/>
    <n v="1505"/>
    <x v="1"/>
    <n v="2"/>
    <d v="2026-01-07T00:00:00"/>
    <n v="25.083333333333332"/>
    <n v="1.75"/>
    <x v="0"/>
    <s v="Dissatisfied"/>
    <s v="Resolved"/>
  </r>
  <r>
    <s v="TCK-000525"/>
    <s v="2026-01-08T06:14:24Z"/>
    <n v="1826"/>
    <x v="1"/>
    <x v="2"/>
    <x v="2"/>
    <n v="40"/>
    <m/>
    <x v="2"/>
    <m/>
    <d v="2026-01-08T00:00:00"/>
    <s v=""/>
    <n v="0.66666666666666663"/>
    <x v="1"/>
    <s v="No Rating"/>
    <s v="Unresolved"/>
  </r>
  <r>
    <s v="TCK-000526"/>
    <s v="2026-01-08T15:00:00Z"/>
    <n v="1710"/>
    <x v="4"/>
    <x v="0"/>
    <x v="5"/>
    <n v="9"/>
    <n v="365"/>
    <x v="0"/>
    <n v="2"/>
    <d v="2026-01-08T00:00:00"/>
    <n v="6.083333333333333"/>
    <n v="0.15"/>
    <x v="0"/>
    <s v="Dissatisfied"/>
    <s v="Resolved"/>
  </r>
  <r>
    <s v="TCK-000527"/>
    <s v="2026-01-08T23:45:36Z"/>
    <n v="1696"/>
    <x v="2"/>
    <x v="2"/>
    <x v="6"/>
    <n v="90"/>
    <n v="2966"/>
    <x v="0"/>
    <m/>
    <d v="2026-01-08T00:00:00"/>
    <n v="49.43333333333333"/>
    <n v="1.5"/>
    <x v="2"/>
    <s v="No Rating"/>
    <s v="Resolved"/>
  </r>
  <r>
    <s v="TCK-000528"/>
    <s v="2026-01-09T08:31:12Z"/>
    <n v="1029"/>
    <x v="0"/>
    <x v="0"/>
    <x v="4"/>
    <n v="2"/>
    <n v="386"/>
    <x v="0"/>
    <n v="1"/>
    <d v="2026-01-09T00:00:00"/>
    <n v="6.4333333333333336"/>
    <n v="3.3333333333333333E-2"/>
    <x v="0"/>
    <s v="Dissatisfied"/>
    <s v="Resolved"/>
  </r>
  <r>
    <s v="TCK-000529"/>
    <s v="2026-01-09T17:16:48Z"/>
    <n v="1145"/>
    <x v="3"/>
    <x v="2"/>
    <x v="4"/>
    <n v="114"/>
    <n v="1866"/>
    <x v="0"/>
    <n v="3"/>
    <d v="2026-01-09T00:00:00"/>
    <n v="31.1"/>
    <n v="1.9"/>
    <x v="0"/>
    <s v="Neutral"/>
    <s v="Resolved"/>
  </r>
  <r>
    <s v="TCK-000530"/>
    <s v="2026-01-10T02:02:24Z"/>
    <n v="1444"/>
    <x v="4"/>
    <x v="0"/>
    <x v="3"/>
    <n v="11"/>
    <n v="228"/>
    <x v="0"/>
    <n v="4"/>
    <d v="2026-01-10T00:00:00"/>
    <n v="3.8"/>
    <n v="0.18333333333333332"/>
    <x v="0"/>
    <s v="Satisfied"/>
    <s v="Resolved"/>
  </r>
  <r>
    <s v="TCK-000531"/>
    <s v="2026-01-10T10:48:00Z"/>
    <n v="1191"/>
    <x v="1"/>
    <x v="0"/>
    <x v="8"/>
    <n v="10"/>
    <n v="339"/>
    <x v="0"/>
    <n v="3"/>
    <d v="2026-01-10T00:00:00"/>
    <n v="5.65"/>
    <n v="0.16666666666666666"/>
    <x v="0"/>
    <s v="Neutral"/>
    <s v="Resolved"/>
  </r>
  <r>
    <s v="TCK-000532"/>
    <s v="2026-01-10T19:33:36Z"/>
    <n v="1311"/>
    <x v="3"/>
    <x v="1"/>
    <x v="6"/>
    <n v="32"/>
    <n v="179"/>
    <x v="0"/>
    <n v="3"/>
    <d v="2026-01-10T00:00:00"/>
    <n v="2.9833333333333334"/>
    <n v="0.53333333333333333"/>
    <x v="0"/>
    <s v="Neutral"/>
    <s v="Resolved"/>
  </r>
  <r>
    <s v="TCK-000533"/>
    <s v="2026-01-11T04:19:12Z"/>
    <n v="1768"/>
    <x v="3"/>
    <x v="2"/>
    <x v="4"/>
    <n v="104"/>
    <n v="1674"/>
    <x v="0"/>
    <n v="3"/>
    <d v="2026-01-11T00:00:00"/>
    <n v="27.9"/>
    <n v="1.7333333333333334"/>
    <x v="0"/>
    <s v="Neutral"/>
    <s v="Resolved"/>
  </r>
  <r>
    <s v="TCK-000534"/>
    <s v="2026-01-11T13:04:48Z"/>
    <n v="1457"/>
    <x v="3"/>
    <x v="2"/>
    <x v="0"/>
    <n v="105"/>
    <m/>
    <x v="3"/>
    <m/>
    <d v="2026-01-11T00:00:00"/>
    <s v=""/>
    <n v="1.75"/>
    <x v="1"/>
    <s v="No Rating"/>
    <s v="Unresolved"/>
  </r>
  <r>
    <s v="TCK-000535"/>
    <s v="2026-01-11T21:50:24Z"/>
    <n v="1768"/>
    <x v="3"/>
    <x v="3"/>
    <x v="3"/>
    <n v="126"/>
    <n v="2622"/>
    <x v="0"/>
    <n v="5"/>
    <d v="2026-01-11T00:00:00"/>
    <n v="43.7"/>
    <n v="2.1"/>
    <x v="0"/>
    <s v="Satisfied"/>
    <s v="Resolved"/>
  </r>
  <r>
    <s v="TCK-000536"/>
    <s v="2026-01-12T06:36:00Z"/>
    <n v="1021"/>
    <x v="2"/>
    <x v="0"/>
    <x v="3"/>
    <n v="10"/>
    <n v="115"/>
    <x v="0"/>
    <n v="2"/>
    <d v="2026-01-12T00:00:00"/>
    <n v="1.9166666666666667"/>
    <n v="0.16666666666666666"/>
    <x v="0"/>
    <s v="Dissatisfied"/>
    <s v="Resolved"/>
  </r>
  <r>
    <s v="TCK-000537"/>
    <s v="2026-01-12T15:21:36Z"/>
    <n v="1770"/>
    <x v="3"/>
    <x v="3"/>
    <x v="0"/>
    <n v="219"/>
    <n v="5031"/>
    <x v="0"/>
    <m/>
    <d v="2026-01-12T00:00:00"/>
    <n v="83.85"/>
    <n v="3.65"/>
    <x v="2"/>
    <s v="No Rating"/>
    <s v="Resolved"/>
  </r>
  <r>
    <s v="TCK-000538"/>
    <s v="2026-01-13T00:07:12Z"/>
    <n v="1638"/>
    <x v="1"/>
    <x v="2"/>
    <x v="2"/>
    <n v="70"/>
    <n v="704"/>
    <x v="0"/>
    <m/>
    <d v="2026-01-13T00:00:00"/>
    <n v="11.733333333333333"/>
    <n v="1.1666666666666667"/>
    <x v="0"/>
    <s v="No Rating"/>
    <s v="Resolved"/>
  </r>
  <r>
    <s v="TCK-000539"/>
    <s v="2026-01-13T08:52:48Z"/>
    <n v="1828"/>
    <x v="4"/>
    <x v="3"/>
    <x v="3"/>
    <n v="388"/>
    <n v="3583"/>
    <x v="0"/>
    <n v="4"/>
    <d v="2026-01-13T00:00:00"/>
    <n v="59.716666666666669"/>
    <n v="6.4666666666666668"/>
    <x v="0"/>
    <s v="Satisfied"/>
    <s v="Resolved"/>
  </r>
  <r>
    <s v="TCK-000540"/>
    <s v="2026-01-13T17:38:24Z"/>
    <n v="1323"/>
    <x v="2"/>
    <x v="3"/>
    <x v="3"/>
    <n v="254"/>
    <n v="6093"/>
    <x v="0"/>
    <n v="4"/>
    <d v="2026-01-13T00:00:00"/>
    <n v="101.55"/>
    <n v="4.2333333333333334"/>
    <x v="2"/>
    <s v="Satisfied"/>
    <s v="Resolved"/>
  </r>
  <r>
    <s v="TCK-000541"/>
    <s v="2026-01-14T02:24:00Z"/>
    <n v="1333"/>
    <x v="1"/>
    <x v="0"/>
    <x v="4"/>
    <n v="8"/>
    <n v="333"/>
    <x v="1"/>
    <m/>
    <d v="2026-01-14T00:00:00"/>
    <n v="5.55"/>
    <n v="0.13333333333333333"/>
    <x v="0"/>
    <s v="No Rating"/>
    <s v="Resolved"/>
  </r>
  <r>
    <s v="TCK-000542"/>
    <s v="2026-01-14T11:09:36Z"/>
    <n v="1601"/>
    <x v="4"/>
    <x v="3"/>
    <x v="5"/>
    <n v="100"/>
    <m/>
    <x v="3"/>
    <m/>
    <d v="2026-01-14T00:00:00"/>
    <s v=""/>
    <n v="1.6666666666666667"/>
    <x v="1"/>
    <s v="No Rating"/>
    <s v="Unresolved"/>
  </r>
  <r>
    <s v="TCK-000543"/>
    <s v="2026-01-14T19:55:12Z"/>
    <n v="1505"/>
    <x v="1"/>
    <x v="1"/>
    <x v="0"/>
    <n v="32"/>
    <n v="453"/>
    <x v="0"/>
    <m/>
    <d v="2026-01-14T00:00:00"/>
    <n v="7.55"/>
    <n v="0.53333333333333333"/>
    <x v="0"/>
    <s v="No Rating"/>
    <s v="Resolved"/>
  </r>
  <r>
    <s v="TCK-000544"/>
    <s v="2026-01-15T04:40:48Z"/>
    <n v="1623"/>
    <x v="3"/>
    <x v="2"/>
    <x v="7"/>
    <n v="157"/>
    <n v="1930"/>
    <x v="1"/>
    <n v="4"/>
    <d v="2026-01-15T00:00:00"/>
    <n v="32.166666666666664"/>
    <n v="2.6166666666666667"/>
    <x v="0"/>
    <s v="Satisfied"/>
    <s v="Resolved"/>
  </r>
  <r>
    <s v="TCK-000545"/>
    <s v="2026-01-15T13:26:24Z"/>
    <n v="1129"/>
    <x v="2"/>
    <x v="1"/>
    <x v="4"/>
    <n v="19"/>
    <n v="640"/>
    <x v="0"/>
    <m/>
    <d v="2026-01-15T00:00:00"/>
    <n v="10.666666666666666"/>
    <n v="0.31666666666666665"/>
    <x v="0"/>
    <s v="No Rating"/>
    <s v="Resolved"/>
  </r>
  <r>
    <s v="TCK-000546"/>
    <s v="2026-01-15T22:12:00Z"/>
    <n v="1216"/>
    <x v="2"/>
    <x v="0"/>
    <x v="2"/>
    <n v="11"/>
    <n v="289"/>
    <x v="1"/>
    <m/>
    <d v="2026-01-15T00:00:00"/>
    <n v="4.8166666666666664"/>
    <n v="0.18333333333333332"/>
    <x v="0"/>
    <s v="No Rating"/>
    <s v="Resolved"/>
  </r>
  <r>
    <s v="TCK-000547"/>
    <s v="2026-01-16T06:57:36Z"/>
    <n v="1642"/>
    <x v="4"/>
    <x v="3"/>
    <x v="0"/>
    <n v="403"/>
    <n v="4788"/>
    <x v="1"/>
    <n v="5"/>
    <d v="2026-01-16T00:00:00"/>
    <n v="79.8"/>
    <n v="6.7166666666666668"/>
    <x v="2"/>
    <s v="Satisfied"/>
    <s v="Resolved"/>
  </r>
  <r>
    <s v="TCK-000548"/>
    <s v="2026-01-16T15:43:12Z"/>
    <n v="1885"/>
    <x v="0"/>
    <x v="3"/>
    <x v="5"/>
    <n v="267"/>
    <n v="7853"/>
    <x v="1"/>
    <n v="2"/>
    <d v="2026-01-16T00:00:00"/>
    <n v="130.88333333333333"/>
    <n v="4.45"/>
    <x v="2"/>
    <s v="Dissatisfied"/>
    <s v="Resolved"/>
  </r>
  <r>
    <s v="TCK-000549"/>
    <s v="2026-01-17T00:28:48Z"/>
    <n v="1075"/>
    <x v="3"/>
    <x v="2"/>
    <x v="2"/>
    <n v="87"/>
    <n v="3406"/>
    <x v="0"/>
    <m/>
    <d v="2026-01-17T00:00:00"/>
    <n v="56.766666666666666"/>
    <n v="1.45"/>
    <x v="2"/>
    <s v="No Rating"/>
    <s v="Resolved"/>
  </r>
  <r>
    <s v="TCK-000550"/>
    <s v="2026-01-17T09:14:24Z"/>
    <n v="1028"/>
    <x v="0"/>
    <x v="3"/>
    <x v="0"/>
    <n v="427"/>
    <n v="2874"/>
    <x v="1"/>
    <m/>
    <d v="2026-01-17T00:00:00"/>
    <n v="47.9"/>
    <n v="7.1166666666666663"/>
    <x v="0"/>
    <s v="No Rating"/>
    <s v="Resolved"/>
  </r>
  <r>
    <s v="TCK-000551"/>
    <s v="2026-01-17T18:00:00Z"/>
    <n v="1246"/>
    <x v="3"/>
    <x v="1"/>
    <x v="7"/>
    <n v="24"/>
    <n v="297"/>
    <x v="0"/>
    <n v="5"/>
    <d v="2026-01-17T00:00:00"/>
    <n v="4.95"/>
    <n v="0.4"/>
    <x v="0"/>
    <s v="Satisfied"/>
    <s v="Resolved"/>
  </r>
  <r>
    <s v="TCK-000552"/>
    <s v="2026-01-18T02:45:36Z"/>
    <n v="1664"/>
    <x v="3"/>
    <x v="2"/>
    <x v="6"/>
    <n v="99"/>
    <n v="3110"/>
    <x v="0"/>
    <m/>
    <d v="2026-01-18T00:00:00"/>
    <n v="51.833333333333336"/>
    <n v="1.65"/>
    <x v="2"/>
    <s v="No Rating"/>
    <s v="Resolved"/>
  </r>
  <r>
    <s v="TCK-000553"/>
    <s v="2026-01-18T11:31:12Z"/>
    <n v="1194"/>
    <x v="0"/>
    <x v="3"/>
    <x v="0"/>
    <n v="440"/>
    <n v="2492"/>
    <x v="0"/>
    <n v="3"/>
    <d v="2026-01-18T00:00:00"/>
    <n v="41.533333333333331"/>
    <n v="7.333333333333333"/>
    <x v="0"/>
    <s v="Neutral"/>
    <s v="Resolved"/>
  </r>
  <r>
    <s v="TCK-000554"/>
    <s v="2026-01-18T20:16:48Z"/>
    <n v="1308"/>
    <x v="4"/>
    <x v="2"/>
    <x v="1"/>
    <n v="164"/>
    <n v="2236"/>
    <x v="0"/>
    <n v="3"/>
    <d v="2026-01-18T00:00:00"/>
    <n v="37.266666666666666"/>
    <n v="2.7333333333333334"/>
    <x v="0"/>
    <s v="Neutral"/>
    <s v="Resolved"/>
  </r>
  <r>
    <s v="TCK-000555"/>
    <s v="2026-01-19T05:02:24Z"/>
    <n v="1298"/>
    <x v="0"/>
    <x v="0"/>
    <x v="4"/>
    <n v="2"/>
    <m/>
    <x v="2"/>
    <m/>
    <d v="2026-01-19T00:00:00"/>
    <s v=""/>
    <n v="3.3333333333333333E-2"/>
    <x v="1"/>
    <s v="No Rating"/>
    <s v="Unresolved"/>
  </r>
  <r>
    <s v="TCK-000556"/>
    <s v="2026-01-19T13:48:00Z"/>
    <n v="1948"/>
    <x v="3"/>
    <x v="2"/>
    <x v="8"/>
    <n v="61"/>
    <n v="1097"/>
    <x v="0"/>
    <n v="3"/>
    <d v="2026-01-19T00:00:00"/>
    <n v="18.283333333333335"/>
    <n v="1.0166666666666666"/>
    <x v="0"/>
    <s v="Neutral"/>
    <s v="Resolved"/>
  </r>
  <r>
    <s v="TCK-000557"/>
    <s v="2026-01-19T22:33:36Z"/>
    <n v="1112"/>
    <x v="1"/>
    <x v="0"/>
    <x v="8"/>
    <n v="3"/>
    <n v="161"/>
    <x v="0"/>
    <m/>
    <d v="2026-01-19T00:00:00"/>
    <n v="2.6833333333333331"/>
    <n v="0.05"/>
    <x v="0"/>
    <s v="No Rating"/>
    <s v="Resolved"/>
  </r>
  <r>
    <s v="TCK-000558"/>
    <s v="2026-01-20T07:19:12Z"/>
    <n v="1644"/>
    <x v="1"/>
    <x v="2"/>
    <x v="4"/>
    <n v="155"/>
    <n v="1897"/>
    <x v="0"/>
    <n v="3"/>
    <d v="2026-01-20T00:00:00"/>
    <n v="31.616666666666667"/>
    <n v="2.5833333333333335"/>
    <x v="0"/>
    <s v="Neutral"/>
    <s v="Resolved"/>
  </r>
  <r>
    <s v="TCK-000559"/>
    <s v="2026-01-20T16:04:48Z"/>
    <n v="1295"/>
    <x v="0"/>
    <x v="1"/>
    <x v="8"/>
    <n v="49"/>
    <n v="511"/>
    <x v="0"/>
    <m/>
    <d v="2026-01-20T00:00:00"/>
    <n v="8.5166666666666675"/>
    <n v="0.81666666666666665"/>
    <x v="0"/>
    <s v="No Rating"/>
    <s v="Resolved"/>
  </r>
  <r>
    <s v="TCK-000560"/>
    <s v="2026-01-21T00:50:24Z"/>
    <n v="1734"/>
    <x v="0"/>
    <x v="3"/>
    <x v="2"/>
    <n v="404"/>
    <n v="2719"/>
    <x v="0"/>
    <n v="3"/>
    <d v="2026-01-21T00:00:00"/>
    <n v="45.31666666666667"/>
    <n v="6.7333333333333334"/>
    <x v="0"/>
    <s v="Neutral"/>
    <s v="Resolved"/>
  </r>
  <r>
    <s v="TCK-000561"/>
    <s v="2026-01-21T09:36:00Z"/>
    <n v="1251"/>
    <x v="4"/>
    <x v="0"/>
    <x v="8"/>
    <n v="6"/>
    <n v="425"/>
    <x v="0"/>
    <m/>
    <d v="2026-01-21T00:00:00"/>
    <n v="7.083333333333333"/>
    <n v="0.1"/>
    <x v="0"/>
    <s v="No Rating"/>
    <s v="Resolved"/>
  </r>
  <r>
    <s v="TCK-000562"/>
    <s v="2026-01-21T18:21:36Z"/>
    <n v="1126"/>
    <x v="0"/>
    <x v="3"/>
    <x v="8"/>
    <n v="276"/>
    <n v="6340"/>
    <x v="1"/>
    <n v="3"/>
    <d v="2026-01-21T00:00:00"/>
    <n v="105.66666666666667"/>
    <n v="4.5999999999999996"/>
    <x v="2"/>
    <s v="Neutral"/>
    <s v="Resolved"/>
  </r>
  <r>
    <s v="TCK-000563"/>
    <s v="2026-01-22T03:07:12Z"/>
    <n v="1369"/>
    <x v="2"/>
    <x v="2"/>
    <x v="4"/>
    <n v="46"/>
    <n v="3468"/>
    <x v="1"/>
    <m/>
    <d v="2026-01-22T00:00:00"/>
    <n v="57.8"/>
    <n v="0.76666666666666672"/>
    <x v="2"/>
    <s v="No Rating"/>
    <s v="Resolved"/>
  </r>
  <r>
    <s v="TCK-000564"/>
    <s v="2026-01-22T11:52:48Z"/>
    <n v="1439"/>
    <x v="1"/>
    <x v="3"/>
    <x v="8"/>
    <n v="352"/>
    <n v="3138"/>
    <x v="1"/>
    <n v="3"/>
    <d v="2026-01-22T00:00:00"/>
    <n v="52.3"/>
    <n v="5.8666666666666663"/>
    <x v="0"/>
    <s v="Neutral"/>
    <s v="Resolved"/>
  </r>
  <r>
    <s v="TCK-000565"/>
    <s v="2026-01-22T20:38:24Z"/>
    <n v="1947"/>
    <x v="1"/>
    <x v="3"/>
    <x v="0"/>
    <n v="259"/>
    <n v="7996"/>
    <x v="0"/>
    <m/>
    <d v="2026-01-22T00:00:00"/>
    <n v="133.26666666666668"/>
    <n v="4.3166666666666664"/>
    <x v="2"/>
    <s v="No Rating"/>
    <s v="Resolved"/>
  </r>
  <r>
    <s v="TCK-000566"/>
    <s v="2026-01-23T05:24:00Z"/>
    <n v="1041"/>
    <x v="2"/>
    <x v="1"/>
    <x v="2"/>
    <n v="11"/>
    <n v="519"/>
    <x v="1"/>
    <n v="4"/>
    <d v="2026-01-23T00:00:00"/>
    <n v="8.65"/>
    <n v="0.18333333333333332"/>
    <x v="0"/>
    <s v="Satisfied"/>
    <s v="Resolved"/>
  </r>
  <r>
    <s v="TCK-000567"/>
    <s v="2026-01-23T14:09:36Z"/>
    <n v="1342"/>
    <x v="3"/>
    <x v="2"/>
    <x v="2"/>
    <n v="28"/>
    <n v="2509"/>
    <x v="0"/>
    <n v="2"/>
    <d v="2026-01-23T00:00:00"/>
    <n v="41.81666666666667"/>
    <n v="0.46666666666666667"/>
    <x v="0"/>
    <s v="Dissatisfied"/>
    <s v="Resolved"/>
  </r>
  <r>
    <s v="TCK-000568"/>
    <s v="2026-01-23T22:55:12Z"/>
    <n v="1514"/>
    <x v="2"/>
    <x v="2"/>
    <x v="6"/>
    <n v="72"/>
    <n v="945"/>
    <x v="0"/>
    <m/>
    <d v="2026-01-23T00:00:00"/>
    <n v="15.75"/>
    <n v="1.2"/>
    <x v="0"/>
    <s v="No Rating"/>
    <s v="Resolved"/>
  </r>
  <r>
    <s v="TCK-000569"/>
    <s v="2026-01-24T07:40:48Z"/>
    <n v="1261"/>
    <x v="2"/>
    <x v="2"/>
    <x v="3"/>
    <n v="100"/>
    <n v="1426"/>
    <x v="0"/>
    <m/>
    <d v="2026-01-24T00:00:00"/>
    <n v="23.766666666666666"/>
    <n v="1.6666666666666667"/>
    <x v="0"/>
    <s v="No Rating"/>
    <s v="Resolved"/>
  </r>
  <r>
    <s v="TCK-000570"/>
    <s v="2026-01-24T16:26:24Z"/>
    <n v="1899"/>
    <x v="4"/>
    <x v="1"/>
    <x v="0"/>
    <n v="47"/>
    <n v="817"/>
    <x v="0"/>
    <m/>
    <d v="2026-01-24T00:00:00"/>
    <n v="13.616666666666667"/>
    <n v="0.78333333333333333"/>
    <x v="0"/>
    <s v="No Rating"/>
    <s v="Resolved"/>
  </r>
  <r>
    <s v="TCK-000571"/>
    <s v="2026-01-25T01:12:00Z"/>
    <n v="1331"/>
    <x v="4"/>
    <x v="0"/>
    <x v="5"/>
    <n v="3"/>
    <n v="352"/>
    <x v="0"/>
    <n v="2"/>
    <d v="2026-01-25T00:00:00"/>
    <n v="5.8666666666666663"/>
    <n v="0.05"/>
    <x v="0"/>
    <s v="Dissatisfied"/>
    <s v="Resolved"/>
  </r>
  <r>
    <s v="TCK-000572"/>
    <s v="2026-01-25T09:57:36Z"/>
    <n v="1411"/>
    <x v="4"/>
    <x v="1"/>
    <x v="0"/>
    <n v="40"/>
    <n v="852"/>
    <x v="0"/>
    <n v="1"/>
    <d v="2026-01-25T00:00:00"/>
    <n v="14.2"/>
    <n v="0.66666666666666663"/>
    <x v="0"/>
    <s v="Dissatisfied"/>
    <s v="Resolved"/>
  </r>
  <r>
    <s v="TCK-000573"/>
    <s v="2026-01-25T18:43:12Z"/>
    <n v="1804"/>
    <x v="2"/>
    <x v="1"/>
    <x v="2"/>
    <n v="17"/>
    <n v="1115"/>
    <x v="0"/>
    <m/>
    <d v="2026-01-25T00:00:00"/>
    <n v="18.583333333333332"/>
    <n v="0.28333333333333333"/>
    <x v="0"/>
    <s v="No Rating"/>
    <s v="Resolved"/>
  </r>
  <r>
    <s v="TCK-000574"/>
    <s v="2026-01-26T03:28:48Z"/>
    <n v="1582"/>
    <x v="4"/>
    <x v="2"/>
    <x v="5"/>
    <n v="74"/>
    <m/>
    <x v="3"/>
    <m/>
    <d v="2026-01-26T00:00:00"/>
    <s v=""/>
    <n v="1.2333333333333334"/>
    <x v="1"/>
    <s v="No Rating"/>
    <s v="Unresolved"/>
  </r>
  <r>
    <s v="TCK-000575"/>
    <s v="2026-01-26T12:14:24Z"/>
    <n v="1697"/>
    <x v="4"/>
    <x v="2"/>
    <x v="7"/>
    <n v="43"/>
    <n v="866"/>
    <x v="0"/>
    <n v="4"/>
    <d v="2026-01-26T00:00:00"/>
    <n v="14.433333333333334"/>
    <n v="0.71666666666666667"/>
    <x v="0"/>
    <s v="Satisfied"/>
    <s v="Resolved"/>
  </r>
  <r>
    <s v="TCK-000576"/>
    <s v="2026-01-26T21:00:00Z"/>
    <n v="1330"/>
    <x v="1"/>
    <x v="1"/>
    <x v="0"/>
    <n v="33"/>
    <n v="731"/>
    <x v="0"/>
    <n v="3"/>
    <d v="2026-01-26T00:00:00"/>
    <n v="12.183333333333334"/>
    <n v="0.55000000000000004"/>
    <x v="0"/>
    <s v="Neutral"/>
    <s v="Resolved"/>
  </r>
  <r>
    <s v="TCK-000577"/>
    <s v="2026-01-27T05:45:36Z"/>
    <n v="1423"/>
    <x v="1"/>
    <x v="0"/>
    <x v="0"/>
    <n v="10"/>
    <n v="166"/>
    <x v="0"/>
    <n v="1"/>
    <d v="2026-01-27T00:00:00"/>
    <n v="2.7666666666666666"/>
    <n v="0.16666666666666666"/>
    <x v="0"/>
    <s v="Dissatisfied"/>
    <s v="Resolved"/>
  </r>
  <r>
    <s v="TCK-000578"/>
    <s v="2026-01-27T14:31:12Z"/>
    <n v="1424"/>
    <x v="0"/>
    <x v="3"/>
    <x v="4"/>
    <n v="243"/>
    <n v="5667"/>
    <x v="1"/>
    <m/>
    <d v="2026-01-27T00:00:00"/>
    <n v="94.45"/>
    <n v="4.05"/>
    <x v="2"/>
    <s v="No Rating"/>
    <s v="Resolved"/>
  </r>
  <r>
    <s v="TCK-000579"/>
    <s v="2026-01-27T23:16:48Z"/>
    <n v="1710"/>
    <x v="1"/>
    <x v="2"/>
    <x v="2"/>
    <n v="146"/>
    <n v="2682"/>
    <x v="0"/>
    <m/>
    <d v="2026-01-27T00:00:00"/>
    <n v="44.7"/>
    <n v="2.4333333333333331"/>
    <x v="0"/>
    <s v="No Rating"/>
    <s v="Resolved"/>
  </r>
  <r>
    <s v="TCK-000580"/>
    <s v="2026-01-28T08:02:24Z"/>
    <n v="1659"/>
    <x v="2"/>
    <x v="2"/>
    <x v="5"/>
    <n v="121"/>
    <n v="3263"/>
    <x v="0"/>
    <n v="1"/>
    <d v="2026-01-28T00:00:00"/>
    <n v="54.383333333333333"/>
    <n v="2.0166666666666666"/>
    <x v="2"/>
    <s v="Dissatisfied"/>
    <s v="Resolved"/>
  </r>
  <r>
    <s v="TCK-000581"/>
    <s v="2026-01-28T16:48:00Z"/>
    <n v="1563"/>
    <x v="3"/>
    <x v="0"/>
    <x v="5"/>
    <n v="8"/>
    <n v="172"/>
    <x v="0"/>
    <m/>
    <d v="2026-01-28T00:00:00"/>
    <n v="2.8666666666666667"/>
    <n v="0.13333333333333333"/>
    <x v="0"/>
    <s v="No Rating"/>
    <s v="Resolved"/>
  </r>
  <r>
    <s v="TCK-000582"/>
    <s v="2026-01-29T01:33:36Z"/>
    <n v="1875"/>
    <x v="4"/>
    <x v="0"/>
    <x v="5"/>
    <n v="3"/>
    <n v="121"/>
    <x v="1"/>
    <n v="4"/>
    <d v="2026-01-29T00:00:00"/>
    <n v="2.0166666666666666"/>
    <n v="0.05"/>
    <x v="0"/>
    <s v="Satisfied"/>
    <s v="Resolved"/>
  </r>
  <r>
    <s v="TCK-000583"/>
    <s v="2026-01-29T10:19:12Z"/>
    <n v="1271"/>
    <x v="0"/>
    <x v="0"/>
    <x v="3"/>
    <n v="3"/>
    <n v="318"/>
    <x v="1"/>
    <n v="4"/>
    <d v="2026-01-29T00:00:00"/>
    <n v="5.3"/>
    <n v="0.05"/>
    <x v="0"/>
    <s v="Satisfied"/>
    <s v="Resolved"/>
  </r>
  <r>
    <s v="TCK-000584"/>
    <s v="2026-01-29T19:04:48Z"/>
    <n v="1714"/>
    <x v="0"/>
    <x v="2"/>
    <x v="2"/>
    <n v="154"/>
    <n v="2234"/>
    <x v="0"/>
    <n v="2"/>
    <d v="2026-01-29T00:00:00"/>
    <n v="37.233333333333334"/>
    <n v="2.5666666666666669"/>
    <x v="0"/>
    <s v="Dissatisfied"/>
    <s v="Resolved"/>
  </r>
  <r>
    <s v="TCK-000585"/>
    <s v="2026-01-30T03:50:24Z"/>
    <n v="1189"/>
    <x v="3"/>
    <x v="2"/>
    <x v="8"/>
    <n v="125"/>
    <n v="3500"/>
    <x v="0"/>
    <m/>
    <d v="2026-01-30T00:00:00"/>
    <n v="58.333333333333336"/>
    <n v="2.0833333333333335"/>
    <x v="2"/>
    <s v="No Rating"/>
    <s v="Resolved"/>
  </r>
  <r>
    <s v="TCK-000586"/>
    <s v="2026-01-30T12:36:00Z"/>
    <n v="1297"/>
    <x v="0"/>
    <x v="3"/>
    <x v="4"/>
    <n v="322"/>
    <n v="7765"/>
    <x v="0"/>
    <n v="1"/>
    <d v="2026-01-30T00:00:00"/>
    <n v="129.41666666666666"/>
    <n v="5.3666666666666663"/>
    <x v="2"/>
    <s v="Dissatisfied"/>
    <s v="Resolved"/>
  </r>
  <r>
    <s v="TCK-000587"/>
    <s v="2026-01-30T21:21:36Z"/>
    <n v="1007"/>
    <x v="3"/>
    <x v="3"/>
    <x v="7"/>
    <n v="401"/>
    <m/>
    <x v="2"/>
    <m/>
    <d v="2026-01-30T00:00:00"/>
    <s v=""/>
    <n v="6.6833333333333336"/>
    <x v="1"/>
    <s v="No Rating"/>
    <s v="Unresolved"/>
  </r>
  <r>
    <s v="TCK-000588"/>
    <s v="2026-01-31T06:07:12Z"/>
    <n v="1710"/>
    <x v="1"/>
    <x v="1"/>
    <x v="5"/>
    <n v="30"/>
    <n v="364"/>
    <x v="1"/>
    <m/>
    <d v="2026-01-31T00:00:00"/>
    <n v="6.0666666666666664"/>
    <n v="0.5"/>
    <x v="0"/>
    <s v="No Rating"/>
    <s v="Resolved"/>
  </r>
  <r>
    <s v="TCK-000589"/>
    <s v="2026-01-31T14:52:48Z"/>
    <n v="1525"/>
    <x v="3"/>
    <x v="3"/>
    <x v="2"/>
    <n v="187"/>
    <n v="7184"/>
    <x v="0"/>
    <m/>
    <d v="2026-01-31T00:00:00"/>
    <n v="119.73333333333333"/>
    <n v="3.1166666666666667"/>
    <x v="2"/>
    <s v="No Rating"/>
    <s v="Resolved"/>
  </r>
  <r>
    <s v="TCK-000590"/>
    <s v="2026-01-31T23:38:24Z"/>
    <n v="1870"/>
    <x v="0"/>
    <x v="3"/>
    <x v="2"/>
    <n v="242"/>
    <n v="1799"/>
    <x v="1"/>
    <n v="3"/>
    <d v="2026-01-31T00:00:00"/>
    <n v="29.983333333333334"/>
    <n v="4.0333333333333332"/>
    <x v="0"/>
    <s v="Neutral"/>
    <s v="Resolved"/>
  </r>
  <r>
    <s v="TCK-000591"/>
    <s v="2026-02-01T08:24:00Z"/>
    <n v="1722"/>
    <x v="3"/>
    <x v="2"/>
    <x v="3"/>
    <n v="60"/>
    <n v="1443"/>
    <x v="1"/>
    <n v="2"/>
    <d v="2026-02-01T00:00:00"/>
    <n v="24.05"/>
    <n v="1"/>
    <x v="0"/>
    <s v="Dissatisfied"/>
    <s v="Resolved"/>
  </r>
  <r>
    <s v="TCK-000592"/>
    <s v="2026-02-01T17:09:36Z"/>
    <n v="1505"/>
    <x v="4"/>
    <x v="3"/>
    <x v="3"/>
    <n v="215"/>
    <n v="1807"/>
    <x v="0"/>
    <m/>
    <d v="2026-02-01T00:00:00"/>
    <n v="30.116666666666667"/>
    <n v="3.5833333333333335"/>
    <x v="0"/>
    <s v="No Rating"/>
    <s v="Resolved"/>
  </r>
  <r>
    <s v="TCK-000593"/>
    <s v="2026-02-02T01:55:12Z"/>
    <n v="1237"/>
    <x v="4"/>
    <x v="2"/>
    <x v="5"/>
    <n v="126"/>
    <n v="3113"/>
    <x v="0"/>
    <n v="2"/>
    <d v="2026-02-02T00:00:00"/>
    <n v="51.883333333333333"/>
    <n v="2.1"/>
    <x v="2"/>
    <s v="Dissatisfied"/>
    <s v="Resolved"/>
  </r>
  <r>
    <s v="TCK-000594"/>
    <s v="2026-02-02T10:40:48Z"/>
    <n v="1131"/>
    <x v="3"/>
    <x v="0"/>
    <x v="3"/>
    <n v="7"/>
    <m/>
    <x v="2"/>
    <m/>
    <d v="2026-02-02T00:00:00"/>
    <s v=""/>
    <n v="0.11666666666666667"/>
    <x v="1"/>
    <s v="No Rating"/>
    <s v="Unresolved"/>
  </r>
  <r>
    <s v="TCK-000595"/>
    <s v="2026-02-02T19:26:24Z"/>
    <n v="1093"/>
    <x v="1"/>
    <x v="3"/>
    <x v="1"/>
    <n v="364"/>
    <m/>
    <x v="3"/>
    <m/>
    <d v="2026-02-02T00:00:00"/>
    <s v=""/>
    <n v="6.0666666666666664"/>
    <x v="1"/>
    <s v="No Rating"/>
    <s v="Unresolved"/>
  </r>
  <r>
    <s v="TCK-000596"/>
    <s v="2026-02-03T04:12:00Z"/>
    <n v="1730"/>
    <x v="0"/>
    <x v="3"/>
    <x v="5"/>
    <n v="147"/>
    <n v="2861"/>
    <x v="0"/>
    <n v="3"/>
    <d v="2026-02-03T00:00:00"/>
    <n v="47.68333333333333"/>
    <n v="2.4500000000000002"/>
    <x v="0"/>
    <s v="Neutral"/>
    <s v="Resolved"/>
  </r>
  <r>
    <s v="TCK-000597"/>
    <s v="2026-02-03T12:57:36Z"/>
    <n v="1073"/>
    <x v="3"/>
    <x v="3"/>
    <x v="1"/>
    <n v="141"/>
    <n v="6928"/>
    <x v="0"/>
    <n v="5"/>
    <d v="2026-02-03T00:00:00"/>
    <n v="115.46666666666667"/>
    <n v="2.35"/>
    <x v="2"/>
    <s v="Satisfied"/>
    <s v="Resolved"/>
  </r>
  <r>
    <s v="TCK-000598"/>
    <s v="2026-02-03T21:43:12Z"/>
    <n v="1631"/>
    <x v="2"/>
    <x v="1"/>
    <x v="1"/>
    <n v="12"/>
    <m/>
    <x v="2"/>
    <m/>
    <d v="2026-02-03T00:00:00"/>
    <s v=""/>
    <n v="0.2"/>
    <x v="1"/>
    <s v="No Rating"/>
    <s v="Unresolved"/>
  </r>
  <r>
    <s v="TCK-000599"/>
    <s v="2026-02-04T06:28:48Z"/>
    <n v="1011"/>
    <x v="1"/>
    <x v="2"/>
    <x v="0"/>
    <n v="160"/>
    <m/>
    <x v="2"/>
    <m/>
    <d v="2026-02-04T00:00:00"/>
    <s v=""/>
    <n v="2.6666666666666665"/>
    <x v="1"/>
    <s v="No Rating"/>
    <s v="Unresolved"/>
  </r>
  <r>
    <s v="TCK-000600"/>
    <s v="2026-02-04T15:14:24Z"/>
    <n v="1066"/>
    <x v="4"/>
    <x v="0"/>
    <x v="1"/>
    <n v="6"/>
    <m/>
    <x v="2"/>
    <m/>
    <d v="2026-02-04T00:00:00"/>
    <s v=""/>
    <n v="0.1"/>
    <x v="1"/>
    <s v="No Rating"/>
    <s v="Unresolved"/>
  </r>
  <r>
    <s v="TCK-000601"/>
    <s v="2026-02-05T00:00:00Z"/>
    <n v="1649"/>
    <x v="2"/>
    <x v="1"/>
    <x v="7"/>
    <n v="19"/>
    <n v="861"/>
    <x v="0"/>
    <n v="3"/>
    <d v="2026-02-05T00:00:00"/>
    <n v="14.35"/>
    <n v="0.31666666666666665"/>
    <x v="0"/>
    <s v="Neutral"/>
    <s v="Resolved"/>
  </r>
  <r>
    <s v="TCK-000602"/>
    <s v="2026-02-05T08:45:36Z"/>
    <n v="1193"/>
    <x v="3"/>
    <x v="3"/>
    <x v="0"/>
    <n v="139"/>
    <m/>
    <x v="2"/>
    <m/>
    <d v="2026-02-05T00:00:00"/>
    <s v=""/>
    <n v="2.3166666666666669"/>
    <x v="1"/>
    <s v="No Rating"/>
    <s v="Unresolved"/>
  </r>
  <r>
    <s v="TCK-000603"/>
    <s v="2026-02-05T17:31:12Z"/>
    <n v="1304"/>
    <x v="4"/>
    <x v="1"/>
    <x v="7"/>
    <n v="27"/>
    <n v="996"/>
    <x v="0"/>
    <m/>
    <d v="2026-02-05T00:00:00"/>
    <n v="16.600000000000001"/>
    <n v="0.45"/>
    <x v="0"/>
    <s v="No Rating"/>
    <s v="Resolved"/>
  </r>
  <r>
    <s v="TCK-000604"/>
    <s v="2026-02-06T02:16:48Z"/>
    <n v="1949"/>
    <x v="1"/>
    <x v="0"/>
    <x v="6"/>
    <n v="7"/>
    <n v="97"/>
    <x v="1"/>
    <n v="3"/>
    <d v="2026-02-06T00:00:00"/>
    <n v="1.6166666666666667"/>
    <n v="0.11666666666666667"/>
    <x v="0"/>
    <s v="Neutral"/>
    <s v="Resolved"/>
  </r>
  <r>
    <s v="TCK-000605"/>
    <s v="2026-02-06T11:02:24Z"/>
    <n v="1073"/>
    <x v="3"/>
    <x v="0"/>
    <x v="1"/>
    <n v="10"/>
    <n v="280"/>
    <x v="0"/>
    <m/>
    <d v="2026-02-06T00:00:00"/>
    <n v="4.666666666666667"/>
    <n v="0.16666666666666666"/>
    <x v="0"/>
    <s v="No Rating"/>
    <s v="Resolved"/>
  </r>
  <r>
    <s v="TCK-000606"/>
    <s v="2026-02-06T19:48:00Z"/>
    <n v="1759"/>
    <x v="0"/>
    <x v="2"/>
    <x v="5"/>
    <n v="116"/>
    <n v="3200"/>
    <x v="0"/>
    <n v="5"/>
    <d v="2026-02-06T00:00:00"/>
    <n v="53.333333333333336"/>
    <n v="1.9333333333333333"/>
    <x v="2"/>
    <s v="Satisfied"/>
    <s v="Resolved"/>
  </r>
  <r>
    <s v="TCK-000607"/>
    <s v="2026-02-07T04:33:36Z"/>
    <n v="1742"/>
    <x v="2"/>
    <x v="2"/>
    <x v="3"/>
    <n v="84"/>
    <m/>
    <x v="3"/>
    <m/>
    <d v="2026-02-07T00:00:00"/>
    <s v=""/>
    <n v="1.4"/>
    <x v="1"/>
    <s v="No Rating"/>
    <s v="Unresolved"/>
  </r>
  <r>
    <s v="TCK-000608"/>
    <s v="2026-02-07T13:19:12Z"/>
    <n v="1960"/>
    <x v="3"/>
    <x v="0"/>
    <x v="2"/>
    <n v="3"/>
    <n v="229"/>
    <x v="0"/>
    <n v="3"/>
    <d v="2026-02-07T00:00:00"/>
    <n v="3.8166666666666669"/>
    <n v="0.05"/>
    <x v="0"/>
    <s v="Neutral"/>
    <s v="Resolved"/>
  </r>
  <r>
    <s v="TCK-000609"/>
    <s v="2026-02-07T22:04:48Z"/>
    <n v="1351"/>
    <x v="2"/>
    <x v="3"/>
    <x v="5"/>
    <n v="426"/>
    <m/>
    <x v="2"/>
    <m/>
    <d v="2026-02-07T00:00:00"/>
    <s v=""/>
    <n v="7.1"/>
    <x v="1"/>
    <s v="No Rating"/>
    <s v="Unresolved"/>
  </r>
  <r>
    <s v="TCK-000610"/>
    <s v="2026-02-08T06:50:24Z"/>
    <n v="1574"/>
    <x v="2"/>
    <x v="2"/>
    <x v="6"/>
    <n v="108"/>
    <n v="1663"/>
    <x v="0"/>
    <m/>
    <d v="2026-02-08T00:00:00"/>
    <n v="27.716666666666665"/>
    <n v="1.8"/>
    <x v="0"/>
    <s v="No Rating"/>
    <s v="Resolved"/>
  </r>
  <r>
    <s v="TCK-000611"/>
    <s v="2026-02-08T15:36:00Z"/>
    <n v="1889"/>
    <x v="1"/>
    <x v="0"/>
    <x v="4"/>
    <n v="2"/>
    <n v="398"/>
    <x v="0"/>
    <n v="1"/>
    <d v="2026-02-08T00:00:00"/>
    <n v="6.6333333333333337"/>
    <n v="3.3333333333333333E-2"/>
    <x v="0"/>
    <s v="Dissatisfied"/>
    <s v="Resolved"/>
  </r>
  <r>
    <s v="TCK-000612"/>
    <s v="2026-02-09T00:21:36Z"/>
    <n v="1290"/>
    <x v="1"/>
    <x v="2"/>
    <x v="0"/>
    <n v="88"/>
    <n v="2903"/>
    <x v="1"/>
    <m/>
    <d v="2026-02-09T00:00:00"/>
    <n v="48.383333333333333"/>
    <n v="1.4666666666666666"/>
    <x v="2"/>
    <s v="No Rating"/>
    <s v="Resolved"/>
  </r>
  <r>
    <s v="TCK-000613"/>
    <s v="2026-02-09T09:07:12Z"/>
    <n v="1061"/>
    <x v="1"/>
    <x v="3"/>
    <x v="4"/>
    <n v="411"/>
    <n v="1441"/>
    <x v="0"/>
    <m/>
    <d v="2026-02-09T00:00:00"/>
    <n v="24.016666666666666"/>
    <n v="6.85"/>
    <x v="0"/>
    <s v="No Rating"/>
    <s v="Resolved"/>
  </r>
  <r>
    <s v="TCK-000614"/>
    <s v="2026-02-09T17:52:48Z"/>
    <n v="1133"/>
    <x v="3"/>
    <x v="2"/>
    <x v="6"/>
    <n v="162"/>
    <n v="2967"/>
    <x v="0"/>
    <m/>
    <d v="2026-02-09T00:00:00"/>
    <n v="49.45"/>
    <n v="2.7"/>
    <x v="2"/>
    <s v="No Rating"/>
    <s v="Resolved"/>
  </r>
  <r>
    <s v="TCK-000615"/>
    <s v="2026-02-10T02:38:24Z"/>
    <n v="1431"/>
    <x v="0"/>
    <x v="0"/>
    <x v="4"/>
    <n v="8"/>
    <n v="149"/>
    <x v="0"/>
    <n v="4"/>
    <d v="2026-02-10T00:00:00"/>
    <n v="2.4833333333333334"/>
    <n v="0.13333333333333333"/>
    <x v="0"/>
    <s v="Satisfied"/>
    <s v="Resolved"/>
  </r>
  <r>
    <s v="TCK-000616"/>
    <s v="2026-02-10T11:24:00Z"/>
    <n v="1035"/>
    <x v="3"/>
    <x v="1"/>
    <x v="2"/>
    <n v="35"/>
    <n v="311"/>
    <x v="0"/>
    <m/>
    <d v="2026-02-10T00:00:00"/>
    <n v="5.1833333333333336"/>
    <n v="0.58333333333333337"/>
    <x v="0"/>
    <s v="No Rating"/>
    <s v="Resolved"/>
  </r>
  <r>
    <s v="TCK-000617"/>
    <s v="2026-02-10T20:09:36Z"/>
    <n v="1246"/>
    <x v="3"/>
    <x v="3"/>
    <x v="6"/>
    <n v="362"/>
    <n v="2694"/>
    <x v="0"/>
    <n v="4"/>
    <d v="2026-02-10T00:00:00"/>
    <n v="44.9"/>
    <n v="6.0333333333333332"/>
    <x v="0"/>
    <s v="Satisfied"/>
    <s v="Resolved"/>
  </r>
  <r>
    <s v="TCK-000618"/>
    <s v="2026-02-11T04:55:12Z"/>
    <n v="1808"/>
    <x v="0"/>
    <x v="0"/>
    <x v="4"/>
    <n v="11"/>
    <n v="332"/>
    <x v="0"/>
    <m/>
    <d v="2026-02-11T00:00:00"/>
    <n v="5.5333333333333332"/>
    <n v="0.18333333333333332"/>
    <x v="0"/>
    <s v="No Rating"/>
    <s v="Resolved"/>
  </r>
  <r>
    <s v="TCK-000619"/>
    <s v="2026-02-11T13:40:48Z"/>
    <n v="1437"/>
    <x v="0"/>
    <x v="2"/>
    <x v="6"/>
    <n v="179"/>
    <n v="1690"/>
    <x v="0"/>
    <n v="3"/>
    <d v="2026-02-11T00:00:00"/>
    <n v="28.166666666666668"/>
    <n v="2.9833333333333334"/>
    <x v="0"/>
    <s v="Neutral"/>
    <s v="Resolved"/>
  </r>
  <r>
    <s v="TCK-000620"/>
    <s v="2026-02-11T22:26:24Z"/>
    <n v="1584"/>
    <x v="2"/>
    <x v="0"/>
    <x v="8"/>
    <n v="8"/>
    <n v="364"/>
    <x v="0"/>
    <n v="4"/>
    <d v="2026-02-11T00:00:00"/>
    <n v="6.0666666666666664"/>
    <n v="0.13333333333333333"/>
    <x v="0"/>
    <s v="Satisfied"/>
    <s v="Resolved"/>
  </r>
  <r>
    <s v="TCK-000621"/>
    <s v="2026-02-12T07:12:00Z"/>
    <n v="1148"/>
    <x v="4"/>
    <x v="3"/>
    <x v="6"/>
    <n v="377"/>
    <n v="4931"/>
    <x v="1"/>
    <n v="5"/>
    <d v="2026-02-12T00:00:00"/>
    <n v="82.183333333333337"/>
    <n v="6.2833333333333332"/>
    <x v="2"/>
    <s v="Satisfied"/>
    <s v="Resolved"/>
  </r>
  <r>
    <s v="TCK-000622"/>
    <s v="2026-02-12T15:57:36Z"/>
    <n v="1578"/>
    <x v="1"/>
    <x v="2"/>
    <x v="4"/>
    <n v="74"/>
    <n v="1674"/>
    <x v="1"/>
    <n v="5"/>
    <d v="2026-02-12T00:00:00"/>
    <n v="27.9"/>
    <n v="1.2333333333333334"/>
    <x v="0"/>
    <s v="Satisfied"/>
    <s v="Resolved"/>
  </r>
  <r>
    <s v="TCK-000623"/>
    <s v="2026-02-13T00:43:12Z"/>
    <n v="1891"/>
    <x v="4"/>
    <x v="2"/>
    <x v="6"/>
    <n v="39"/>
    <n v="3594"/>
    <x v="0"/>
    <n v="5"/>
    <d v="2026-02-13T00:00:00"/>
    <n v="59.9"/>
    <n v="0.65"/>
    <x v="2"/>
    <s v="Satisfied"/>
    <s v="Resolved"/>
  </r>
  <r>
    <s v="TCK-000624"/>
    <s v="2026-02-13T09:28:48Z"/>
    <n v="1414"/>
    <x v="4"/>
    <x v="2"/>
    <x v="0"/>
    <n v="54"/>
    <n v="1980"/>
    <x v="0"/>
    <m/>
    <d v="2026-02-13T00:00:00"/>
    <n v="33"/>
    <n v="0.9"/>
    <x v="0"/>
    <s v="No Rating"/>
    <s v="Resolved"/>
  </r>
  <r>
    <s v="TCK-000625"/>
    <s v="2026-02-13T18:14:24Z"/>
    <n v="1335"/>
    <x v="3"/>
    <x v="3"/>
    <x v="0"/>
    <n v="295"/>
    <n v="1386"/>
    <x v="0"/>
    <m/>
    <d v="2026-02-13T00:00:00"/>
    <n v="23.1"/>
    <n v="4.916666666666667"/>
    <x v="0"/>
    <s v="No Rating"/>
    <s v="Resolved"/>
  </r>
  <r>
    <s v="TCK-000626"/>
    <s v="2026-02-14T03:00:00Z"/>
    <n v="1930"/>
    <x v="2"/>
    <x v="2"/>
    <x v="4"/>
    <n v="49"/>
    <n v="2942"/>
    <x v="0"/>
    <n v="2"/>
    <d v="2026-02-14T00:00:00"/>
    <n v="49.033333333333331"/>
    <n v="0.81666666666666665"/>
    <x v="2"/>
    <s v="Dissatisfied"/>
    <s v="Resolved"/>
  </r>
  <r>
    <s v="TCK-000627"/>
    <s v="2026-02-14T11:45:36Z"/>
    <n v="1493"/>
    <x v="3"/>
    <x v="3"/>
    <x v="3"/>
    <n v="253"/>
    <n v="3860"/>
    <x v="0"/>
    <m/>
    <d v="2026-02-14T00:00:00"/>
    <n v="64.333333333333329"/>
    <n v="4.2166666666666668"/>
    <x v="0"/>
    <s v="No Rating"/>
    <s v="Resolved"/>
  </r>
  <r>
    <s v="TCK-000628"/>
    <s v="2026-02-14T20:31:12Z"/>
    <n v="1662"/>
    <x v="4"/>
    <x v="0"/>
    <x v="2"/>
    <n v="10"/>
    <n v="240"/>
    <x v="0"/>
    <n v="1"/>
    <d v="2026-02-14T00:00:00"/>
    <n v="4"/>
    <n v="0.16666666666666666"/>
    <x v="0"/>
    <s v="Dissatisfied"/>
    <s v="Resolved"/>
  </r>
  <r>
    <s v="TCK-000629"/>
    <s v="2026-02-15T05:16:48Z"/>
    <n v="1680"/>
    <x v="2"/>
    <x v="2"/>
    <x v="8"/>
    <n v="149"/>
    <n v="2265"/>
    <x v="1"/>
    <n v="5"/>
    <d v="2026-02-15T00:00:00"/>
    <n v="37.75"/>
    <n v="2.4833333333333334"/>
    <x v="0"/>
    <s v="Satisfied"/>
    <s v="Resolved"/>
  </r>
  <r>
    <s v="TCK-000630"/>
    <s v="2026-02-15T14:02:24Z"/>
    <n v="1488"/>
    <x v="3"/>
    <x v="2"/>
    <x v="7"/>
    <n v="168"/>
    <n v="3494"/>
    <x v="0"/>
    <n v="3"/>
    <d v="2026-02-15T00:00:00"/>
    <n v="58.233333333333334"/>
    <n v="2.8"/>
    <x v="2"/>
    <s v="Neutral"/>
    <s v="Resolved"/>
  </r>
  <r>
    <s v="TCK-000631"/>
    <s v="2026-02-15T22:48:00Z"/>
    <n v="1440"/>
    <x v="1"/>
    <x v="2"/>
    <x v="2"/>
    <n v="36"/>
    <n v="2697"/>
    <x v="0"/>
    <n v="5"/>
    <d v="2026-02-15T00:00:00"/>
    <n v="44.95"/>
    <n v="0.6"/>
    <x v="0"/>
    <s v="Satisfied"/>
    <s v="Resolved"/>
  </r>
  <r>
    <s v="TCK-000632"/>
    <s v="2026-02-16T07:33:36Z"/>
    <n v="1286"/>
    <x v="3"/>
    <x v="2"/>
    <x v="8"/>
    <n v="146"/>
    <n v="656"/>
    <x v="0"/>
    <m/>
    <d v="2026-02-16T00:00:00"/>
    <n v="10.933333333333334"/>
    <n v="2.4333333333333331"/>
    <x v="0"/>
    <s v="No Rating"/>
    <s v="Resolved"/>
  </r>
  <r>
    <s v="TCK-000633"/>
    <s v="2026-02-16T16:19:12Z"/>
    <n v="1050"/>
    <x v="4"/>
    <x v="3"/>
    <x v="7"/>
    <n v="353"/>
    <n v="8536"/>
    <x v="0"/>
    <m/>
    <d v="2026-02-16T00:00:00"/>
    <n v="142.26666666666668"/>
    <n v="5.8833333333333337"/>
    <x v="2"/>
    <s v="No Rating"/>
    <s v="Resolved"/>
  </r>
  <r>
    <s v="TCK-000634"/>
    <s v="2026-02-17T01:04:48Z"/>
    <n v="1500"/>
    <x v="4"/>
    <x v="2"/>
    <x v="8"/>
    <n v="167"/>
    <m/>
    <x v="3"/>
    <m/>
    <d v="2026-02-17T00:00:00"/>
    <s v=""/>
    <n v="2.7833333333333332"/>
    <x v="1"/>
    <s v="No Rating"/>
    <s v="Unresolved"/>
  </r>
  <r>
    <s v="TCK-000635"/>
    <s v="2026-02-17T09:50:24Z"/>
    <n v="1565"/>
    <x v="3"/>
    <x v="1"/>
    <x v="0"/>
    <n v="42"/>
    <m/>
    <x v="2"/>
    <m/>
    <d v="2026-02-17T00:00:00"/>
    <s v=""/>
    <n v="0.7"/>
    <x v="1"/>
    <s v="No Rating"/>
    <s v="Unresolved"/>
  </r>
  <r>
    <s v="TCK-000636"/>
    <s v="2026-02-17T18:36:00Z"/>
    <n v="1717"/>
    <x v="3"/>
    <x v="2"/>
    <x v="8"/>
    <n v="88"/>
    <n v="973"/>
    <x v="1"/>
    <n v="2"/>
    <d v="2026-02-17T00:00:00"/>
    <n v="16.216666666666665"/>
    <n v="1.4666666666666666"/>
    <x v="0"/>
    <s v="Dissatisfied"/>
    <s v="Resolved"/>
  </r>
  <r>
    <s v="TCK-000637"/>
    <s v="2026-02-18T03:21:36Z"/>
    <n v="1353"/>
    <x v="4"/>
    <x v="0"/>
    <x v="3"/>
    <n v="11"/>
    <n v="379"/>
    <x v="0"/>
    <m/>
    <d v="2026-02-18T00:00:00"/>
    <n v="6.3166666666666664"/>
    <n v="0.18333333333333332"/>
    <x v="0"/>
    <s v="No Rating"/>
    <s v="Resolved"/>
  </r>
  <r>
    <s v="TCK-000638"/>
    <s v="2026-02-18T12:07:12Z"/>
    <n v="1261"/>
    <x v="2"/>
    <x v="2"/>
    <x v="5"/>
    <n v="54"/>
    <n v="2174"/>
    <x v="1"/>
    <n v="2"/>
    <d v="2026-02-18T00:00:00"/>
    <n v="36.233333333333334"/>
    <n v="0.9"/>
    <x v="0"/>
    <s v="Dissatisfied"/>
    <s v="Resolved"/>
  </r>
  <r>
    <s v="TCK-000639"/>
    <s v="2026-02-18T20:52:48Z"/>
    <n v="1013"/>
    <x v="2"/>
    <x v="1"/>
    <x v="5"/>
    <n v="40"/>
    <m/>
    <x v="3"/>
    <m/>
    <d v="2026-02-18T00:00:00"/>
    <s v=""/>
    <n v="0.66666666666666663"/>
    <x v="1"/>
    <s v="No Rating"/>
    <s v="Unresolved"/>
  </r>
  <r>
    <s v="TCK-000640"/>
    <s v="2026-02-19T05:38:24Z"/>
    <n v="1047"/>
    <x v="3"/>
    <x v="2"/>
    <x v="2"/>
    <n v="159"/>
    <n v="2632"/>
    <x v="0"/>
    <m/>
    <d v="2026-02-19T00:00:00"/>
    <n v="43.866666666666667"/>
    <n v="2.65"/>
    <x v="0"/>
    <s v="No Rating"/>
    <s v="Resolved"/>
  </r>
  <r>
    <s v="TCK-000641"/>
    <s v="2026-02-19T14:24:00Z"/>
    <n v="1531"/>
    <x v="1"/>
    <x v="2"/>
    <x v="3"/>
    <n v="81"/>
    <n v="2338"/>
    <x v="0"/>
    <n v="5"/>
    <d v="2026-02-19T00:00:00"/>
    <n v="38.966666666666669"/>
    <n v="1.35"/>
    <x v="0"/>
    <s v="Satisfied"/>
    <s v="Resolved"/>
  </r>
  <r>
    <s v="TCK-000642"/>
    <s v="2026-02-19T23:09:36Z"/>
    <n v="1509"/>
    <x v="1"/>
    <x v="2"/>
    <x v="8"/>
    <n v="94"/>
    <n v="3467"/>
    <x v="1"/>
    <n v="3"/>
    <d v="2026-02-19T00:00:00"/>
    <n v="57.783333333333331"/>
    <n v="1.5666666666666667"/>
    <x v="2"/>
    <s v="Neutral"/>
    <s v="Resolved"/>
  </r>
  <r>
    <s v="TCK-000643"/>
    <s v="2026-02-20T07:55:12Z"/>
    <n v="1494"/>
    <x v="2"/>
    <x v="0"/>
    <x v="4"/>
    <n v="4"/>
    <n v="383"/>
    <x v="0"/>
    <n v="5"/>
    <d v="2026-02-20T00:00:00"/>
    <n v="6.3833333333333337"/>
    <n v="6.6666666666666666E-2"/>
    <x v="0"/>
    <s v="Satisfied"/>
    <s v="Resolved"/>
  </r>
  <r>
    <s v="TCK-000644"/>
    <s v="2026-02-20T16:40:48Z"/>
    <n v="1394"/>
    <x v="1"/>
    <x v="2"/>
    <x v="2"/>
    <n v="156"/>
    <n v="2280"/>
    <x v="0"/>
    <m/>
    <d v="2026-02-20T00:00:00"/>
    <n v="38"/>
    <n v="2.6"/>
    <x v="0"/>
    <s v="No Rating"/>
    <s v="Resolved"/>
  </r>
  <r>
    <s v="TCK-000645"/>
    <s v="2026-02-21T01:26:24Z"/>
    <n v="1469"/>
    <x v="1"/>
    <x v="2"/>
    <x v="1"/>
    <n v="46"/>
    <n v="1821"/>
    <x v="0"/>
    <m/>
    <d v="2026-02-21T00:00:00"/>
    <n v="30.35"/>
    <n v="0.76666666666666672"/>
    <x v="0"/>
    <s v="No Rating"/>
    <s v="Resolved"/>
  </r>
  <r>
    <s v="TCK-000646"/>
    <s v="2026-02-21T10:12:00Z"/>
    <n v="1486"/>
    <x v="2"/>
    <x v="3"/>
    <x v="3"/>
    <n v="454"/>
    <n v="8997"/>
    <x v="0"/>
    <n v="1"/>
    <d v="2026-02-21T00:00:00"/>
    <n v="149.94999999999999"/>
    <n v="7.5666666666666664"/>
    <x v="2"/>
    <s v="Dissatisfied"/>
    <s v="Resolved"/>
  </r>
  <r>
    <s v="TCK-000647"/>
    <s v="2026-02-21T18:57:36Z"/>
    <n v="1733"/>
    <x v="1"/>
    <x v="1"/>
    <x v="8"/>
    <n v="21"/>
    <n v="294"/>
    <x v="0"/>
    <m/>
    <d v="2026-02-21T00:00:00"/>
    <n v="4.9000000000000004"/>
    <n v="0.35"/>
    <x v="0"/>
    <s v="No Rating"/>
    <s v="Resolved"/>
  </r>
  <r>
    <s v="TCK-000648"/>
    <s v="2026-02-22T03:43:12Z"/>
    <n v="1152"/>
    <x v="4"/>
    <x v="0"/>
    <x v="0"/>
    <n v="3"/>
    <n v="356"/>
    <x v="0"/>
    <m/>
    <d v="2026-02-22T00:00:00"/>
    <n v="5.9333333333333336"/>
    <n v="0.05"/>
    <x v="0"/>
    <s v="No Rating"/>
    <s v="Resolved"/>
  </r>
  <r>
    <s v="TCK-000649"/>
    <s v="2026-02-22T12:28:48Z"/>
    <n v="1591"/>
    <x v="0"/>
    <x v="1"/>
    <x v="4"/>
    <n v="25"/>
    <n v="1229"/>
    <x v="0"/>
    <m/>
    <d v="2026-02-22T00:00:00"/>
    <n v="20.483333333333334"/>
    <n v="0.41666666666666669"/>
    <x v="0"/>
    <s v="No Rating"/>
    <s v="Resolved"/>
  </r>
  <r>
    <s v="TCK-000650"/>
    <s v="2026-02-22T21:14:24Z"/>
    <n v="1547"/>
    <x v="2"/>
    <x v="3"/>
    <x v="4"/>
    <n v="218"/>
    <n v="8434"/>
    <x v="0"/>
    <n v="5"/>
    <d v="2026-02-22T00:00:00"/>
    <n v="140.56666666666666"/>
    <n v="3.6333333333333333"/>
    <x v="2"/>
    <s v="Satisfied"/>
    <s v="Resolved"/>
  </r>
  <r>
    <s v="TCK-000651"/>
    <s v="2026-02-23T06:00:00Z"/>
    <n v="1212"/>
    <x v="3"/>
    <x v="1"/>
    <x v="4"/>
    <n v="46"/>
    <n v="1224"/>
    <x v="0"/>
    <m/>
    <d v="2026-02-23T00:00:00"/>
    <n v="20.399999999999999"/>
    <n v="0.76666666666666672"/>
    <x v="0"/>
    <s v="No Rating"/>
    <s v="Resolved"/>
  </r>
  <r>
    <s v="TCK-000652"/>
    <s v="2026-02-23T14:45:36Z"/>
    <n v="1843"/>
    <x v="1"/>
    <x v="3"/>
    <x v="7"/>
    <n v="235"/>
    <m/>
    <x v="2"/>
    <m/>
    <d v="2026-02-23T00:00:00"/>
    <s v=""/>
    <n v="3.9166666666666665"/>
    <x v="1"/>
    <s v="No Rating"/>
    <s v="Unresolved"/>
  </r>
  <r>
    <s v="TCK-000653"/>
    <s v="2026-02-23T23:31:12Z"/>
    <n v="1170"/>
    <x v="2"/>
    <x v="2"/>
    <x v="8"/>
    <n v="110"/>
    <n v="2815"/>
    <x v="1"/>
    <n v="4"/>
    <d v="2026-02-23T00:00:00"/>
    <n v="46.916666666666664"/>
    <n v="1.8333333333333333"/>
    <x v="0"/>
    <s v="Satisfied"/>
    <s v="Resolved"/>
  </r>
  <r>
    <s v="TCK-000654"/>
    <s v="2026-02-24T08:16:48Z"/>
    <n v="1378"/>
    <x v="1"/>
    <x v="0"/>
    <x v="4"/>
    <n v="2"/>
    <n v="383"/>
    <x v="0"/>
    <n v="3"/>
    <d v="2026-02-24T00:00:00"/>
    <n v="6.3833333333333337"/>
    <n v="3.3333333333333333E-2"/>
    <x v="0"/>
    <s v="Neutral"/>
    <s v="Resolved"/>
  </r>
  <r>
    <s v="TCK-000655"/>
    <s v="2026-02-24T17:02:24Z"/>
    <n v="1504"/>
    <x v="2"/>
    <x v="2"/>
    <x v="3"/>
    <n v="99"/>
    <n v="1790"/>
    <x v="0"/>
    <m/>
    <d v="2026-02-24T00:00:00"/>
    <n v="29.833333333333332"/>
    <n v="1.65"/>
    <x v="0"/>
    <s v="No Rating"/>
    <s v="Resolved"/>
  </r>
  <r>
    <s v="TCK-000656"/>
    <s v="2026-02-25T01:48:00Z"/>
    <n v="1888"/>
    <x v="4"/>
    <x v="2"/>
    <x v="7"/>
    <n v="92"/>
    <n v="1594"/>
    <x v="0"/>
    <m/>
    <d v="2026-02-25T00:00:00"/>
    <n v="26.566666666666666"/>
    <n v="1.5333333333333334"/>
    <x v="0"/>
    <s v="No Rating"/>
    <s v="Resolved"/>
  </r>
  <r>
    <s v="TCK-000657"/>
    <s v="2026-02-25T10:33:36Z"/>
    <n v="1751"/>
    <x v="3"/>
    <x v="0"/>
    <x v="1"/>
    <n v="12"/>
    <n v="315"/>
    <x v="1"/>
    <m/>
    <d v="2026-02-25T00:00:00"/>
    <n v="5.25"/>
    <n v="0.2"/>
    <x v="0"/>
    <s v="No Rating"/>
    <s v="Resolved"/>
  </r>
  <r>
    <s v="TCK-000658"/>
    <s v="2026-02-25T19:19:12Z"/>
    <n v="1979"/>
    <x v="1"/>
    <x v="3"/>
    <x v="4"/>
    <n v="141"/>
    <m/>
    <x v="2"/>
    <m/>
    <d v="2026-02-25T00:00:00"/>
    <s v=""/>
    <n v="2.35"/>
    <x v="1"/>
    <s v="No Rating"/>
    <s v="Unresolved"/>
  </r>
  <r>
    <s v="TCK-000659"/>
    <s v="2026-02-26T04:04:48Z"/>
    <n v="1432"/>
    <x v="3"/>
    <x v="1"/>
    <x v="5"/>
    <n v="27"/>
    <n v="1123"/>
    <x v="1"/>
    <n v="4"/>
    <d v="2026-02-26T00:00:00"/>
    <n v="18.716666666666665"/>
    <n v="0.45"/>
    <x v="0"/>
    <s v="Satisfied"/>
    <s v="Resolved"/>
  </r>
  <r>
    <s v="TCK-000660"/>
    <s v="2026-02-26T12:50:24Z"/>
    <n v="1200"/>
    <x v="2"/>
    <x v="1"/>
    <x v="5"/>
    <n v="39"/>
    <n v="839"/>
    <x v="1"/>
    <n v="5"/>
    <d v="2026-02-26T00:00:00"/>
    <n v="13.983333333333333"/>
    <n v="0.65"/>
    <x v="0"/>
    <s v="Satisfied"/>
    <s v="Resolved"/>
  </r>
  <r>
    <s v="TCK-000661"/>
    <s v="2026-02-26T21:36:00Z"/>
    <n v="1284"/>
    <x v="4"/>
    <x v="2"/>
    <x v="2"/>
    <n v="40"/>
    <n v="2909"/>
    <x v="0"/>
    <m/>
    <d v="2026-02-26T00:00:00"/>
    <n v="48.483333333333334"/>
    <n v="0.66666666666666663"/>
    <x v="2"/>
    <s v="No Rating"/>
    <s v="Resolved"/>
  </r>
  <r>
    <s v="TCK-000662"/>
    <s v="2026-02-27T06:21:36Z"/>
    <n v="1838"/>
    <x v="0"/>
    <x v="0"/>
    <x v="5"/>
    <n v="11"/>
    <n v="419"/>
    <x v="0"/>
    <n v="1"/>
    <d v="2026-02-27T00:00:00"/>
    <n v="6.9833333333333334"/>
    <n v="0.18333333333333332"/>
    <x v="0"/>
    <s v="Dissatisfied"/>
    <s v="Resolved"/>
  </r>
  <r>
    <s v="TCK-000663"/>
    <s v="2026-02-27T15:07:12Z"/>
    <n v="1542"/>
    <x v="0"/>
    <x v="1"/>
    <x v="6"/>
    <n v="33"/>
    <n v="506"/>
    <x v="0"/>
    <n v="4"/>
    <d v="2026-02-27T00:00:00"/>
    <n v="8.4333333333333336"/>
    <n v="0.55000000000000004"/>
    <x v="0"/>
    <s v="Satisfied"/>
    <s v="Resolved"/>
  </r>
  <r>
    <s v="TCK-000664"/>
    <s v="2026-02-27T23:52:48Z"/>
    <n v="1010"/>
    <x v="3"/>
    <x v="2"/>
    <x v="8"/>
    <n v="97"/>
    <n v="1607"/>
    <x v="0"/>
    <n v="4"/>
    <d v="2026-02-27T00:00:00"/>
    <n v="26.783333333333335"/>
    <n v="1.6166666666666667"/>
    <x v="0"/>
    <s v="Satisfied"/>
    <s v="Resolved"/>
  </r>
  <r>
    <s v="TCK-000665"/>
    <s v="2026-02-28T08:38:24Z"/>
    <n v="1014"/>
    <x v="2"/>
    <x v="3"/>
    <x v="0"/>
    <n v="398"/>
    <n v="8694"/>
    <x v="0"/>
    <m/>
    <d v="2026-02-28T00:00:00"/>
    <n v="144.9"/>
    <n v="6.6333333333333337"/>
    <x v="2"/>
    <s v="No Rating"/>
    <s v="Resolved"/>
  </r>
  <r>
    <s v="TCK-000666"/>
    <s v="2026-02-28T17:24:00Z"/>
    <n v="1697"/>
    <x v="3"/>
    <x v="0"/>
    <x v="6"/>
    <n v="2"/>
    <n v="288"/>
    <x v="1"/>
    <m/>
    <d v="2026-02-28T00:00:00"/>
    <n v="4.8"/>
    <n v="3.3333333333333333E-2"/>
    <x v="0"/>
    <s v="No Rating"/>
    <s v="Resolved"/>
  </r>
  <r>
    <s v="TCK-000667"/>
    <s v="2026-03-01T02:09:36Z"/>
    <n v="1258"/>
    <x v="4"/>
    <x v="2"/>
    <x v="8"/>
    <n v="82"/>
    <m/>
    <x v="3"/>
    <m/>
    <d v="2026-03-01T00:00:00"/>
    <s v=""/>
    <n v="1.3666666666666667"/>
    <x v="1"/>
    <s v="No Rating"/>
    <s v="Unresolved"/>
  </r>
  <r>
    <s v="TCK-000668"/>
    <s v="2026-03-01T10:55:12Z"/>
    <n v="1314"/>
    <x v="1"/>
    <x v="0"/>
    <x v="7"/>
    <n v="10"/>
    <n v="332"/>
    <x v="0"/>
    <n v="1"/>
    <d v="2026-03-01T00:00:00"/>
    <n v="5.5333333333333332"/>
    <n v="0.16666666666666666"/>
    <x v="0"/>
    <s v="Dissatisfied"/>
    <s v="Resolved"/>
  </r>
  <r>
    <s v="TCK-000669"/>
    <s v="2026-03-01T19:40:48Z"/>
    <n v="1546"/>
    <x v="0"/>
    <x v="1"/>
    <x v="2"/>
    <n v="17"/>
    <n v="965"/>
    <x v="1"/>
    <n v="1"/>
    <d v="2026-03-01T00:00:00"/>
    <n v="16.083333333333332"/>
    <n v="0.28333333333333333"/>
    <x v="0"/>
    <s v="Dissatisfied"/>
    <s v="Resolved"/>
  </r>
  <r>
    <s v="TCK-000670"/>
    <s v="2026-03-02T04:26:24Z"/>
    <n v="1760"/>
    <x v="0"/>
    <x v="3"/>
    <x v="4"/>
    <n v="353"/>
    <n v="5865"/>
    <x v="1"/>
    <n v="5"/>
    <d v="2026-03-02T00:00:00"/>
    <n v="97.75"/>
    <n v="5.8833333333333337"/>
    <x v="2"/>
    <s v="Satisfied"/>
    <s v="Resolved"/>
  </r>
  <r>
    <s v="TCK-000671"/>
    <s v="2026-03-02T13:12:00Z"/>
    <n v="1788"/>
    <x v="3"/>
    <x v="2"/>
    <x v="5"/>
    <n v="101"/>
    <n v="1569"/>
    <x v="0"/>
    <m/>
    <d v="2026-03-02T00:00:00"/>
    <n v="26.15"/>
    <n v="1.6833333333333333"/>
    <x v="0"/>
    <s v="No Rating"/>
    <s v="Resolved"/>
  </r>
  <r>
    <s v="TCK-000672"/>
    <s v="2026-03-02T21:57:36Z"/>
    <n v="1671"/>
    <x v="4"/>
    <x v="2"/>
    <x v="2"/>
    <n v="177"/>
    <n v="602"/>
    <x v="1"/>
    <n v="1"/>
    <d v="2026-03-02T00:00:00"/>
    <n v="10.033333333333333"/>
    <n v="2.95"/>
    <x v="0"/>
    <s v="Dissatisfied"/>
    <s v="Resolved"/>
  </r>
  <r>
    <s v="TCK-000673"/>
    <s v="2026-03-03T06:43:12Z"/>
    <n v="1431"/>
    <x v="3"/>
    <x v="3"/>
    <x v="3"/>
    <n v="242"/>
    <n v="4345"/>
    <x v="1"/>
    <m/>
    <d v="2026-03-03T00:00:00"/>
    <n v="72.416666666666671"/>
    <n v="4.0333333333333332"/>
    <x v="2"/>
    <s v="No Rating"/>
    <s v="Resolved"/>
  </r>
  <r>
    <s v="TCK-000674"/>
    <s v="2026-03-03T15:28:48Z"/>
    <n v="1367"/>
    <x v="2"/>
    <x v="1"/>
    <x v="0"/>
    <n v="11"/>
    <n v="861"/>
    <x v="0"/>
    <n v="1"/>
    <d v="2026-03-03T00:00:00"/>
    <n v="14.35"/>
    <n v="0.18333333333333332"/>
    <x v="0"/>
    <s v="Dissatisfied"/>
    <s v="Resolved"/>
  </r>
  <r>
    <s v="TCK-000675"/>
    <s v="2026-03-04T00:14:24Z"/>
    <n v="1481"/>
    <x v="3"/>
    <x v="0"/>
    <x v="4"/>
    <n v="4"/>
    <n v="418"/>
    <x v="0"/>
    <m/>
    <d v="2026-03-04T00:00:00"/>
    <n v="6.9666666666666668"/>
    <n v="6.6666666666666666E-2"/>
    <x v="0"/>
    <s v="No Rating"/>
    <s v="Resolved"/>
  </r>
  <r>
    <s v="TCK-000676"/>
    <s v="2026-03-04T09:00:00Z"/>
    <n v="1699"/>
    <x v="0"/>
    <x v="2"/>
    <x v="0"/>
    <n v="157"/>
    <n v="744"/>
    <x v="0"/>
    <n v="2"/>
    <d v="2026-03-04T00:00:00"/>
    <n v="12.4"/>
    <n v="2.6166666666666667"/>
    <x v="0"/>
    <s v="Dissatisfied"/>
    <s v="Resolved"/>
  </r>
  <r>
    <s v="TCK-000677"/>
    <s v="2026-03-04T17:45:36Z"/>
    <n v="1351"/>
    <x v="2"/>
    <x v="3"/>
    <x v="4"/>
    <n v="295"/>
    <n v="3830"/>
    <x v="0"/>
    <n v="5"/>
    <d v="2026-03-04T00:00:00"/>
    <n v="63.833333333333336"/>
    <n v="4.916666666666667"/>
    <x v="0"/>
    <s v="Satisfied"/>
    <s v="Resolved"/>
  </r>
  <r>
    <s v="TCK-000678"/>
    <s v="2026-03-05T02:31:12Z"/>
    <n v="1578"/>
    <x v="1"/>
    <x v="2"/>
    <x v="7"/>
    <n v="143"/>
    <n v="3208"/>
    <x v="1"/>
    <n v="5"/>
    <d v="2026-03-05T00:00:00"/>
    <n v="53.466666666666669"/>
    <n v="2.3833333333333333"/>
    <x v="2"/>
    <s v="Satisfied"/>
    <s v="Resolved"/>
  </r>
  <r>
    <s v="TCK-000679"/>
    <s v="2026-03-05T11:16:48Z"/>
    <n v="1749"/>
    <x v="1"/>
    <x v="2"/>
    <x v="3"/>
    <n v="96"/>
    <n v="2118"/>
    <x v="0"/>
    <n v="2"/>
    <d v="2026-03-05T00:00:00"/>
    <n v="35.299999999999997"/>
    <n v="1.6"/>
    <x v="0"/>
    <s v="Dissatisfied"/>
    <s v="Resolved"/>
  </r>
  <r>
    <s v="TCK-000680"/>
    <s v="2026-03-05T20:02:24Z"/>
    <n v="1062"/>
    <x v="2"/>
    <x v="2"/>
    <x v="8"/>
    <n v="124"/>
    <n v="1281"/>
    <x v="0"/>
    <m/>
    <d v="2026-03-05T00:00:00"/>
    <n v="21.35"/>
    <n v="2.0666666666666669"/>
    <x v="0"/>
    <s v="No Rating"/>
    <s v="Resolved"/>
  </r>
  <r>
    <s v="TCK-000681"/>
    <s v="2026-03-06T04:48:00Z"/>
    <n v="1379"/>
    <x v="0"/>
    <x v="2"/>
    <x v="5"/>
    <n v="166"/>
    <m/>
    <x v="2"/>
    <m/>
    <d v="2026-03-06T00:00:00"/>
    <s v=""/>
    <n v="2.7666666666666666"/>
    <x v="1"/>
    <s v="No Rating"/>
    <s v="Unresolved"/>
  </r>
  <r>
    <s v="TCK-000682"/>
    <s v="2026-03-06T13:33:36Z"/>
    <n v="1889"/>
    <x v="1"/>
    <x v="2"/>
    <x v="4"/>
    <n v="83"/>
    <n v="792"/>
    <x v="1"/>
    <n v="2"/>
    <d v="2026-03-06T00:00:00"/>
    <n v="13.2"/>
    <n v="1.3833333333333333"/>
    <x v="0"/>
    <s v="Dissatisfied"/>
    <s v="Resolved"/>
  </r>
  <r>
    <s v="TCK-000683"/>
    <s v="2026-03-06T22:19:12Z"/>
    <n v="1089"/>
    <x v="1"/>
    <x v="0"/>
    <x v="4"/>
    <n v="8"/>
    <n v="303"/>
    <x v="0"/>
    <m/>
    <d v="2026-03-06T00:00:00"/>
    <n v="5.05"/>
    <n v="0.13333333333333333"/>
    <x v="0"/>
    <s v="No Rating"/>
    <s v="Resolved"/>
  </r>
  <r>
    <s v="TCK-000684"/>
    <s v="2026-03-07T07:04:48Z"/>
    <n v="1218"/>
    <x v="2"/>
    <x v="2"/>
    <x v="8"/>
    <n v="124"/>
    <n v="838"/>
    <x v="0"/>
    <m/>
    <d v="2026-03-07T00:00:00"/>
    <n v="13.966666666666667"/>
    <n v="2.0666666666666669"/>
    <x v="0"/>
    <s v="No Rating"/>
    <s v="Resolved"/>
  </r>
  <r>
    <s v="TCK-000685"/>
    <s v="2026-03-07T15:50:24Z"/>
    <n v="1792"/>
    <x v="0"/>
    <x v="3"/>
    <x v="4"/>
    <n v="349"/>
    <n v="1431"/>
    <x v="1"/>
    <n v="5"/>
    <d v="2026-03-07T00:00:00"/>
    <n v="23.85"/>
    <n v="5.8166666666666664"/>
    <x v="0"/>
    <s v="Satisfied"/>
    <s v="Resolved"/>
  </r>
  <r>
    <s v="TCK-000686"/>
    <s v="2026-03-08T00:36:00Z"/>
    <n v="1988"/>
    <x v="2"/>
    <x v="2"/>
    <x v="1"/>
    <n v="46"/>
    <n v="3363"/>
    <x v="1"/>
    <m/>
    <d v="2026-03-08T00:00:00"/>
    <n v="56.05"/>
    <n v="0.76666666666666672"/>
    <x v="2"/>
    <s v="No Rating"/>
    <s v="Resolved"/>
  </r>
  <r>
    <s v="TCK-000687"/>
    <s v="2026-03-08T09:21:36Z"/>
    <n v="1909"/>
    <x v="1"/>
    <x v="1"/>
    <x v="5"/>
    <n v="12"/>
    <n v="819"/>
    <x v="0"/>
    <n v="3"/>
    <d v="2026-03-08T00:00:00"/>
    <n v="13.65"/>
    <n v="0.2"/>
    <x v="0"/>
    <s v="Neutral"/>
    <s v="Resolved"/>
  </r>
  <r>
    <s v="TCK-000688"/>
    <s v="2026-03-08T18:07:12Z"/>
    <n v="1730"/>
    <x v="2"/>
    <x v="2"/>
    <x v="0"/>
    <n v="71"/>
    <n v="1019"/>
    <x v="0"/>
    <m/>
    <d v="2026-03-08T00:00:00"/>
    <n v="16.983333333333334"/>
    <n v="1.1833333333333333"/>
    <x v="0"/>
    <s v="No Rating"/>
    <s v="Resolved"/>
  </r>
  <r>
    <s v="TCK-000689"/>
    <s v="2026-03-09T02:52:48Z"/>
    <n v="1630"/>
    <x v="4"/>
    <x v="2"/>
    <x v="8"/>
    <n v="69"/>
    <n v="808"/>
    <x v="0"/>
    <m/>
    <d v="2026-03-09T00:00:00"/>
    <n v="13.466666666666667"/>
    <n v="1.1499999999999999"/>
    <x v="0"/>
    <s v="No Rating"/>
    <s v="Resolved"/>
  </r>
  <r>
    <s v="TCK-000690"/>
    <s v="2026-03-09T11:38:24Z"/>
    <n v="1287"/>
    <x v="0"/>
    <x v="0"/>
    <x v="6"/>
    <n v="9"/>
    <n v="341"/>
    <x v="1"/>
    <m/>
    <d v="2026-03-09T00:00:00"/>
    <n v="5.6833333333333336"/>
    <n v="0.15"/>
    <x v="0"/>
    <s v="No Rating"/>
    <s v="Resolved"/>
  </r>
  <r>
    <s v="TCK-000691"/>
    <s v="2026-03-09T20:24:00Z"/>
    <n v="1129"/>
    <x v="2"/>
    <x v="2"/>
    <x v="1"/>
    <n v="83"/>
    <n v="1990"/>
    <x v="0"/>
    <m/>
    <d v="2026-03-09T00:00:00"/>
    <n v="33.166666666666664"/>
    <n v="1.3833333333333333"/>
    <x v="0"/>
    <s v="No Rating"/>
    <s v="Resolved"/>
  </r>
  <r>
    <s v="TCK-000692"/>
    <s v="2026-03-10T05:09:36Z"/>
    <n v="1320"/>
    <x v="2"/>
    <x v="3"/>
    <x v="8"/>
    <n v="223"/>
    <n v="1663"/>
    <x v="0"/>
    <n v="3"/>
    <d v="2026-03-10T00:00:00"/>
    <n v="27.716666666666665"/>
    <n v="3.7166666666666668"/>
    <x v="0"/>
    <s v="Neutral"/>
    <s v="Resolved"/>
  </r>
  <r>
    <s v="TCK-000693"/>
    <s v="2026-03-10T13:55:12Z"/>
    <n v="1082"/>
    <x v="3"/>
    <x v="2"/>
    <x v="2"/>
    <n v="123"/>
    <n v="978"/>
    <x v="0"/>
    <n v="2"/>
    <d v="2026-03-10T00:00:00"/>
    <n v="16.3"/>
    <n v="2.0499999999999998"/>
    <x v="0"/>
    <s v="Dissatisfied"/>
    <s v="Resolved"/>
  </r>
  <r>
    <s v="TCK-000694"/>
    <s v="2026-03-10T22:40:48Z"/>
    <n v="1972"/>
    <x v="4"/>
    <x v="2"/>
    <x v="8"/>
    <n v="36"/>
    <n v="3035"/>
    <x v="0"/>
    <n v="4"/>
    <d v="2026-03-10T00:00:00"/>
    <n v="50.583333333333336"/>
    <n v="0.6"/>
    <x v="2"/>
    <s v="Satisfied"/>
    <s v="Resolved"/>
  </r>
  <r>
    <s v="TCK-000695"/>
    <s v="2026-03-11T07:26:24Z"/>
    <n v="1350"/>
    <x v="3"/>
    <x v="1"/>
    <x v="5"/>
    <n v="22"/>
    <n v="952"/>
    <x v="0"/>
    <n v="1"/>
    <d v="2026-03-11T00:00:00"/>
    <n v="15.866666666666667"/>
    <n v="0.36666666666666664"/>
    <x v="0"/>
    <s v="Dissatisfied"/>
    <s v="Resolved"/>
  </r>
  <r>
    <s v="TCK-000696"/>
    <s v="2026-03-11T16:12:00Z"/>
    <n v="1591"/>
    <x v="1"/>
    <x v="2"/>
    <x v="8"/>
    <n v="71"/>
    <n v="2418"/>
    <x v="0"/>
    <n v="1"/>
    <d v="2026-03-11T00:00:00"/>
    <n v="40.299999999999997"/>
    <n v="1.1833333333333333"/>
    <x v="0"/>
    <s v="Dissatisfied"/>
    <s v="Resolved"/>
  </r>
  <r>
    <s v="TCK-000697"/>
    <s v="2026-03-12T00:57:36Z"/>
    <n v="1268"/>
    <x v="0"/>
    <x v="2"/>
    <x v="7"/>
    <n v="148"/>
    <n v="3115"/>
    <x v="0"/>
    <n v="4"/>
    <d v="2026-03-12T00:00:00"/>
    <n v="51.916666666666664"/>
    <n v="2.4666666666666668"/>
    <x v="2"/>
    <s v="Satisfied"/>
    <s v="Resolved"/>
  </r>
  <r>
    <s v="TCK-000698"/>
    <s v="2026-03-12T09:43:12Z"/>
    <n v="1510"/>
    <x v="2"/>
    <x v="2"/>
    <x v="1"/>
    <n v="42"/>
    <n v="2853"/>
    <x v="0"/>
    <n v="2"/>
    <d v="2026-03-12T00:00:00"/>
    <n v="47.55"/>
    <n v="0.7"/>
    <x v="0"/>
    <s v="Dissatisfied"/>
    <s v="Resolved"/>
  </r>
  <r>
    <s v="TCK-000699"/>
    <s v="2026-03-12T18:28:48Z"/>
    <n v="1294"/>
    <x v="4"/>
    <x v="3"/>
    <x v="7"/>
    <n v="290"/>
    <m/>
    <x v="2"/>
    <m/>
    <d v="2026-03-12T00:00:00"/>
    <s v=""/>
    <n v="4.833333333333333"/>
    <x v="1"/>
    <s v="No Rating"/>
    <s v="Unresolved"/>
  </r>
  <r>
    <s v="TCK-000700"/>
    <s v="2026-03-13T03:14:24Z"/>
    <n v="1780"/>
    <x v="1"/>
    <x v="2"/>
    <x v="3"/>
    <n v="165"/>
    <n v="1094"/>
    <x v="0"/>
    <n v="3"/>
    <d v="2026-03-13T00:00:00"/>
    <n v="18.233333333333334"/>
    <n v="2.75"/>
    <x v="0"/>
    <s v="Neutral"/>
    <s v="Resolved"/>
  </r>
  <r>
    <s v="TCK-000701"/>
    <s v="2026-03-13T12:00:00Z"/>
    <n v="1977"/>
    <x v="1"/>
    <x v="2"/>
    <x v="2"/>
    <n v="118"/>
    <n v="3299"/>
    <x v="0"/>
    <n v="1"/>
    <d v="2026-03-13T00:00:00"/>
    <n v="54.983333333333334"/>
    <n v="1.9666666666666666"/>
    <x v="2"/>
    <s v="Dissatisfied"/>
    <s v="Resolved"/>
  </r>
  <r>
    <s v="TCK-000702"/>
    <s v="2026-03-13T20:45:36Z"/>
    <n v="1515"/>
    <x v="4"/>
    <x v="3"/>
    <x v="4"/>
    <n v="366"/>
    <n v="3468"/>
    <x v="0"/>
    <n v="2"/>
    <d v="2026-03-13T00:00:00"/>
    <n v="57.8"/>
    <n v="6.1"/>
    <x v="0"/>
    <s v="Dissatisfied"/>
    <s v="Resolved"/>
  </r>
  <r>
    <s v="TCK-000703"/>
    <s v="2026-03-14T05:31:12Z"/>
    <n v="1668"/>
    <x v="4"/>
    <x v="1"/>
    <x v="5"/>
    <n v="45"/>
    <n v="605"/>
    <x v="0"/>
    <n v="3"/>
    <d v="2026-03-14T00:00:00"/>
    <n v="10.083333333333334"/>
    <n v="0.75"/>
    <x v="0"/>
    <s v="Neutral"/>
    <s v="Resolved"/>
  </r>
  <r>
    <s v="TCK-000704"/>
    <s v="2026-03-14T14:16:48Z"/>
    <n v="1128"/>
    <x v="2"/>
    <x v="2"/>
    <x v="4"/>
    <n v="75"/>
    <n v="492"/>
    <x v="1"/>
    <m/>
    <d v="2026-03-14T00:00:00"/>
    <n v="8.1999999999999993"/>
    <n v="1.25"/>
    <x v="0"/>
    <s v="No Rating"/>
    <s v="Resolved"/>
  </r>
  <r>
    <s v="TCK-000705"/>
    <s v="2026-03-14T23:02:24Z"/>
    <n v="1201"/>
    <x v="2"/>
    <x v="3"/>
    <x v="7"/>
    <n v="134"/>
    <m/>
    <x v="3"/>
    <m/>
    <d v="2026-03-14T00:00:00"/>
    <s v=""/>
    <n v="2.2333333333333334"/>
    <x v="1"/>
    <s v="No Rating"/>
    <s v="Unresolved"/>
  </r>
  <r>
    <s v="TCK-000706"/>
    <s v="2026-03-15T07:48:00Z"/>
    <n v="1369"/>
    <x v="4"/>
    <x v="2"/>
    <x v="1"/>
    <n v="167"/>
    <n v="2139"/>
    <x v="0"/>
    <n v="2"/>
    <d v="2026-03-15T00:00:00"/>
    <n v="35.65"/>
    <n v="2.7833333333333332"/>
    <x v="0"/>
    <s v="Dissatisfied"/>
    <s v="Resolved"/>
  </r>
  <r>
    <s v="TCK-000707"/>
    <s v="2026-03-15T16:33:36Z"/>
    <n v="1494"/>
    <x v="0"/>
    <x v="3"/>
    <x v="1"/>
    <n v="248"/>
    <n v="5603"/>
    <x v="0"/>
    <m/>
    <d v="2026-03-15T00:00:00"/>
    <n v="93.38333333333334"/>
    <n v="4.1333333333333337"/>
    <x v="2"/>
    <s v="No Rating"/>
    <s v="Resolved"/>
  </r>
  <r>
    <s v="TCK-000708"/>
    <s v="2026-03-16T01:19:12Z"/>
    <n v="1920"/>
    <x v="3"/>
    <x v="0"/>
    <x v="6"/>
    <n v="2"/>
    <n v="401"/>
    <x v="0"/>
    <n v="1"/>
    <d v="2026-03-16T00:00:00"/>
    <n v="6.6833333333333336"/>
    <n v="3.3333333333333333E-2"/>
    <x v="0"/>
    <s v="Dissatisfied"/>
    <s v="Resolved"/>
  </r>
  <r>
    <s v="TCK-000709"/>
    <s v="2026-03-16T10:04:48Z"/>
    <n v="1966"/>
    <x v="1"/>
    <x v="2"/>
    <x v="5"/>
    <n v="139"/>
    <n v="3327"/>
    <x v="1"/>
    <n v="1"/>
    <d v="2026-03-16T00:00:00"/>
    <n v="55.45"/>
    <n v="2.3166666666666669"/>
    <x v="2"/>
    <s v="Dissatisfied"/>
    <s v="Resolved"/>
  </r>
  <r>
    <s v="TCK-000710"/>
    <s v="2026-03-16T18:50:24Z"/>
    <n v="1814"/>
    <x v="3"/>
    <x v="2"/>
    <x v="7"/>
    <n v="116"/>
    <n v="2373"/>
    <x v="0"/>
    <n v="3"/>
    <d v="2026-03-16T00:00:00"/>
    <n v="39.549999999999997"/>
    <n v="1.9333333333333333"/>
    <x v="0"/>
    <s v="Neutral"/>
    <s v="Resolved"/>
  </r>
  <r>
    <s v="TCK-000711"/>
    <s v="2026-03-17T03:36:00Z"/>
    <n v="1275"/>
    <x v="1"/>
    <x v="1"/>
    <x v="8"/>
    <n v="43"/>
    <n v="1070"/>
    <x v="1"/>
    <n v="2"/>
    <d v="2026-03-17T00:00:00"/>
    <n v="17.833333333333332"/>
    <n v="0.71666666666666667"/>
    <x v="0"/>
    <s v="Dissatisfied"/>
    <s v="Resolved"/>
  </r>
  <r>
    <s v="TCK-000712"/>
    <s v="2026-03-17T12:21:36Z"/>
    <n v="1842"/>
    <x v="2"/>
    <x v="3"/>
    <x v="5"/>
    <n v="318"/>
    <m/>
    <x v="2"/>
    <m/>
    <d v="2026-03-17T00:00:00"/>
    <s v=""/>
    <n v="5.3"/>
    <x v="1"/>
    <s v="No Rating"/>
    <s v="Unresolved"/>
  </r>
  <r>
    <s v="TCK-000713"/>
    <s v="2026-03-17T21:07:12Z"/>
    <n v="1247"/>
    <x v="3"/>
    <x v="2"/>
    <x v="6"/>
    <n v="109"/>
    <n v="2862"/>
    <x v="0"/>
    <m/>
    <d v="2026-03-17T00:00:00"/>
    <n v="47.7"/>
    <n v="1.8166666666666667"/>
    <x v="0"/>
    <s v="No Rating"/>
    <s v="Resolved"/>
  </r>
  <r>
    <s v="TCK-000714"/>
    <s v="2026-03-18T05:52:48Z"/>
    <n v="1368"/>
    <x v="1"/>
    <x v="3"/>
    <x v="4"/>
    <n v="291"/>
    <n v="4183"/>
    <x v="1"/>
    <m/>
    <d v="2026-03-18T00:00:00"/>
    <n v="69.716666666666669"/>
    <n v="4.8499999999999996"/>
    <x v="0"/>
    <s v="No Rating"/>
    <s v="Resolved"/>
  </r>
  <r>
    <s v="TCK-000715"/>
    <s v="2026-03-18T14:38:24Z"/>
    <n v="1660"/>
    <x v="1"/>
    <x v="2"/>
    <x v="5"/>
    <n v="42"/>
    <n v="2589"/>
    <x v="0"/>
    <m/>
    <d v="2026-03-18T00:00:00"/>
    <n v="43.15"/>
    <n v="0.7"/>
    <x v="0"/>
    <s v="No Rating"/>
    <s v="Resolved"/>
  </r>
  <r>
    <s v="TCK-000716"/>
    <s v="2026-03-18T23:24:00Z"/>
    <n v="1495"/>
    <x v="3"/>
    <x v="3"/>
    <x v="3"/>
    <n v="330"/>
    <n v="5569"/>
    <x v="0"/>
    <n v="1"/>
    <d v="2026-03-18T00:00:00"/>
    <n v="92.816666666666663"/>
    <n v="5.5"/>
    <x v="2"/>
    <s v="Dissatisfied"/>
    <s v="Resolved"/>
  </r>
  <r>
    <s v="TCK-000717"/>
    <s v="2026-03-19T08:09:36Z"/>
    <n v="1987"/>
    <x v="2"/>
    <x v="0"/>
    <x v="6"/>
    <n v="9"/>
    <m/>
    <x v="2"/>
    <m/>
    <d v="2026-03-19T00:00:00"/>
    <s v=""/>
    <n v="0.15"/>
    <x v="1"/>
    <s v="No Rating"/>
    <s v="Unresolved"/>
  </r>
  <r>
    <s v="TCK-000718"/>
    <s v="2026-03-19T16:55:12Z"/>
    <n v="1199"/>
    <x v="2"/>
    <x v="1"/>
    <x v="6"/>
    <n v="42"/>
    <n v="1097"/>
    <x v="0"/>
    <m/>
    <d v="2026-03-19T00:00:00"/>
    <n v="18.283333333333335"/>
    <n v="0.7"/>
    <x v="0"/>
    <s v="No Rating"/>
    <s v="Resolved"/>
  </r>
  <r>
    <s v="TCK-000719"/>
    <s v="2026-03-20T01:40:48Z"/>
    <n v="1714"/>
    <x v="4"/>
    <x v="0"/>
    <x v="0"/>
    <n v="10"/>
    <n v="353"/>
    <x v="0"/>
    <m/>
    <d v="2026-03-20T00:00:00"/>
    <n v="5.8833333333333337"/>
    <n v="0.16666666666666666"/>
    <x v="0"/>
    <s v="No Rating"/>
    <s v="Resolved"/>
  </r>
  <r>
    <s v="TCK-000720"/>
    <s v="2026-03-20T10:26:24Z"/>
    <n v="1033"/>
    <x v="3"/>
    <x v="2"/>
    <x v="3"/>
    <n v="146"/>
    <m/>
    <x v="2"/>
    <m/>
    <d v="2026-03-20T00:00:00"/>
    <s v=""/>
    <n v="2.4333333333333331"/>
    <x v="1"/>
    <s v="No Rating"/>
    <s v="Unresolved"/>
  </r>
  <r>
    <s v="TCK-000721"/>
    <s v="2026-03-20T19:12:00Z"/>
    <n v="1062"/>
    <x v="2"/>
    <x v="2"/>
    <x v="3"/>
    <n v="76"/>
    <n v="1285"/>
    <x v="0"/>
    <m/>
    <d v="2026-03-20T00:00:00"/>
    <n v="21.416666666666668"/>
    <n v="1.2666666666666666"/>
    <x v="0"/>
    <s v="No Rating"/>
    <s v="Resolved"/>
  </r>
  <r>
    <s v="TCK-000722"/>
    <s v="2026-03-21T03:57:36Z"/>
    <n v="1456"/>
    <x v="4"/>
    <x v="3"/>
    <x v="5"/>
    <n v="358"/>
    <n v="1877"/>
    <x v="0"/>
    <m/>
    <d v="2026-03-21T00:00:00"/>
    <n v="31.283333333333335"/>
    <n v="5.9666666666666668"/>
    <x v="0"/>
    <s v="No Rating"/>
    <s v="Resolved"/>
  </r>
  <r>
    <s v="TCK-000723"/>
    <s v="2026-03-21T12:43:12Z"/>
    <n v="1600"/>
    <x v="3"/>
    <x v="3"/>
    <x v="4"/>
    <n v="238"/>
    <n v="4425"/>
    <x v="1"/>
    <m/>
    <d v="2026-03-21T00:00:00"/>
    <n v="73.75"/>
    <n v="3.9666666666666668"/>
    <x v="2"/>
    <s v="No Rating"/>
    <s v="Resolved"/>
  </r>
  <r>
    <s v="TCK-000724"/>
    <s v="2026-03-21T21:28:48Z"/>
    <n v="1248"/>
    <x v="0"/>
    <x v="2"/>
    <x v="4"/>
    <n v="91"/>
    <n v="889"/>
    <x v="0"/>
    <n v="5"/>
    <d v="2026-03-21T00:00:00"/>
    <n v="14.816666666666666"/>
    <n v="1.5166666666666666"/>
    <x v="0"/>
    <s v="Satisfied"/>
    <s v="Resolved"/>
  </r>
  <r>
    <s v="TCK-000725"/>
    <s v="2026-03-22T06:14:24Z"/>
    <n v="1651"/>
    <x v="1"/>
    <x v="1"/>
    <x v="7"/>
    <n v="36"/>
    <n v="1033"/>
    <x v="0"/>
    <n v="4"/>
    <d v="2026-03-22T00:00:00"/>
    <n v="17.216666666666665"/>
    <n v="0.6"/>
    <x v="0"/>
    <s v="Satisfied"/>
    <s v="Resolved"/>
  </r>
  <r>
    <s v="TCK-000726"/>
    <s v="2026-03-22T15:00:00Z"/>
    <n v="1079"/>
    <x v="2"/>
    <x v="3"/>
    <x v="1"/>
    <n v="159"/>
    <m/>
    <x v="2"/>
    <m/>
    <d v="2026-03-22T00:00:00"/>
    <s v=""/>
    <n v="2.65"/>
    <x v="1"/>
    <s v="No Rating"/>
    <s v="Unresolved"/>
  </r>
  <r>
    <s v="TCK-000727"/>
    <s v="2026-03-22T23:45:36Z"/>
    <n v="1663"/>
    <x v="4"/>
    <x v="3"/>
    <x v="7"/>
    <n v="398"/>
    <m/>
    <x v="2"/>
    <m/>
    <d v="2026-03-22T00:00:00"/>
    <s v=""/>
    <n v="6.6333333333333337"/>
    <x v="1"/>
    <s v="No Rating"/>
    <s v="Unresolved"/>
  </r>
  <r>
    <s v="TCK-000728"/>
    <s v="2026-03-23T08:31:12Z"/>
    <n v="1447"/>
    <x v="3"/>
    <x v="3"/>
    <x v="4"/>
    <n v="406"/>
    <n v="1275"/>
    <x v="0"/>
    <n v="4"/>
    <d v="2026-03-23T00:00:00"/>
    <n v="21.25"/>
    <n v="6.7666666666666666"/>
    <x v="0"/>
    <s v="Satisfied"/>
    <s v="Resolved"/>
  </r>
  <r>
    <s v="TCK-000729"/>
    <s v="2026-03-23T17:16:48Z"/>
    <n v="1200"/>
    <x v="4"/>
    <x v="0"/>
    <x v="6"/>
    <n v="10"/>
    <n v="91"/>
    <x v="0"/>
    <m/>
    <d v="2026-03-23T00:00:00"/>
    <n v="1.5166666666666666"/>
    <n v="0.16666666666666666"/>
    <x v="0"/>
    <s v="No Rating"/>
    <s v="Resolved"/>
  </r>
  <r>
    <s v="TCK-000730"/>
    <s v="2026-03-24T02:02:24Z"/>
    <n v="1564"/>
    <x v="2"/>
    <x v="2"/>
    <x v="5"/>
    <n v="64"/>
    <n v="1008"/>
    <x v="1"/>
    <n v="4"/>
    <d v="2026-03-24T00:00:00"/>
    <n v="16.8"/>
    <n v="1.0666666666666667"/>
    <x v="0"/>
    <s v="Satisfied"/>
    <s v="Resolved"/>
  </r>
  <r>
    <s v="TCK-000731"/>
    <s v="2026-03-24T10:48:00Z"/>
    <n v="1679"/>
    <x v="2"/>
    <x v="2"/>
    <x v="3"/>
    <n v="38"/>
    <n v="763"/>
    <x v="1"/>
    <m/>
    <d v="2026-03-24T00:00:00"/>
    <n v="12.716666666666667"/>
    <n v="0.6333333333333333"/>
    <x v="0"/>
    <s v="No Rating"/>
    <s v="Resolved"/>
  </r>
  <r>
    <s v="TCK-000732"/>
    <s v="2026-03-24T19:33:36Z"/>
    <n v="1881"/>
    <x v="4"/>
    <x v="1"/>
    <x v="3"/>
    <n v="49"/>
    <n v="1253"/>
    <x v="0"/>
    <m/>
    <d v="2026-03-24T00:00:00"/>
    <n v="20.883333333333333"/>
    <n v="0.81666666666666665"/>
    <x v="0"/>
    <s v="No Rating"/>
    <s v="Resolved"/>
  </r>
  <r>
    <s v="TCK-000733"/>
    <s v="2026-03-25T04:19:12Z"/>
    <n v="1803"/>
    <x v="0"/>
    <x v="2"/>
    <x v="0"/>
    <n v="165"/>
    <n v="1957"/>
    <x v="0"/>
    <n v="2"/>
    <d v="2026-03-25T00:00:00"/>
    <n v="32.616666666666667"/>
    <n v="2.75"/>
    <x v="0"/>
    <s v="Dissatisfied"/>
    <s v="Resolved"/>
  </r>
  <r>
    <s v="TCK-000734"/>
    <s v="2026-03-25T13:04:48Z"/>
    <n v="1319"/>
    <x v="2"/>
    <x v="3"/>
    <x v="4"/>
    <n v="358"/>
    <n v="2234"/>
    <x v="0"/>
    <n v="4"/>
    <d v="2026-03-25T00:00:00"/>
    <n v="37.233333333333334"/>
    <n v="5.9666666666666668"/>
    <x v="0"/>
    <s v="Satisfied"/>
    <s v="Resolved"/>
  </r>
  <r>
    <s v="TCK-000735"/>
    <s v="2026-03-25T21:50:24Z"/>
    <n v="1570"/>
    <x v="1"/>
    <x v="2"/>
    <x v="7"/>
    <n v="93"/>
    <n v="582"/>
    <x v="0"/>
    <n v="1"/>
    <d v="2026-03-25T00:00:00"/>
    <n v="9.6999999999999993"/>
    <n v="1.55"/>
    <x v="0"/>
    <s v="Dissatisfied"/>
    <s v="Resolved"/>
  </r>
  <r>
    <s v="TCK-000736"/>
    <s v="2026-03-26T06:36:00Z"/>
    <n v="1583"/>
    <x v="2"/>
    <x v="2"/>
    <x v="6"/>
    <n v="54"/>
    <n v="938"/>
    <x v="0"/>
    <m/>
    <d v="2026-03-26T00:00:00"/>
    <n v="15.633333333333333"/>
    <n v="0.9"/>
    <x v="0"/>
    <s v="No Rating"/>
    <s v="Resolved"/>
  </r>
  <r>
    <s v="TCK-000737"/>
    <s v="2026-03-26T15:21:36Z"/>
    <n v="1689"/>
    <x v="1"/>
    <x v="2"/>
    <x v="8"/>
    <n v="56"/>
    <n v="1785"/>
    <x v="0"/>
    <m/>
    <d v="2026-03-26T00:00:00"/>
    <n v="29.75"/>
    <n v="0.93333333333333335"/>
    <x v="0"/>
    <s v="No Rating"/>
    <s v="Resolved"/>
  </r>
  <r>
    <s v="TCK-000738"/>
    <s v="2026-03-27T00:07:12Z"/>
    <n v="1590"/>
    <x v="1"/>
    <x v="2"/>
    <x v="4"/>
    <n v="128"/>
    <m/>
    <x v="2"/>
    <m/>
    <d v="2026-03-27T00:00:00"/>
    <s v=""/>
    <n v="2.1333333333333333"/>
    <x v="1"/>
    <s v="No Rating"/>
    <s v="Unresolved"/>
  </r>
  <r>
    <s v="TCK-000739"/>
    <s v="2026-03-27T08:52:48Z"/>
    <n v="1324"/>
    <x v="3"/>
    <x v="3"/>
    <x v="0"/>
    <n v="400"/>
    <n v="2399"/>
    <x v="0"/>
    <m/>
    <d v="2026-03-27T00:00:00"/>
    <n v="39.983333333333334"/>
    <n v="6.666666666666667"/>
    <x v="0"/>
    <s v="No Rating"/>
    <s v="Resolved"/>
  </r>
  <r>
    <s v="TCK-000740"/>
    <s v="2026-03-27T17:38:24Z"/>
    <n v="1679"/>
    <x v="0"/>
    <x v="2"/>
    <x v="5"/>
    <n v="31"/>
    <n v="411"/>
    <x v="1"/>
    <n v="4"/>
    <d v="2026-03-27T00:00:00"/>
    <n v="6.85"/>
    <n v="0.51666666666666672"/>
    <x v="0"/>
    <s v="Satisfied"/>
    <s v="Resolved"/>
  </r>
  <r>
    <s v="TCK-000741"/>
    <s v="2026-03-28T02:24:00Z"/>
    <n v="1888"/>
    <x v="3"/>
    <x v="3"/>
    <x v="0"/>
    <n v="235"/>
    <m/>
    <x v="3"/>
    <m/>
    <d v="2026-03-28T00:00:00"/>
    <s v=""/>
    <n v="3.9166666666666665"/>
    <x v="1"/>
    <s v="No Rating"/>
    <s v="Unresolved"/>
  </r>
  <r>
    <s v="TCK-000742"/>
    <s v="2026-03-28T11:09:36Z"/>
    <n v="1330"/>
    <x v="1"/>
    <x v="3"/>
    <x v="4"/>
    <n v="459"/>
    <n v="1410"/>
    <x v="0"/>
    <m/>
    <d v="2026-03-28T00:00:00"/>
    <n v="23.5"/>
    <n v="7.65"/>
    <x v="0"/>
    <s v="No Rating"/>
    <s v="Resolved"/>
  </r>
  <r>
    <s v="TCK-000743"/>
    <s v="2026-03-28T19:55:12Z"/>
    <n v="1527"/>
    <x v="0"/>
    <x v="1"/>
    <x v="0"/>
    <n v="11"/>
    <n v="212"/>
    <x v="0"/>
    <m/>
    <d v="2026-03-28T00:00:00"/>
    <n v="3.5333333333333332"/>
    <n v="0.18333333333333332"/>
    <x v="0"/>
    <s v="No Rating"/>
    <s v="Resolved"/>
  </r>
  <r>
    <s v="TCK-000744"/>
    <s v="2026-03-29T04:40:48Z"/>
    <n v="1330"/>
    <x v="4"/>
    <x v="2"/>
    <x v="7"/>
    <n v="56"/>
    <n v="1951"/>
    <x v="0"/>
    <m/>
    <d v="2026-03-29T00:00:00"/>
    <n v="32.516666666666666"/>
    <n v="0.93333333333333335"/>
    <x v="0"/>
    <s v="No Rating"/>
    <s v="Resolved"/>
  </r>
  <r>
    <s v="TCK-000745"/>
    <s v="2026-03-29T13:26:24Z"/>
    <n v="1748"/>
    <x v="3"/>
    <x v="3"/>
    <x v="3"/>
    <n v="423"/>
    <n v="6143"/>
    <x v="1"/>
    <m/>
    <d v="2026-03-29T00:00:00"/>
    <n v="102.38333333333334"/>
    <n v="7.05"/>
    <x v="2"/>
    <s v="No Rating"/>
    <s v="Resolved"/>
  </r>
  <r>
    <s v="TCK-000746"/>
    <s v="2026-03-29T22:12:00Z"/>
    <n v="1287"/>
    <x v="0"/>
    <x v="2"/>
    <x v="4"/>
    <n v="99"/>
    <n v="1220"/>
    <x v="0"/>
    <m/>
    <d v="2026-03-29T00:00:00"/>
    <n v="20.333333333333332"/>
    <n v="1.65"/>
    <x v="0"/>
    <s v="No Rating"/>
    <s v="Resolved"/>
  </r>
  <r>
    <s v="TCK-000747"/>
    <s v="2026-03-30T06:57:36Z"/>
    <n v="1366"/>
    <x v="2"/>
    <x v="2"/>
    <x v="0"/>
    <n v="106"/>
    <n v="1601"/>
    <x v="1"/>
    <n v="2"/>
    <d v="2026-03-30T00:00:00"/>
    <n v="26.683333333333334"/>
    <n v="1.7666666666666666"/>
    <x v="0"/>
    <s v="Dissatisfied"/>
    <s v="Resolved"/>
  </r>
  <r>
    <s v="TCK-000748"/>
    <s v="2026-03-30T15:43:12Z"/>
    <n v="1615"/>
    <x v="1"/>
    <x v="2"/>
    <x v="5"/>
    <n v="100"/>
    <n v="593"/>
    <x v="1"/>
    <m/>
    <d v="2026-03-30T00:00:00"/>
    <n v="9.8833333333333329"/>
    <n v="1.6666666666666667"/>
    <x v="0"/>
    <s v="No Rating"/>
    <s v="Resolved"/>
  </r>
  <r>
    <s v="TCK-000749"/>
    <s v="2026-03-31T00:28:48Z"/>
    <n v="1926"/>
    <x v="4"/>
    <x v="2"/>
    <x v="4"/>
    <n v="152"/>
    <n v="1692"/>
    <x v="1"/>
    <n v="2"/>
    <d v="2026-03-31T00:00:00"/>
    <n v="28.2"/>
    <n v="2.5333333333333332"/>
    <x v="0"/>
    <s v="Dissatisfied"/>
    <s v="Resolved"/>
  </r>
  <r>
    <s v="TCK-000750"/>
    <s v="2026-03-31T09:14:24Z"/>
    <n v="1250"/>
    <x v="1"/>
    <x v="3"/>
    <x v="6"/>
    <n v="76"/>
    <n v="5527"/>
    <x v="1"/>
    <n v="4"/>
    <d v="2026-03-31T00:00:00"/>
    <n v="92.11666666666666"/>
    <n v="1.2666666666666666"/>
    <x v="2"/>
    <s v="Satisfied"/>
    <s v="Resolved"/>
  </r>
  <r>
    <s v="TCK-000751"/>
    <s v="2026-03-31T18:00:00Z"/>
    <n v="1631"/>
    <x v="2"/>
    <x v="2"/>
    <x v="6"/>
    <n v="67"/>
    <n v="2669"/>
    <x v="0"/>
    <n v="2"/>
    <d v="2026-03-31T00:00:00"/>
    <n v="44.483333333333334"/>
    <n v="1.1166666666666667"/>
    <x v="0"/>
    <s v="Dissatisfied"/>
    <s v="Resolved"/>
  </r>
  <r>
    <s v="TCK-000752"/>
    <s v="2026-04-01T02:45:36Z"/>
    <n v="1610"/>
    <x v="4"/>
    <x v="3"/>
    <x v="2"/>
    <n v="406"/>
    <n v="8492"/>
    <x v="0"/>
    <n v="4"/>
    <d v="2026-04-01T00:00:00"/>
    <n v="141.53333333333333"/>
    <n v="6.7666666666666666"/>
    <x v="2"/>
    <s v="Satisfied"/>
    <s v="Resolved"/>
  </r>
  <r>
    <s v="TCK-000753"/>
    <s v="2026-04-01T11:31:12Z"/>
    <n v="1217"/>
    <x v="4"/>
    <x v="2"/>
    <x v="0"/>
    <n v="97"/>
    <n v="1152"/>
    <x v="0"/>
    <n v="1"/>
    <d v="2026-04-01T00:00:00"/>
    <n v="19.2"/>
    <n v="1.6166666666666667"/>
    <x v="0"/>
    <s v="Dissatisfied"/>
    <s v="Resolved"/>
  </r>
  <r>
    <s v="TCK-000754"/>
    <s v="2026-04-01T20:16:48Z"/>
    <n v="1724"/>
    <x v="4"/>
    <x v="2"/>
    <x v="5"/>
    <n v="74"/>
    <m/>
    <x v="2"/>
    <m/>
    <d v="2026-04-01T00:00:00"/>
    <s v=""/>
    <n v="1.2333333333333334"/>
    <x v="1"/>
    <s v="No Rating"/>
    <s v="Unresolved"/>
  </r>
  <r>
    <s v="TCK-000755"/>
    <s v="2026-04-02T05:02:24Z"/>
    <n v="1494"/>
    <x v="0"/>
    <x v="2"/>
    <x v="6"/>
    <n v="101"/>
    <n v="1924"/>
    <x v="0"/>
    <n v="4"/>
    <d v="2026-04-02T00:00:00"/>
    <n v="32.06666666666667"/>
    <n v="1.6833333333333333"/>
    <x v="0"/>
    <s v="Satisfied"/>
    <s v="Resolved"/>
  </r>
  <r>
    <s v="TCK-000756"/>
    <s v="2026-04-02T13:48:00Z"/>
    <n v="1605"/>
    <x v="3"/>
    <x v="0"/>
    <x v="6"/>
    <n v="6"/>
    <n v="196"/>
    <x v="0"/>
    <n v="5"/>
    <d v="2026-04-02T00:00:00"/>
    <n v="3.2666666666666666"/>
    <n v="0.1"/>
    <x v="0"/>
    <s v="Satisfied"/>
    <s v="Resolved"/>
  </r>
  <r>
    <s v="TCK-000757"/>
    <s v="2026-04-02T22:33:36Z"/>
    <n v="1038"/>
    <x v="4"/>
    <x v="1"/>
    <x v="8"/>
    <n v="46"/>
    <n v="416"/>
    <x v="1"/>
    <n v="1"/>
    <d v="2026-04-02T00:00:00"/>
    <n v="6.9333333333333336"/>
    <n v="0.76666666666666672"/>
    <x v="0"/>
    <s v="Dissatisfied"/>
    <s v="Resolved"/>
  </r>
  <r>
    <s v="TCK-000758"/>
    <s v="2026-04-03T07:19:12Z"/>
    <n v="1504"/>
    <x v="4"/>
    <x v="2"/>
    <x v="0"/>
    <n v="177"/>
    <n v="3178"/>
    <x v="1"/>
    <n v="3"/>
    <d v="2026-04-03T00:00:00"/>
    <n v="52.966666666666669"/>
    <n v="2.95"/>
    <x v="2"/>
    <s v="Neutral"/>
    <s v="Resolved"/>
  </r>
  <r>
    <s v="TCK-000759"/>
    <s v="2026-04-03T16:04:48Z"/>
    <n v="1053"/>
    <x v="0"/>
    <x v="2"/>
    <x v="0"/>
    <n v="135"/>
    <n v="2758"/>
    <x v="1"/>
    <n v="5"/>
    <d v="2026-04-03T00:00:00"/>
    <n v="45.966666666666669"/>
    <n v="2.25"/>
    <x v="0"/>
    <s v="Satisfied"/>
    <s v="Resolved"/>
  </r>
  <r>
    <s v="TCK-000760"/>
    <s v="2026-04-04T00:50:24Z"/>
    <n v="1331"/>
    <x v="2"/>
    <x v="2"/>
    <x v="3"/>
    <n v="126"/>
    <n v="2874"/>
    <x v="0"/>
    <n v="4"/>
    <d v="2026-04-04T00:00:00"/>
    <n v="47.9"/>
    <n v="2.1"/>
    <x v="0"/>
    <s v="Satisfied"/>
    <s v="Resolved"/>
  </r>
  <r>
    <s v="TCK-000761"/>
    <s v="2026-04-04T09:36:00Z"/>
    <n v="1593"/>
    <x v="0"/>
    <x v="1"/>
    <x v="1"/>
    <n v="33"/>
    <m/>
    <x v="3"/>
    <m/>
    <d v="2026-04-04T00:00:00"/>
    <s v=""/>
    <n v="0.55000000000000004"/>
    <x v="1"/>
    <s v="No Rating"/>
    <s v="Unresolved"/>
  </r>
  <r>
    <s v="TCK-000762"/>
    <s v="2026-04-04T18:21:36Z"/>
    <n v="1397"/>
    <x v="4"/>
    <x v="0"/>
    <x v="2"/>
    <n v="7"/>
    <n v="98"/>
    <x v="0"/>
    <n v="2"/>
    <d v="2026-04-04T00:00:00"/>
    <n v="1.6333333333333333"/>
    <n v="0.11666666666666667"/>
    <x v="0"/>
    <s v="Dissatisfied"/>
    <s v="Resolved"/>
  </r>
  <r>
    <s v="TCK-000763"/>
    <s v="2026-04-05T03:07:12Z"/>
    <n v="1796"/>
    <x v="2"/>
    <x v="2"/>
    <x v="5"/>
    <n v="80"/>
    <m/>
    <x v="2"/>
    <m/>
    <d v="2026-04-05T00:00:00"/>
    <s v=""/>
    <n v="1.3333333333333333"/>
    <x v="1"/>
    <s v="No Rating"/>
    <s v="Unresolved"/>
  </r>
  <r>
    <s v="TCK-000764"/>
    <s v="2026-04-05T11:52:48Z"/>
    <n v="1203"/>
    <x v="1"/>
    <x v="1"/>
    <x v="8"/>
    <n v="22"/>
    <m/>
    <x v="2"/>
    <m/>
    <d v="2026-04-05T00:00:00"/>
    <s v=""/>
    <n v="0.36666666666666664"/>
    <x v="1"/>
    <s v="No Rating"/>
    <s v="Unresolved"/>
  </r>
  <r>
    <s v="TCK-000765"/>
    <s v="2026-04-05T20:38:24Z"/>
    <n v="1075"/>
    <x v="1"/>
    <x v="1"/>
    <x v="8"/>
    <n v="26"/>
    <m/>
    <x v="3"/>
    <m/>
    <d v="2026-04-05T00:00:00"/>
    <s v=""/>
    <n v="0.43333333333333335"/>
    <x v="1"/>
    <s v="No Rating"/>
    <s v="Unresolved"/>
  </r>
  <r>
    <s v="TCK-000766"/>
    <s v="2026-04-06T05:24:00Z"/>
    <n v="1174"/>
    <x v="2"/>
    <x v="0"/>
    <x v="3"/>
    <n v="2"/>
    <n v="177"/>
    <x v="1"/>
    <n v="3"/>
    <d v="2026-04-06T00:00:00"/>
    <n v="2.95"/>
    <n v="3.3333333333333333E-2"/>
    <x v="0"/>
    <s v="Neutral"/>
    <s v="Resolved"/>
  </r>
  <r>
    <s v="TCK-000767"/>
    <s v="2026-04-06T14:09:36Z"/>
    <n v="1997"/>
    <x v="3"/>
    <x v="2"/>
    <x v="0"/>
    <n v="88"/>
    <n v="2308"/>
    <x v="1"/>
    <n v="1"/>
    <d v="2026-04-06T00:00:00"/>
    <n v="38.466666666666669"/>
    <n v="1.4666666666666666"/>
    <x v="0"/>
    <s v="Dissatisfied"/>
    <s v="Resolved"/>
  </r>
  <r>
    <s v="TCK-000768"/>
    <s v="2026-04-06T22:55:12Z"/>
    <n v="1381"/>
    <x v="3"/>
    <x v="2"/>
    <x v="4"/>
    <n v="115"/>
    <n v="2881"/>
    <x v="0"/>
    <n v="4"/>
    <d v="2026-04-06T00:00:00"/>
    <n v="48.016666666666666"/>
    <n v="1.9166666666666667"/>
    <x v="2"/>
    <s v="Satisfied"/>
    <s v="Resolved"/>
  </r>
  <r>
    <s v="TCK-000769"/>
    <s v="2026-04-07T07:40:48Z"/>
    <n v="1033"/>
    <x v="4"/>
    <x v="2"/>
    <x v="8"/>
    <n v="57"/>
    <m/>
    <x v="3"/>
    <m/>
    <d v="2026-04-07T00:00:00"/>
    <s v=""/>
    <n v="0.95"/>
    <x v="1"/>
    <s v="No Rating"/>
    <s v="Unresolved"/>
  </r>
  <r>
    <s v="TCK-000770"/>
    <s v="2026-04-07T16:26:24Z"/>
    <n v="1228"/>
    <x v="4"/>
    <x v="0"/>
    <x v="0"/>
    <n v="7"/>
    <n v="177"/>
    <x v="1"/>
    <m/>
    <d v="2026-04-07T00:00:00"/>
    <n v="2.95"/>
    <n v="0.11666666666666667"/>
    <x v="0"/>
    <s v="No Rating"/>
    <s v="Resolved"/>
  </r>
  <r>
    <s v="TCK-000771"/>
    <s v="2026-04-08T01:12:00Z"/>
    <n v="1386"/>
    <x v="2"/>
    <x v="2"/>
    <x v="3"/>
    <n v="44"/>
    <n v="2297"/>
    <x v="0"/>
    <n v="2"/>
    <d v="2026-04-08T00:00:00"/>
    <n v="38.283333333333331"/>
    <n v="0.73333333333333328"/>
    <x v="0"/>
    <s v="Dissatisfied"/>
    <s v="Resolved"/>
  </r>
  <r>
    <s v="TCK-000772"/>
    <s v="2026-04-08T09:57:36Z"/>
    <n v="1930"/>
    <x v="0"/>
    <x v="0"/>
    <x v="2"/>
    <n v="10"/>
    <n v="374"/>
    <x v="1"/>
    <n v="1"/>
    <d v="2026-04-08T00:00:00"/>
    <n v="6.2333333333333334"/>
    <n v="0.16666666666666666"/>
    <x v="0"/>
    <s v="Dissatisfied"/>
    <s v="Resolved"/>
  </r>
  <r>
    <s v="TCK-000773"/>
    <s v="2026-04-08T18:43:12Z"/>
    <n v="1963"/>
    <x v="0"/>
    <x v="0"/>
    <x v="2"/>
    <n v="6"/>
    <n v="258"/>
    <x v="0"/>
    <n v="2"/>
    <d v="2026-04-08T00:00:00"/>
    <n v="4.3"/>
    <n v="0.1"/>
    <x v="0"/>
    <s v="Dissatisfied"/>
    <s v="Resolved"/>
  </r>
  <r>
    <s v="TCK-000774"/>
    <s v="2026-04-09T03:28:48Z"/>
    <n v="1089"/>
    <x v="3"/>
    <x v="0"/>
    <x v="0"/>
    <n v="9"/>
    <m/>
    <x v="2"/>
    <m/>
    <d v="2026-04-09T00:00:00"/>
    <s v=""/>
    <n v="0.15"/>
    <x v="1"/>
    <s v="No Rating"/>
    <s v="Unresolved"/>
  </r>
  <r>
    <s v="TCK-000775"/>
    <s v="2026-04-09T12:14:24Z"/>
    <n v="1126"/>
    <x v="0"/>
    <x v="0"/>
    <x v="3"/>
    <n v="11"/>
    <n v="358"/>
    <x v="0"/>
    <m/>
    <d v="2026-04-09T00:00:00"/>
    <n v="5.9666666666666668"/>
    <n v="0.18333333333333332"/>
    <x v="0"/>
    <s v="No Rating"/>
    <s v="Resolved"/>
  </r>
  <r>
    <s v="TCK-000776"/>
    <s v="2026-04-09T21:00:00Z"/>
    <n v="1617"/>
    <x v="2"/>
    <x v="0"/>
    <x v="4"/>
    <n v="9"/>
    <n v="133"/>
    <x v="0"/>
    <n v="4"/>
    <d v="2026-04-09T00:00:00"/>
    <n v="2.2166666666666668"/>
    <n v="0.15"/>
    <x v="0"/>
    <s v="Satisfied"/>
    <s v="Resolved"/>
  </r>
  <r>
    <s v="TCK-000777"/>
    <s v="2026-04-10T05:45:36Z"/>
    <n v="1648"/>
    <x v="3"/>
    <x v="0"/>
    <x v="0"/>
    <n v="8"/>
    <m/>
    <x v="2"/>
    <m/>
    <d v="2026-04-10T00:00:00"/>
    <s v=""/>
    <n v="0.13333333333333333"/>
    <x v="1"/>
    <s v="No Rating"/>
    <s v="Unresolved"/>
  </r>
  <r>
    <s v="TCK-000778"/>
    <s v="2026-04-10T14:31:12Z"/>
    <n v="1910"/>
    <x v="4"/>
    <x v="2"/>
    <x v="2"/>
    <n v="161"/>
    <n v="791"/>
    <x v="0"/>
    <n v="3"/>
    <d v="2026-04-10T00:00:00"/>
    <n v="13.183333333333334"/>
    <n v="2.6833333333333331"/>
    <x v="0"/>
    <s v="Neutral"/>
    <s v="Resolved"/>
  </r>
  <r>
    <s v="TCK-000779"/>
    <s v="2026-04-10T23:16:48Z"/>
    <n v="1095"/>
    <x v="4"/>
    <x v="0"/>
    <x v="1"/>
    <n v="4"/>
    <n v="343"/>
    <x v="1"/>
    <n v="1"/>
    <d v="2026-04-10T00:00:00"/>
    <n v="5.7166666666666668"/>
    <n v="6.6666666666666666E-2"/>
    <x v="0"/>
    <s v="Dissatisfied"/>
    <s v="Resolved"/>
  </r>
  <r>
    <s v="TCK-000780"/>
    <s v="2026-04-11T08:02:24Z"/>
    <n v="1927"/>
    <x v="1"/>
    <x v="2"/>
    <x v="0"/>
    <n v="128"/>
    <n v="2119"/>
    <x v="1"/>
    <n v="5"/>
    <d v="2026-04-11T00:00:00"/>
    <n v="35.31666666666667"/>
    <n v="2.1333333333333333"/>
    <x v="0"/>
    <s v="Satisfied"/>
    <s v="Resolved"/>
  </r>
  <r>
    <s v="TCK-000781"/>
    <s v="2026-04-11T16:48:00Z"/>
    <n v="1422"/>
    <x v="3"/>
    <x v="0"/>
    <x v="0"/>
    <n v="8"/>
    <n v="353"/>
    <x v="1"/>
    <m/>
    <d v="2026-04-11T00:00:00"/>
    <n v="5.8833333333333337"/>
    <n v="0.13333333333333333"/>
    <x v="0"/>
    <s v="No Rating"/>
    <s v="Resolved"/>
  </r>
  <r>
    <s v="TCK-000782"/>
    <s v="2026-04-12T01:33:36Z"/>
    <n v="1273"/>
    <x v="3"/>
    <x v="2"/>
    <x v="8"/>
    <n v="78"/>
    <n v="994"/>
    <x v="0"/>
    <n v="1"/>
    <d v="2026-04-12T00:00:00"/>
    <n v="16.566666666666666"/>
    <n v="1.3"/>
    <x v="0"/>
    <s v="Dissatisfied"/>
    <s v="Resolved"/>
  </r>
  <r>
    <s v="TCK-000783"/>
    <s v="2026-04-12T10:19:12Z"/>
    <n v="1208"/>
    <x v="3"/>
    <x v="3"/>
    <x v="0"/>
    <n v="282"/>
    <n v="7668"/>
    <x v="0"/>
    <m/>
    <d v="2026-04-12T00:00:00"/>
    <n v="127.8"/>
    <n v="4.7"/>
    <x v="2"/>
    <s v="No Rating"/>
    <s v="Resolved"/>
  </r>
  <r>
    <s v="TCK-000784"/>
    <s v="2026-04-12T19:04:48Z"/>
    <n v="1833"/>
    <x v="3"/>
    <x v="0"/>
    <x v="6"/>
    <n v="9"/>
    <n v="252"/>
    <x v="1"/>
    <n v="1"/>
    <d v="2026-04-12T00:00:00"/>
    <n v="4.2"/>
    <n v="0.15"/>
    <x v="0"/>
    <s v="Dissatisfied"/>
    <s v="Resolved"/>
  </r>
  <r>
    <s v="TCK-000785"/>
    <s v="2026-04-13T03:50:24Z"/>
    <n v="1148"/>
    <x v="0"/>
    <x v="0"/>
    <x v="5"/>
    <n v="11"/>
    <m/>
    <x v="2"/>
    <m/>
    <d v="2026-04-13T00:00:00"/>
    <s v=""/>
    <n v="0.18333333333333332"/>
    <x v="1"/>
    <s v="No Rating"/>
    <s v="Unresolved"/>
  </r>
  <r>
    <s v="TCK-000786"/>
    <s v="2026-04-13T12:36:00Z"/>
    <n v="1526"/>
    <x v="4"/>
    <x v="2"/>
    <x v="7"/>
    <n v="118"/>
    <n v="3101"/>
    <x v="0"/>
    <m/>
    <d v="2026-04-13T00:00:00"/>
    <n v="51.68333333333333"/>
    <n v="1.9666666666666666"/>
    <x v="2"/>
    <s v="No Rating"/>
    <s v="Resolved"/>
  </r>
  <r>
    <s v="TCK-000787"/>
    <s v="2026-04-13T21:21:36Z"/>
    <n v="1405"/>
    <x v="0"/>
    <x v="0"/>
    <x v="8"/>
    <n v="8"/>
    <n v="144"/>
    <x v="1"/>
    <n v="4"/>
    <d v="2026-04-13T00:00:00"/>
    <n v="2.4"/>
    <n v="0.13333333333333333"/>
    <x v="0"/>
    <s v="Satisfied"/>
    <s v="Resolved"/>
  </r>
  <r>
    <s v="TCK-000788"/>
    <s v="2026-04-14T06:07:12Z"/>
    <n v="1311"/>
    <x v="1"/>
    <x v="0"/>
    <x v="4"/>
    <n v="8"/>
    <n v="226"/>
    <x v="0"/>
    <n v="5"/>
    <d v="2026-04-14T00:00:00"/>
    <n v="3.7666666666666666"/>
    <n v="0.13333333333333333"/>
    <x v="0"/>
    <s v="Satisfied"/>
    <s v="Resolved"/>
  </r>
  <r>
    <s v="TCK-000789"/>
    <s v="2026-04-14T14:52:48Z"/>
    <n v="1950"/>
    <x v="2"/>
    <x v="2"/>
    <x v="6"/>
    <n v="52"/>
    <n v="2398"/>
    <x v="1"/>
    <n v="5"/>
    <d v="2026-04-14T00:00:00"/>
    <n v="39.966666666666669"/>
    <n v="0.8666666666666667"/>
    <x v="0"/>
    <s v="Satisfied"/>
    <s v="Resolved"/>
  </r>
  <r>
    <s v="TCK-000790"/>
    <s v="2026-04-14T23:38:24Z"/>
    <n v="1777"/>
    <x v="4"/>
    <x v="2"/>
    <x v="5"/>
    <n v="117"/>
    <n v="1364"/>
    <x v="1"/>
    <m/>
    <d v="2026-04-14T00:00:00"/>
    <n v="22.733333333333334"/>
    <n v="1.95"/>
    <x v="0"/>
    <s v="No Rating"/>
    <s v="Resolved"/>
  </r>
  <r>
    <s v="TCK-000791"/>
    <s v="2026-04-15T08:24:00Z"/>
    <n v="1168"/>
    <x v="3"/>
    <x v="2"/>
    <x v="7"/>
    <n v="114"/>
    <n v="2058"/>
    <x v="0"/>
    <n v="3"/>
    <d v="2026-04-15T00:00:00"/>
    <n v="34.299999999999997"/>
    <n v="1.9"/>
    <x v="0"/>
    <s v="Neutral"/>
    <s v="Resolved"/>
  </r>
  <r>
    <s v="TCK-000792"/>
    <s v="2026-04-15T17:09:36Z"/>
    <n v="1475"/>
    <x v="0"/>
    <x v="0"/>
    <x v="8"/>
    <n v="9"/>
    <n v="223"/>
    <x v="0"/>
    <m/>
    <d v="2026-04-15T00:00:00"/>
    <n v="3.7166666666666668"/>
    <n v="0.15"/>
    <x v="0"/>
    <s v="No Rating"/>
    <s v="Resolved"/>
  </r>
  <r>
    <s v="TCK-000793"/>
    <s v="2026-04-16T01:55:12Z"/>
    <n v="1144"/>
    <x v="0"/>
    <x v="1"/>
    <x v="4"/>
    <n v="46"/>
    <n v="714"/>
    <x v="1"/>
    <n v="4"/>
    <d v="2026-04-16T00:00:00"/>
    <n v="11.9"/>
    <n v="0.76666666666666672"/>
    <x v="0"/>
    <s v="Satisfied"/>
    <s v="Resolved"/>
  </r>
  <r>
    <s v="TCK-000794"/>
    <s v="2026-04-16T10:40:48Z"/>
    <n v="1170"/>
    <x v="4"/>
    <x v="1"/>
    <x v="8"/>
    <n v="47"/>
    <n v="733"/>
    <x v="0"/>
    <n v="3"/>
    <d v="2026-04-16T00:00:00"/>
    <n v="12.216666666666667"/>
    <n v="0.78333333333333333"/>
    <x v="0"/>
    <s v="Neutral"/>
    <s v="Resolved"/>
  </r>
  <r>
    <s v="TCK-000795"/>
    <s v="2026-04-16T19:26:24Z"/>
    <n v="1161"/>
    <x v="4"/>
    <x v="3"/>
    <x v="1"/>
    <n v="449"/>
    <n v="6414"/>
    <x v="0"/>
    <m/>
    <d v="2026-04-16T00:00:00"/>
    <n v="106.9"/>
    <n v="7.4833333333333334"/>
    <x v="2"/>
    <s v="No Rating"/>
    <s v="Resolved"/>
  </r>
  <r>
    <s v="TCK-000796"/>
    <s v="2026-04-17T04:12:00Z"/>
    <n v="1560"/>
    <x v="4"/>
    <x v="0"/>
    <x v="6"/>
    <n v="5"/>
    <n v="349"/>
    <x v="1"/>
    <n v="4"/>
    <d v="2026-04-17T00:00:00"/>
    <n v="5.8166666666666664"/>
    <n v="8.3333333333333329E-2"/>
    <x v="0"/>
    <s v="Satisfied"/>
    <s v="Resolved"/>
  </r>
  <r>
    <s v="TCK-000797"/>
    <s v="2026-04-17T12:57:36Z"/>
    <n v="1850"/>
    <x v="3"/>
    <x v="1"/>
    <x v="1"/>
    <n v="8"/>
    <n v="794"/>
    <x v="0"/>
    <n v="4"/>
    <d v="2026-04-17T00:00:00"/>
    <n v="13.233333333333333"/>
    <n v="0.13333333333333333"/>
    <x v="0"/>
    <s v="Satisfied"/>
    <s v="Resolved"/>
  </r>
  <r>
    <s v="TCK-000798"/>
    <s v="2026-04-17T21:43:12Z"/>
    <n v="1408"/>
    <x v="2"/>
    <x v="0"/>
    <x v="6"/>
    <n v="2"/>
    <n v="220"/>
    <x v="0"/>
    <m/>
    <d v="2026-04-17T00:00:00"/>
    <n v="3.6666666666666665"/>
    <n v="3.3333333333333333E-2"/>
    <x v="0"/>
    <s v="No Rating"/>
    <s v="Resolved"/>
  </r>
  <r>
    <s v="TCK-000799"/>
    <s v="2026-04-18T06:28:48Z"/>
    <n v="1110"/>
    <x v="2"/>
    <x v="1"/>
    <x v="6"/>
    <n v="42"/>
    <n v="735"/>
    <x v="1"/>
    <m/>
    <d v="2026-04-18T00:00:00"/>
    <n v="12.25"/>
    <n v="0.7"/>
    <x v="0"/>
    <s v="No Rating"/>
    <s v="Resolved"/>
  </r>
  <r>
    <s v="TCK-000800"/>
    <s v="2026-04-18T15:14:24Z"/>
    <n v="1675"/>
    <x v="1"/>
    <x v="2"/>
    <x v="6"/>
    <n v="168"/>
    <n v="868"/>
    <x v="0"/>
    <n v="4"/>
    <d v="2026-04-18T00:00:00"/>
    <n v="14.466666666666667"/>
    <n v="2.8"/>
    <x v="0"/>
    <s v="Satisfied"/>
    <s v="Resolved"/>
  </r>
  <r>
    <s v="TCK-000801"/>
    <s v="2026-04-19T00:00:00Z"/>
    <n v="1398"/>
    <x v="1"/>
    <x v="2"/>
    <x v="5"/>
    <n v="51"/>
    <n v="3446"/>
    <x v="0"/>
    <n v="1"/>
    <d v="2026-04-19T00:00:00"/>
    <n v="57.43333333333333"/>
    <n v="0.85"/>
    <x v="2"/>
    <s v="Dissatisfied"/>
    <s v="Resolved"/>
  </r>
  <r>
    <s v="TCK-000802"/>
    <s v="2026-04-19T08:45:36Z"/>
    <n v="1308"/>
    <x v="1"/>
    <x v="1"/>
    <x v="4"/>
    <n v="18"/>
    <n v="1234"/>
    <x v="0"/>
    <n v="3"/>
    <d v="2026-04-19T00:00:00"/>
    <n v="20.566666666666666"/>
    <n v="0.3"/>
    <x v="0"/>
    <s v="Neutral"/>
    <s v="Resolved"/>
  </r>
  <r>
    <s v="TCK-000803"/>
    <s v="2026-04-19T17:31:12Z"/>
    <n v="1590"/>
    <x v="3"/>
    <x v="2"/>
    <x v="0"/>
    <n v="47"/>
    <n v="3309"/>
    <x v="0"/>
    <n v="1"/>
    <d v="2026-04-19T00:00:00"/>
    <n v="55.15"/>
    <n v="0.78333333333333333"/>
    <x v="2"/>
    <s v="Dissatisfied"/>
    <s v="Resolved"/>
  </r>
  <r>
    <s v="TCK-000804"/>
    <s v="2026-04-20T02:16:48Z"/>
    <n v="1773"/>
    <x v="4"/>
    <x v="0"/>
    <x v="8"/>
    <n v="4"/>
    <n v="200"/>
    <x v="1"/>
    <n v="5"/>
    <d v="2026-04-20T00:00:00"/>
    <n v="3.3333333333333335"/>
    <n v="6.6666666666666666E-2"/>
    <x v="0"/>
    <s v="Satisfied"/>
    <s v="Resolved"/>
  </r>
  <r>
    <s v="TCK-000805"/>
    <s v="2026-04-20T11:02:24Z"/>
    <n v="1226"/>
    <x v="0"/>
    <x v="2"/>
    <x v="2"/>
    <n v="73"/>
    <n v="1174"/>
    <x v="1"/>
    <n v="3"/>
    <d v="2026-04-20T00:00:00"/>
    <n v="19.566666666666666"/>
    <n v="1.2166666666666666"/>
    <x v="0"/>
    <s v="Neutral"/>
    <s v="Resolved"/>
  </r>
  <r>
    <s v="TCK-000806"/>
    <s v="2026-04-20T19:48:00Z"/>
    <n v="1512"/>
    <x v="3"/>
    <x v="1"/>
    <x v="6"/>
    <n v="27"/>
    <n v="766"/>
    <x v="0"/>
    <n v="4"/>
    <d v="2026-04-20T00:00:00"/>
    <n v="12.766666666666667"/>
    <n v="0.45"/>
    <x v="0"/>
    <s v="Satisfied"/>
    <s v="Resolved"/>
  </r>
  <r>
    <s v="TCK-000807"/>
    <s v="2026-04-21T04:33:36Z"/>
    <n v="1006"/>
    <x v="4"/>
    <x v="1"/>
    <x v="6"/>
    <n v="16"/>
    <m/>
    <x v="3"/>
    <m/>
    <d v="2026-04-21T00:00:00"/>
    <s v=""/>
    <n v="0.26666666666666666"/>
    <x v="1"/>
    <s v="No Rating"/>
    <s v="Unresolved"/>
  </r>
  <r>
    <s v="TCK-000808"/>
    <s v="2026-04-21T13:19:12Z"/>
    <n v="1767"/>
    <x v="1"/>
    <x v="2"/>
    <x v="5"/>
    <n v="152"/>
    <n v="1620"/>
    <x v="0"/>
    <n v="5"/>
    <d v="2026-04-21T00:00:00"/>
    <n v="27"/>
    <n v="2.5333333333333332"/>
    <x v="0"/>
    <s v="Satisfied"/>
    <s v="Resolved"/>
  </r>
  <r>
    <s v="TCK-000809"/>
    <s v="2026-04-21T22:04:48Z"/>
    <n v="1899"/>
    <x v="0"/>
    <x v="0"/>
    <x v="1"/>
    <n v="11"/>
    <n v="81"/>
    <x v="1"/>
    <n v="4"/>
    <d v="2026-04-21T00:00:00"/>
    <n v="1.35"/>
    <n v="0.18333333333333332"/>
    <x v="0"/>
    <s v="Satisfied"/>
    <s v="Resolved"/>
  </r>
  <r>
    <s v="TCK-000810"/>
    <s v="2026-04-22T06:50:24Z"/>
    <n v="1622"/>
    <x v="2"/>
    <x v="1"/>
    <x v="0"/>
    <n v="46"/>
    <n v="495"/>
    <x v="0"/>
    <m/>
    <d v="2026-04-22T00:00:00"/>
    <n v="8.25"/>
    <n v="0.76666666666666672"/>
    <x v="0"/>
    <s v="No Rating"/>
    <s v="Resolved"/>
  </r>
  <r>
    <s v="TCK-000811"/>
    <s v="2026-04-22T15:36:00Z"/>
    <n v="1664"/>
    <x v="4"/>
    <x v="2"/>
    <x v="6"/>
    <n v="174"/>
    <n v="3360"/>
    <x v="1"/>
    <n v="5"/>
    <d v="2026-04-22T00:00:00"/>
    <n v="56"/>
    <n v="2.9"/>
    <x v="2"/>
    <s v="Satisfied"/>
    <s v="Resolved"/>
  </r>
  <r>
    <s v="TCK-000812"/>
    <s v="2026-04-23T00:21:36Z"/>
    <n v="1697"/>
    <x v="4"/>
    <x v="2"/>
    <x v="3"/>
    <n v="70"/>
    <n v="1960"/>
    <x v="1"/>
    <n v="5"/>
    <d v="2026-04-23T00:00:00"/>
    <n v="32.666666666666664"/>
    <n v="1.1666666666666667"/>
    <x v="0"/>
    <s v="Satisfied"/>
    <s v="Resolved"/>
  </r>
  <r>
    <s v="TCK-000813"/>
    <s v="2026-04-23T09:07:12Z"/>
    <n v="1429"/>
    <x v="4"/>
    <x v="1"/>
    <x v="2"/>
    <n v="36"/>
    <n v="316"/>
    <x v="0"/>
    <m/>
    <d v="2026-04-23T00:00:00"/>
    <n v="5.2666666666666666"/>
    <n v="0.6"/>
    <x v="0"/>
    <s v="No Rating"/>
    <s v="Resolved"/>
  </r>
  <r>
    <s v="TCK-000814"/>
    <s v="2026-04-23T17:52:48Z"/>
    <n v="1857"/>
    <x v="0"/>
    <x v="2"/>
    <x v="3"/>
    <n v="66"/>
    <n v="2815"/>
    <x v="0"/>
    <n v="2"/>
    <d v="2026-04-23T00:00:00"/>
    <n v="46.916666666666664"/>
    <n v="1.1000000000000001"/>
    <x v="0"/>
    <s v="Dissatisfied"/>
    <s v="Resolved"/>
  </r>
  <r>
    <s v="TCK-000815"/>
    <s v="2026-04-24T02:38:24Z"/>
    <n v="1999"/>
    <x v="3"/>
    <x v="2"/>
    <x v="0"/>
    <n v="133"/>
    <m/>
    <x v="2"/>
    <m/>
    <d v="2026-04-24T00:00:00"/>
    <s v=""/>
    <n v="2.2166666666666668"/>
    <x v="1"/>
    <s v="No Rating"/>
    <s v="Unresolved"/>
  </r>
  <r>
    <s v="TCK-000816"/>
    <s v="2026-04-24T11:24:00Z"/>
    <n v="1524"/>
    <x v="0"/>
    <x v="1"/>
    <x v="6"/>
    <n v="33"/>
    <n v="1116"/>
    <x v="0"/>
    <n v="1"/>
    <d v="2026-04-24T00:00:00"/>
    <n v="18.600000000000001"/>
    <n v="0.55000000000000004"/>
    <x v="0"/>
    <s v="Dissatisfied"/>
    <s v="Resolved"/>
  </r>
  <r>
    <s v="TCK-000817"/>
    <s v="2026-04-24T20:09:36Z"/>
    <n v="1111"/>
    <x v="1"/>
    <x v="2"/>
    <x v="1"/>
    <n v="71"/>
    <m/>
    <x v="2"/>
    <m/>
    <d v="2026-04-24T00:00:00"/>
    <s v=""/>
    <n v="1.1833333333333333"/>
    <x v="1"/>
    <s v="No Rating"/>
    <s v="Unresolved"/>
  </r>
  <r>
    <s v="TCK-000818"/>
    <s v="2026-04-25T04:55:12Z"/>
    <n v="1129"/>
    <x v="4"/>
    <x v="3"/>
    <x v="4"/>
    <n v="465"/>
    <n v="7309"/>
    <x v="1"/>
    <n v="2"/>
    <d v="2026-04-25T00:00:00"/>
    <n v="121.81666666666666"/>
    <n v="7.75"/>
    <x v="2"/>
    <s v="Dissatisfied"/>
    <s v="Resolved"/>
  </r>
  <r>
    <s v="TCK-000819"/>
    <s v="2026-04-25T13:40:48Z"/>
    <n v="1556"/>
    <x v="4"/>
    <x v="0"/>
    <x v="6"/>
    <n v="7"/>
    <n v="220"/>
    <x v="0"/>
    <n v="3"/>
    <d v="2026-04-25T00:00:00"/>
    <n v="3.6666666666666665"/>
    <n v="0.11666666666666667"/>
    <x v="0"/>
    <s v="Neutral"/>
    <s v="Resolved"/>
  </r>
  <r>
    <s v="TCK-000820"/>
    <s v="2026-04-25T22:26:24Z"/>
    <n v="1436"/>
    <x v="0"/>
    <x v="3"/>
    <x v="0"/>
    <n v="125"/>
    <n v="2370"/>
    <x v="0"/>
    <m/>
    <d v="2026-04-25T00:00:00"/>
    <n v="39.5"/>
    <n v="2.0833333333333335"/>
    <x v="0"/>
    <s v="No Rating"/>
    <s v="Resolved"/>
  </r>
  <r>
    <s v="TCK-000821"/>
    <s v="2026-04-26T07:12:00Z"/>
    <n v="1079"/>
    <x v="1"/>
    <x v="2"/>
    <x v="2"/>
    <n v="40"/>
    <n v="3440"/>
    <x v="0"/>
    <m/>
    <d v="2026-04-26T00:00:00"/>
    <n v="57.333333333333336"/>
    <n v="0.66666666666666663"/>
    <x v="2"/>
    <s v="No Rating"/>
    <s v="Resolved"/>
  </r>
  <r>
    <s v="TCK-000822"/>
    <s v="2026-04-26T15:57:36Z"/>
    <n v="1194"/>
    <x v="0"/>
    <x v="3"/>
    <x v="6"/>
    <n v="245"/>
    <m/>
    <x v="3"/>
    <m/>
    <d v="2026-04-26T00:00:00"/>
    <s v=""/>
    <n v="4.083333333333333"/>
    <x v="1"/>
    <s v="No Rating"/>
    <s v="Unresolved"/>
  </r>
  <r>
    <s v="TCK-000823"/>
    <s v="2026-04-27T00:43:12Z"/>
    <n v="1401"/>
    <x v="4"/>
    <x v="3"/>
    <x v="2"/>
    <n v="332"/>
    <n v="5689"/>
    <x v="0"/>
    <m/>
    <d v="2026-04-27T00:00:00"/>
    <n v="94.816666666666663"/>
    <n v="5.5333333333333332"/>
    <x v="2"/>
    <s v="No Rating"/>
    <s v="Resolved"/>
  </r>
  <r>
    <s v="TCK-000824"/>
    <s v="2026-04-27T09:28:48Z"/>
    <n v="1497"/>
    <x v="1"/>
    <x v="1"/>
    <x v="7"/>
    <n v="29"/>
    <n v="653"/>
    <x v="0"/>
    <n v="4"/>
    <d v="2026-04-27T00:00:00"/>
    <n v="10.883333333333333"/>
    <n v="0.48333333333333334"/>
    <x v="0"/>
    <s v="Satisfied"/>
    <s v="Resolved"/>
  </r>
  <r>
    <s v="TCK-000825"/>
    <s v="2026-04-27T18:14:24Z"/>
    <n v="1329"/>
    <x v="0"/>
    <x v="2"/>
    <x v="3"/>
    <n v="139"/>
    <n v="2768"/>
    <x v="0"/>
    <m/>
    <d v="2026-04-27T00:00:00"/>
    <n v="46.133333333333333"/>
    <n v="2.3166666666666669"/>
    <x v="0"/>
    <s v="No Rating"/>
    <s v="Resolved"/>
  </r>
  <r>
    <s v="TCK-000826"/>
    <s v="2026-04-28T03:00:00Z"/>
    <n v="1209"/>
    <x v="3"/>
    <x v="2"/>
    <x v="5"/>
    <n v="32"/>
    <m/>
    <x v="3"/>
    <m/>
    <d v="2026-04-28T00:00:00"/>
    <s v=""/>
    <n v="0.53333333333333333"/>
    <x v="1"/>
    <s v="No Rating"/>
    <s v="Unresolved"/>
  </r>
  <r>
    <s v="TCK-000827"/>
    <s v="2026-04-28T11:45:36Z"/>
    <n v="1793"/>
    <x v="0"/>
    <x v="3"/>
    <x v="5"/>
    <n v="74"/>
    <n v="1645"/>
    <x v="0"/>
    <n v="5"/>
    <d v="2026-04-28T00:00:00"/>
    <n v="27.416666666666668"/>
    <n v="1.2333333333333334"/>
    <x v="0"/>
    <s v="Satisfied"/>
    <s v="Resolved"/>
  </r>
  <r>
    <s v="TCK-000828"/>
    <s v="2026-04-28T20:31:12Z"/>
    <n v="1386"/>
    <x v="2"/>
    <x v="2"/>
    <x v="1"/>
    <n v="166"/>
    <n v="1457"/>
    <x v="0"/>
    <n v="4"/>
    <d v="2026-04-28T00:00:00"/>
    <n v="24.283333333333335"/>
    <n v="2.7666666666666666"/>
    <x v="0"/>
    <s v="Satisfied"/>
    <s v="Resolved"/>
  </r>
  <r>
    <s v="TCK-000829"/>
    <s v="2026-04-29T05:16:48Z"/>
    <n v="1885"/>
    <x v="0"/>
    <x v="2"/>
    <x v="5"/>
    <n v="90"/>
    <n v="2207"/>
    <x v="0"/>
    <n v="2"/>
    <d v="2026-04-29T00:00:00"/>
    <n v="36.783333333333331"/>
    <n v="1.5"/>
    <x v="0"/>
    <s v="Dissatisfied"/>
    <s v="Resolved"/>
  </r>
  <r>
    <s v="TCK-000830"/>
    <s v="2026-04-29T14:02:24Z"/>
    <n v="1929"/>
    <x v="4"/>
    <x v="3"/>
    <x v="3"/>
    <n v="269"/>
    <m/>
    <x v="2"/>
    <m/>
    <d v="2026-04-29T00:00:00"/>
    <s v=""/>
    <n v="4.4833333333333334"/>
    <x v="1"/>
    <s v="No Rating"/>
    <s v="Unresolved"/>
  </r>
  <r>
    <s v="TCK-000831"/>
    <s v="2026-04-29T22:48:00Z"/>
    <n v="1846"/>
    <x v="2"/>
    <x v="0"/>
    <x v="4"/>
    <n v="6"/>
    <n v="262"/>
    <x v="0"/>
    <m/>
    <d v="2026-04-29T00:00:00"/>
    <n v="4.3666666666666663"/>
    <n v="0.1"/>
    <x v="0"/>
    <s v="No Rating"/>
    <s v="Resolved"/>
  </r>
  <r>
    <s v="TCK-000832"/>
    <s v="2026-04-30T07:33:36Z"/>
    <n v="1426"/>
    <x v="4"/>
    <x v="0"/>
    <x v="1"/>
    <n v="12"/>
    <n v="76"/>
    <x v="0"/>
    <n v="5"/>
    <d v="2026-04-30T00:00:00"/>
    <n v="1.2666666666666666"/>
    <n v="0.2"/>
    <x v="0"/>
    <s v="Satisfied"/>
    <s v="Resolved"/>
  </r>
  <r>
    <s v="TCK-000833"/>
    <s v="2026-04-30T16:19:12Z"/>
    <n v="1005"/>
    <x v="1"/>
    <x v="3"/>
    <x v="0"/>
    <n v="180"/>
    <m/>
    <x v="3"/>
    <m/>
    <d v="2026-04-30T00:00:00"/>
    <s v=""/>
    <n v="3"/>
    <x v="1"/>
    <s v="No Rating"/>
    <s v="Unresolved"/>
  </r>
  <r>
    <s v="TCK-000834"/>
    <s v="2026-05-01T01:04:48Z"/>
    <n v="1975"/>
    <x v="2"/>
    <x v="3"/>
    <x v="1"/>
    <n v="152"/>
    <n v="8146"/>
    <x v="1"/>
    <n v="2"/>
    <d v="2026-05-01T00:00:00"/>
    <n v="135.76666666666668"/>
    <n v="2.5333333333333332"/>
    <x v="2"/>
    <s v="Dissatisfied"/>
    <s v="Resolved"/>
  </r>
  <r>
    <s v="TCK-000835"/>
    <s v="2026-05-01T09:50:24Z"/>
    <n v="1047"/>
    <x v="0"/>
    <x v="0"/>
    <x v="3"/>
    <n v="11"/>
    <n v="197"/>
    <x v="0"/>
    <m/>
    <d v="2026-05-01T00:00:00"/>
    <n v="3.2833333333333332"/>
    <n v="0.18333333333333332"/>
    <x v="0"/>
    <s v="No Rating"/>
    <s v="Resolved"/>
  </r>
  <r>
    <s v="TCK-000836"/>
    <s v="2026-05-01T18:36:00Z"/>
    <n v="1951"/>
    <x v="1"/>
    <x v="2"/>
    <x v="0"/>
    <n v="178"/>
    <n v="1599"/>
    <x v="0"/>
    <n v="3"/>
    <d v="2026-05-01T00:00:00"/>
    <n v="26.65"/>
    <n v="2.9666666666666668"/>
    <x v="0"/>
    <s v="Neutral"/>
    <s v="Resolved"/>
  </r>
  <r>
    <s v="TCK-000837"/>
    <s v="2026-05-02T03:21:36Z"/>
    <n v="1129"/>
    <x v="4"/>
    <x v="2"/>
    <x v="7"/>
    <n v="83"/>
    <m/>
    <x v="3"/>
    <m/>
    <d v="2026-05-02T00:00:00"/>
    <s v=""/>
    <n v="1.3833333333333333"/>
    <x v="1"/>
    <s v="No Rating"/>
    <s v="Unresolved"/>
  </r>
  <r>
    <s v="TCK-000838"/>
    <s v="2026-05-02T12:07:12Z"/>
    <n v="1105"/>
    <x v="1"/>
    <x v="2"/>
    <x v="4"/>
    <n v="83"/>
    <n v="2275"/>
    <x v="0"/>
    <n v="5"/>
    <d v="2026-05-02T00:00:00"/>
    <n v="37.916666666666664"/>
    <n v="1.3833333333333333"/>
    <x v="0"/>
    <s v="Satisfied"/>
    <s v="Resolved"/>
  </r>
  <r>
    <s v="TCK-000839"/>
    <s v="2026-05-02T20:52:48Z"/>
    <n v="1754"/>
    <x v="3"/>
    <x v="2"/>
    <x v="8"/>
    <n v="126"/>
    <n v="1919"/>
    <x v="1"/>
    <m/>
    <d v="2026-05-02T00:00:00"/>
    <n v="31.983333333333334"/>
    <n v="2.1"/>
    <x v="0"/>
    <s v="No Rating"/>
    <s v="Resolved"/>
  </r>
  <r>
    <s v="TCK-000840"/>
    <s v="2026-05-03T05:38:24Z"/>
    <n v="1133"/>
    <x v="3"/>
    <x v="2"/>
    <x v="6"/>
    <n v="69"/>
    <n v="3323"/>
    <x v="0"/>
    <n v="1"/>
    <d v="2026-05-03T00:00:00"/>
    <n v="55.383333333333333"/>
    <n v="1.1499999999999999"/>
    <x v="2"/>
    <s v="Dissatisfied"/>
    <s v="Resolved"/>
  </r>
  <r>
    <s v="TCK-000841"/>
    <s v="2026-05-03T14:24:00Z"/>
    <n v="1827"/>
    <x v="2"/>
    <x v="2"/>
    <x v="5"/>
    <n v="112"/>
    <n v="1365"/>
    <x v="0"/>
    <m/>
    <d v="2026-05-03T00:00:00"/>
    <n v="22.75"/>
    <n v="1.8666666666666667"/>
    <x v="0"/>
    <s v="No Rating"/>
    <s v="Resolved"/>
  </r>
  <r>
    <s v="TCK-000842"/>
    <s v="2026-05-03T23:09:36Z"/>
    <n v="1343"/>
    <x v="3"/>
    <x v="3"/>
    <x v="6"/>
    <n v="277"/>
    <n v="3362"/>
    <x v="1"/>
    <m/>
    <d v="2026-05-03T00:00:00"/>
    <n v="56.033333333333331"/>
    <n v="4.6166666666666663"/>
    <x v="0"/>
    <s v="No Rating"/>
    <s v="Resolved"/>
  </r>
  <r>
    <s v="TCK-000843"/>
    <s v="2026-05-04T07:55:12Z"/>
    <n v="1735"/>
    <x v="3"/>
    <x v="0"/>
    <x v="7"/>
    <n v="2"/>
    <n v="49"/>
    <x v="0"/>
    <n v="2"/>
    <d v="2026-05-04T00:00:00"/>
    <n v="0.81666666666666665"/>
    <n v="3.3333333333333333E-2"/>
    <x v="0"/>
    <s v="Dissatisfied"/>
    <s v="Resolved"/>
  </r>
  <r>
    <s v="TCK-000844"/>
    <s v="2026-05-04T16:40:48Z"/>
    <n v="1536"/>
    <x v="1"/>
    <x v="1"/>
    <x v="1"/>
    <n v="10"/>
    <m/>
    <x v="3"/>
    <m/>
    <d v="2026-05-04T00:00:00"/>
    <s v=""/>
    <n v="0.16666666666666666"/>
    <x v="1"/>
    <s v="No Rating"/>
    <s v="Unresolved"/>
  </r>
  <r>
    <s v="TCK-000845"/>
    <s v="2026-05-05T01:26:24Z"/>
    <n v="1433"/>
    <x v="4"/>
    <x v="2"/>
    <x v="5"/>
    <n v="114"/>
    <n v="2752"/>
    <x v="1"/>
    <n v="5"/>
    <d v="2026-05-05T00:00:00"/>
    <n v="45.866666666666667"/>
    <n v="1.9"/>
    <x v="0"/>
    <s v="Satisfied"/>
    <s v="Resolved"/>
  </r>
  <r>
    <s v="TCK-000846"/>
    <s v="2026-05-05T10:12:00Z"/>
    <n v="1957"/>
    <x v="0"/>
    <x v="2"/>
    <x v="4"/>
    <n v="42"/>
    <n v="2241"/>
    <x v="0"/>
    <m/>
    <d v="2026-05-05T00:00:00"/>
    <n v="37.35"/>
    <n v="0.7"/>
    <x v="0"/>
    <s v="No Rating"/>
    <s v="Resolved"/>
  </r>
  <r>
    <s v="TCK-000847"/>
    <s v="2026-05-05T18:57:36Z"/>
    <n v="1505"/>
    <x v="1"/>
    <x v="3"/>
    <x v="1"/>
    <n v="159"/>
    <n v="7753"/>
    <x v="0"/>
    <m/>
    <d v="2026-05-05T00:00:00"/>
    <n v="129.21666666666667"/>
    <n v="2.65"/>
    <x v="2"/>
    <s v="No Rating"/>
    <s v="Resolved"/>
  </r>
  <r>
    <s v="TCK-000848"/>
    <s v="2026-05-06T03:43:12Z"/>
    <n v="1011"/>
    <x v="2"/>
    <x v="0"/>
    <x v="8"/>
    <n v="4"/>
    <n v="324"/>
    <x v="0"/>
    <n v="4"/>
    <d v="2026-05-06T00:00:00"/>
    <n v="5.4"/>
    <n v="6.6666666666666666E-2"/>
    <x v="0"/>
    <s v="Satisfied"/>
    <s v="Resolved"/>
  </r>
  <r>
    <s v="TCK-000849"/>
    <s v="2026-05-06T12:28:48Z"/>
    <n v="1028"/>
    <x v="0"/>
    <x v="3"/>
    <x v="2"/>
    <n v="298"/>
    <n v="2310"/>
    <x v="1"/>
    <n v="2"/>
    <d v="2026-05-06T00:00:00"/>
    <n v="38.5"/>
    <n v="4.9666666666666668"/>
    <x v="0"/>
    <s v="Dissatisfied"/>
    <s v="Resolved"/>
  </r>
  <r>
    <s v="TCK-000850"/>
    <s v="2026-05-06T21:14:24Z"/>
    <n v="1859"/>
    <x v="0"/>
    <x v="3"/>
    <x v="7"/>
    <n v="103"/>
    <n v="3445"/>
    <x v="0"/>
    <n v="2"/>
    <d v="2026-05-06T00:00:00"/>
    <n v="57.416666666666664"/>
    <n v="1.7166666666666666"/>
    <x v="0"/>
    <s v="Dissatisfied"/>
    <s v="Resolved"/>
  </r>
  <r>
    <s v="TCK-000851"/>
    <s v="2026-05-07T06:00:00Z"/>
    <n v="1962"/>
    <x v="4"/>
    <x v="1"/>
    <x v="5"/>
    <n v="27"/>
    <m/>
    <x v="2"/>
    <m/>
    <d v="2026-05-07T00:00:00"/>
    <s v=""/>
    <n v="0.45"/>
    <x v="1"/>
    <s v="No Rating"/>
    <s v="Unresolved"/>
  </r>
  <r>
    <s v="TCK-000852"/>
    <s v="2026-05-07T14:45:36Z"/>
    <n v="1594"/>
    <x v="3"/>
    <x v="1"/>
    <x v="0"/>
    <n v="18"/>
    <m/>
    <x v="2"/>
    <m/>
    <d v="2026-05-07T00:00:00"/>
    <s v=""/>
    <n v="0.3"/>
    <x v="1"/>
    <s v="No Rating"/>
    <s v="Unresolved"/>
  </r>
  <r>
    <s v="TCK-000853"/>
    <s v="2026-05-07T23:31:12Z"/>
    <n v="1924"/>
    <x v="0"/>
    <x v="1"/>
    <x v="0"/>
    <n v="36"/>
    <m/>
    <x v="2"/>
    <m/>
    <d v="2026-05-07T00:00:00"/>
    <s v=""/>
    <n v="0.6"/>
    <x v="1"/>
    <s v="No Rating"/>
    <s v="Unresolved"/>
  </r>
  <r>
    <s v="TCK-000854"/>
    <s v="2026-05-08T08:16:48Z"/>
    <n v="1399"/>
    <x v="1"/>
    <x v="0"/>
    <x v="3"/>
    <n v="10"/>
    <n v="218"/>
    <x v="0"/>
    <n v="5"/>
    <d v="2026-05-08T00:00:00"/>
    <n v="3.6333333333333333"/>
    <n v="0.16666666666666666"/>
    <x v="0"/>
    <s v="Satisfied"/>
    <s v="Resolved"/>
  </r>
  <r>
    <s v="TCK-000855"/>
    <s v="2026-05-08T17:02:24Z"/>
    <n v="1223"/>
    <x v="2"/>
    <x v="0"/>
    <x v="1"/>
    <n v="11"/>
    <n v="334"/>
    <x v="1"/>
    <n v="3"/>
    <d v="2026-05-08T00:00:00"/>
    <n v="5.5666666666666664"/>
    <n v="0.18333333333333332"/>
    <x v="0"/>
    <s v="Neutral"/>
    <s v="Resolved"/>
  </r>
  <r>
    <s v="TCK-000856"/>
    <s v="2026-05-09T01:48:00Z"/>
    <n v="1784"/>
    <x v="2"/>
    <x v="1"/>
    <x v="0"/>
    <n v="9"/>
    <m/>
    <x v="3"/>
    <m/>
    <d v="2026-05-09T00:00:00"/>
    <s v=""/>
    <n v="0.15"/>
    <x v="1"/>
    <s v="No Rating"/>
    <s v="Unresolved"/>
  </r>
  <r>
    <s v="TCK-000857"/>
    <s v="2026-05-09T10:33:36Z"/>
    <n v="1533"/>
    <x v="3"/>
    <x v="0"/>
    <x v="6"/>
    <n v="3"/>
    <n v="292"/>
    <x v="1"/>
    <n v="2"/>
    <d v="2026-05-09T00:00:00"/>
    <n v="4.8666666666666663"/>
    <n v="0.05"/>
    <x v="0"/>
    <s v="Dissatisfied"/>
    <s v="Resolved"/>
  </r>
  <r>
    <s v="TCK-000858"/>
    <s v="2026-05-09T19:19:12Z"/>
    <n v="1256"/>
    <x v="2"/>
    <x v="2"/>
    <x v="3"/>
    <n v="108"/>
    <n v="3438"/>
    <x v="0"/>
    <n v="5"/>
    <d v="2026-05-09T00:00:00"/>
    <n v="57.3"/>
    <n v="1.8"/>
    <x v="2"/>
    <s v="Satisfied"/>
    <s v="Resolved"/>
  </r>
  <r>
    <s v="TCK-000859"/>
    <s v="2026-05-10T04:04:48Z"/>
    <n v="1702"/>
    <x v="4"/>
    <x v="0"/>
    <x v="7"/>
    <n v="10"/>
    <n v="311"/>
    <x v="1"/>
    <n v="2"/>
    <d v="2026-05-10T00:00:00"/>
    <n v="5.1833333333333336"/>
    <n v="0.16666666666666666"/>
    <x v="0"/>
    <s v="Dissatisfied"/>
    <s v="Resolved"/>
  </r>
  <r>
    <s v="TCK-000860"/>
    <s v="2026-05-10T12:50:24Z"/>
    <n v="1832"/>
    <x v="1"/>
    <x v="2"/>
    <x v="3"/>
    <n v="111"/>
    <n v="1020"/>
    <x v="1"/>
    <n v="5"/>
    <d v="2026-05-10T00:00:00"/>
    <n v="17"/>
    <n v="1.85"/>
    <x v="0"/>
    <s v="Satisfied"/>
    <s v="Resolved"/>
  </r>
  <r>
    <s v="TCK-000861"/>
    <s v="2026-05-10T21:36:00Z"/>
    <n v="1106"/>
    <x v="2"/>
    <x v="2"/>
    <x v="4"/>
    <n v="65"/>
    <n v="2942"/>
    <x v="0"/>
    <n v="3"/>
    <d v="2026-05-10T00:00:00"/>
    <n v="49.033333333333331"/>
    <n v="1.0833333333333333"/>
    <x v="2"/>
    <s v="Neutral"/>
    <s v="Resolved"/>
  </r>
  <r>
    <s v="TCK-000862"/>
    <s v="2026-05-11T06:21:36Z"/>
    <n v="1387"/>
    <x v="3"/>
    <x v="1"/>
    <x v="3"/>
    <n v="46"/>
    <n v="623"/>
    <x v="1"/>
    <n v="2"/>
    <d v="2026-05-11T00:00:00"/>
    <n v="10.383333333333333"/>
    <n v="0.76666666666666672"/>
    <x v="0"/>
    <s v="Dissatisfied"/>
    <s v="Resolved"/>
  </r>
  <r>
    <s v="TCK-000863"/>
    <s v="2026-05-11T15:07:12Z"/>
    <n v="1296"/>
    <x v="0"/>
    <x v="3"/>
    <x v="2"/>
    <n v="285"/>
    <m/>
    <x v="2"/>
    <m/>
    <d v="2026-05-11T00:00:00"/>
    <s v=""/>
    <n v="4.75"/>
    <x v="1"/>
    <s v="No Rating"/>
    <s v="Unresolved"/>
  </r>
  <r>
    <s v="TCK-000864"/>
    <s v="2026-05-11T23:52:48Z"/>
    <n v="1292"/>
    <x v="0"/>
    <x v="3"/>
    <x v="6"/>
    <n v="324"/>
    <n v="3500"/>
    <x v="0"/>
    <m/>
    <d v="2026-05-11T00:00:00"/>
    <n v="58.333333333333336"/>
    <n v="5.4"/>
    <x v="0"/>
    <s v="No Rating"/>
    <s v="Resolved"/>
  </r>
  <r>
    <s v="TCK-000865"/>
    <s v="2026-05-12T08:38:24Z"/>
    <n v="1925"/>
    <x v="3"/>
    <x v="2"/>
    <x v="4"/>
    <n v="163"/>
    <n v="1707"/>
    <x v="0"/>
    <n v="1"/>
    <d v="2026-05-12T00:00:00"/>
    <n v="28.45"/>
    <n v="2.7166666666666668"/>
    <x v="0"/>
    <s v="Dissatisfied"/>
    <s v="Resolved"/>
  </r>
  <r>
    <s v="TCK-000866"/>
    <s v="2026-05-12T17:24:00Z"/>
    <n v="1926"/>
    <x v="4"/>
    <x v="3"/>
    <x v="8"/>
    <n v="168"/>
    <n v="2223"/>
    <x v="1"/>
    <m/>
    <d v="2026-05-12T00:00:00"/>
    <n v="37.049999999999997"/>
    <n v="2.8"/>
    <x v="0"/>
    <s v="No Rating"/>
    <s v="Resolved"/>
  </r>
  <r>
    <s v="TCK-000867"/>
    <s v="2026-05-13T02:09:36Z"/>
    <n v="1121"/>
    <x v="0"/>
    <x v="2"/>
    <x v="8"/>
    <n v="79"/>
    <n v="2410"/>
    <x v="0"/>
    <m/>
    <d v="2026-05-13T00:00:00"/>
    <n v="40.166666666666664"/>
    <n v="1.3166666666666667"/>
    <x v="0"/>
    <s v="No Rating"/>
    <s v="Resolved"/>
  </r>
  <r>
    <s v="TCK-000868"/>
    <s v="2026-05-13T10:55:12Z"/>
    <n v="1066"/>
    <x v="2"/>
    <x v="1"/>
    <x v="3"/>
    <n v="20"/>
    <n v="1169"/>
    <x v="0"/>
    <n v="2"/>
    <d v="2026-05-13T00:00:00"/>
    <n v="19.483333333333334"/>
    <n v="0.33333333333333331"/>
    <x v="0"/>
    <s v="Dissatisfied"/>
    <s v="Resolved"/>
  </r>
  <r>
    <s v="TCK-000869"/>
    <s v="2026-05-13T19:40:48Z"/>
    <n v="1379"/>
    <x v="4"/>
    <x v="3"/>
    <x v="2"/>
    <n v="244"/>
    <n v="8810"/>
    <x v="0"/>
    <m/>
    <d v="2026-05-13T00:00:00"/>
    <n v="146.83333333333334"/>
    <n v="4.0666666666666664"/>
    <x v="2"/>
    <s v="No Rating"/>
    <s v="Resolved"/>
  </r>
  <r>
    <s v="TCK-000870"/>
    <s v="2026-05-14T04:26:24Z"/>
    <n v="1852"/>
    <x v="2"/>
    <x v="3"/>
    <x v="3"/>
    <n v="190"/>
    <n v="6578"/>
    <x v="0"/>
    <n v="3"/>
    <d v="2026-05-14T00:00:00"/>
    <n v="109.63333333333334"/>
    <n v="3.1666666666666665"/>
    <x v="2"/>
    <s v="Neutral"/>
    <s v="Resolved"/>
  </r>
  <r>
    <s v="TCK-000871"/>
    <s v="2026-05-14T13:12:00Z"/>
    <n v="1569"/>
    <x v="2"/>
    <x v="1"/>
    <x v="7"/>
    <n v="39"/>
    <n v="1190"/>
    <x v="0"/>
    <n v="1"/>
    <d v="2026-05-14T00:00:00"/>
    <n v="19.833333333333332"/>
    <n v="0.65"/>
    <x v="0"/>
    <s v="Dissatisfied"/>
    <s v="Resolved"/>
  </r>
  <r>
    <s v="TCK-000872"/>
    <s v="2026-05-14T21:57:36Z"/>
    <n v="1854"/>
    <x v="0"/>
    <x v="3"/>
    <x v="1"/>
    <n v="301"/>
    <n v="5323"/>
    <x v="0"/>
    <n v="1"/>
    <d v="2026-05-14T00:00:00"/>
    <n v="88.716666666666669"/>
    <n v="5.0166666666666666"/>
    <x v="2"/>
    <s v="Dissatisfied"/>
    <s v="Resolved"/>
  </r>
  <r>
    <s v="TCK-000873"/>
    <s v="2026-05-15T06:43:12Z"/>
    <n v="1665"/>
    <x v="0"/>
    <x v="2"/>
    <x v="6"/>
    <n v="102"/>
    <n v="985"/>
    <x v="0"/>
    <n v="1"/>
    <d v="2026-05-15T00:00:00"/>
    <n v="16.416666666666668"/>
    <n v="1.7"/>
    <x v="0"/>
    <s v="Dissatisfied"/>
    <s v="Resolved"/>
  </r>
  <r>
    <s v="TCK-000874"/>
    <s v="2026-05-15T15:28:48Z"/>
    <n v="1326"/>
    <x v="0"/>
    <x v="3"/>
    <x v="8"/>
    <n v="416"/>
    <n v="6158"/>
    <x v="0"/>
    <n v="4"/>
    <d v="2026-05-15T00:00:00"/>
    <n v="102.63333333333334"/>
    <n v="6.9333333333333336"/>
    <x v="2"/>
    <s v="Satisfied"/>
    <s v="Resolved"/>
  </r>
  <r>
    <s v="TCK-000875"/>
    <s v="2026-05-16T00:14:24Z"/>
    <n v="1401"/>
    <x v="1"/>
    <x v="0"/>
    <x v="5"/>
    <n v="3"/>
    <n v="305"/>
    <x v="0"/>
    <m/>
    <d v="2026-05-16T00:00:00"/>
    <n v="5.083333333333333"/>
    <n v="0.05"/>
    <x v="0"/>
    <s v="No Rating"/>
    <s v="Resolved"/>
  </r>
  <r>
    <s v="TCK-000876"/>
    <s v="2026-05-16T09:00:00Z"/>
    <n v="1587"/>
    <x v="1"/>
    <x v="3"/>
    <x v="1"/>
    <n v="388"/>
    <m/>
    <x v="2"/>
    <m/>
    <d v="2026-05-16T00:00:00"/>
    <s v=""/>
    <n v="6.4666666666666668"/>
    <x v="1"/>
    <s v="No Rating"/>
    <s v="Unresolved"/>
  </r>
  <r>
    <s v="TCK-000877"/>
    <s v="2026-05-16T17:45:36Z"/>
    <n v="1663"/>
    <x v="0"/>
    <x v="2"/>
    <x v="7"/>
    <n v="33"/>
    <n v="2291"/>
    <x v="1"/>
    <n v="4"/>
    <d v="2026-05-16T00:00:00"/>
    <n v="38.18333333333333"/>
    <n v="0.55000000000000004"/>
    <x v="0"/>
    <s v="Satisfied"/>
    <s v="Resolved"/>
  </r>
  <r>
    <s v="TCK-000878"/>
    <s v="2026-05-17T02:31:12Z"/>
    <n v="1965"/>
    <x v="1"/>
    <x v="0"/>
    <x v="0"/>
    <n v="12"/>
    <n v="316"/>
    <x v="1"/>
    <m/>
    <d v="2026-05-17T00:00:00"/>
    <n v="5.2666666666666666"/>
    <n v="0.2"/>
    <x v="0"/>
    <s v="No Rating"/>
    <s v="Resolved"/>
  </r>
  <r>
    <s v="TCK-000879"/>
    <s v="2026-05-17T11:16:48Z"/>
    <n v="1915"/>
    <x v="4"/>
    <x v="3"/>
    <x v="0"/>
    <n v="371"/>
    <n v="6026"/>
    <x v="1"/>
    <n v="4"/>
    <d v="2026-05-17T00:00:00"/>
    <n v="100.43333333333334"/>
    <n v="6.1833333333333336"/>
    <x v="2"/>
    <s v="Satisfied"/>
    <s v="Resolved"/>
  </r>
  <r>
    <s v="TCK-000880"/>
    <s v="2026-05-17T20:02:24Z"/>
    <n v="1414"/>
    <x v="1"/>
    <x v="2"/>
    <x v="1"/>
    <n v="134"/>
    <m/>
    <x v="3"/>
    <m/>
    <d v="2026-05-17T00:00:00"/>
    <s v=""/>
    <n v="2.2333333333333334"/>
    <x v="1"/>
    <s v="No Rating"/>
    <s v="Unresolved"/>
  </r>
  <r>
    <s v="TCK-000881"/>
    <s v="2026-05-18T04:48:00Z"/>
    <n v="1113"/>
    <x v="4"/>
    <x v="1"/>
    <x v="0"/>
    <n v="18"/>
    <n v="1069"/>
    <x v="0"/>
    <m/>
    <d v="2026-05-18T00:00:00"/>
    <n v="17.816666666666666"/>
    <n v="0.3"/>
    <x v="0"/>
    <s v="No Rating"/>
    <s v="Resolved"/>
  </r>
  <r>
    <s v="TCK-000882"/>
    <s v="2026-05-18T13:33:36Z"/>
    <n v="1001"/>
    <x v="0"/>
    <x v="3"/>
    <x v="2"/>
    <n v="97"/>
    <n v="1694"/>
    <x v="0"/>
    <n v="3"/>
    <d v="2026-05-18T00:00:00"/>
    <n v="28.233333333333334"/>
    <n v="1.6166666666666667"/>
    <x v="0"/>
    <s v="Neutral"/>
    <s v="Resolved"/>
  </r>
  <r>
    <s v="TCK-000883"/>
    <s v="2026-05-18T22:19:12Z"/>
    <n v="1112"/>
    <x v="3"/>
    <x v="2"/>
    <x v="3"/>
    <n v="129"/>
    <n v="3227"/>
    <x v="0"/>
    <n v="4"/>
    <d v="2026-05-18T00:00:00"/>
    <n v="53.783333333333331"/>
    <n v="2.15"/>
    <x v="2"/>
    <s v="Satisfied"/>
    <s v="Resolved"/>
  </r>
  <r>
    <s v="TCK-000884"/>
    <s v="2026-05-19T07:04:48Z"/>
    <n v="1586"/>
    <x v="3"/>
    <x v="2"/>
    <x v="8"/>
    <n v="147"/>
    <n v="771"/>
    <x v="0"/>
    <n v="3"/>
    <d v="2026-05-19T00:00:00"/>
    <n v="12.85"/>
    <n v="2.4500000000000002"/>
    <x v="0"/>
    <s v="Neutral"/>
    <s v="Resolved"/>
  </r>
  <r>
    <s v="TCK-000885"/>
    <s v="2026-05-19T15:50:24Z"/>
    <n v="1956"/>
    <x v="2"/>
    <x v="2"/>
    <x v="7"/>
    <n v="134"/>
    <n v="1367"/>
    <x v="0"/>
    <n v="1"/>
    <d v="2026-05-19T00:00:00"/>
    <n v="22.783333333333335"/>
    <n v="2.2333333333333334"/>
    <x v="0"/>
    <s v="Dissatisfied"/>
    <s v="Resolved"/>
  </r>
  <r>
    <s v="TCK-000886"/>
    <s v="2026-05-20T00:36:00Z"/>
    <n v="1416"/>
    <x v="1"/>
    <x v="1"/>
    <x v="7"/>
    <n v="34"/>
    <n v="994"/>
    <x v="0"/>
    <m/>
    <d v="2026-05-20T00:00:00"/>
    <n v="16.566666666666666"/>
    <n v="0.56666666666666665"/>
    <x v="0"/>
    <s v="No Rating"/>
    <s v="Resolved"/>
  </r>
  <r>
    <s v="TCK-000887"/>
    <s v="2026-05-20T09:21:36Z"/>
    <n v="1493"/>
    <x v="1"/>
    <x v="0"/>
    <x v="8"/>
    <n v="10"/>
    <n v="326"/>
    <x v="0"/>
    <m/>
    <d v="2026-05-20T00:00:00"/>
    <n v="5.4333333333333336"/>
    <n v="0.16666666666666666"/>
    <x v="0"/>
    <s v="No Rating"/>
    <s v="Resolved"/>
  </r>
  <r>
    <s v="TCK-000888"/>
    <s v="2026-05-20T18:07:12Z"/>
    <n v="1557"/>
    <x v="1"/>
    <x v="0"/>
    <x v="2"/>
    <n v="9"/>
    <m/>
    <x v="2"/>
    <m/>
    <d v="2026-05-20T00:00:00"/>
    <s v=""/>
    <n v="0.15"/>
    <x v="1"/>
    <s v="No Rating"/>
    <s v="Unresolved"/>
  </r>
  <r>
    <s v="TCK-000889"/>
    <s v="2026-05-21T02:52:48Z"/>
    <n v="1548"/>
    <x v="0"/>
    <x v="1"/>
    <x v="3"/>
    <n v="12"/>
    <m/>
    <x v="2"/>
    <m/>
    <d v="2026-05-21T00:00:00"/>
    <s v=""/>
    <n v="0.2"/>
    <x v="1"/>
    <s v="No Rating"/>
    <s v="Unresolved"/>
  </r>
  <r>
    <s v="TCK-000890"/>
    <s v="2026-05-21T11:38:24Z"/>
    <n v="1746"/>
    <x v="1"/>
    <x v="3"/>
    <x v="2"/>
    <n v="441"/>
    <n v="7228"/>
    <x v="1"/>
    <n v="4"/>
    <d v="2026-05-21T00:00:00"/>
    <n v="120.46666666666667"/>
    <n v="7.35"/>
    <x v="2"/>
    <s v="Satisfied"/>
    <s v="Resolved"/>
  </r>
  <r>
    <s v="TCK-000891"/>
    <s v="2026-05-21T20:24:00Z"/>
    <n v="1640"/>
    <x v="2"/>
    <x v="3"/>
    <x v="7"/>
    <n v="187"/>
    <n v="7741"/>
    <x v="1"/>
    <n v="2"/>
    <d v="2026-05-21T00:00:00"/>
    <n v="129.01666666666668"/>
    <n v="3.1166666666666667"/>
    <x v="2"/>
    <s v="Dissatisfied"/>
    <s v="Resolved"/>
  </r>
  <r>
    <s v="TCK-000892"/>
    <s v="2026-05-22T05:09:36Z"/>
    <n v="1919"/>
    <x v="3"/>
    <x v="2"/>
    <x v="8"/>
    <n v="119"/>
    <n v="2380"/>
    <x v="0"/>
    <n v="3"/>
    <d v="2026-05-22T00:00:00"/>
    <n v="39.666666666666664"/>
    <n v="1.9833333333333334"/>
    <x v="0"/>
    <s v="Neutral"/>
    <s v="Resolved"/>
  </r>
  <r>
    <s v="TCK-000893"/>
    <s v="2026-05-22T13:55:12Z"/>
    <n v="1580"/>
    <x v="2"/>
    <x v="1"/>
    <x v="1"/>
    <n v="20"/>
    <n v="609"/>
    <x v="0"/>
    <n v="2"/>
    <d v="2026-05-22T00:00:00"/>
    <n v="10.15"/>
    <n v="0.33333333333333331"/>
    <x v="0"/>
    <s v="Dissatisfied"/>
    <s v="Resolved"/>
  </r>
  <r>
    <s v="TCK-000894"/>
    <s v="2026-05-22T22:40:48Z"/>
    <n v="1573"/>
    <x v="3"/>
    <x v="0"/>
    <x v="4"/>
    <n v="2"/>
    <m/>
    <x v="2"/>
    <m/>
    <d v="2026-05-22T00:00:00"/>
    <s v=""/>
    <n v="3.3333333333333333E-2"/>
    <x v="1"/>
    <s v="No Rating"/>
    <s v="Unresolved"/>
  </r>
  <r>
    <s v="TCK-000895"/>
    <s v="2026-05-23T07:26:24Z"/>
    <n v="1027"/>
    <x v="4"/>
    <x v="0"/>
    <x v="4"/>
    <n v="10"/>
    <n v="406"/>
    <x v="0"/>
    <n v="3"/>
    <d v="2026-05-23T00:00:00"/>
    <n v="6.7666666666666666"/>
    <n v="0.16666666666666666"/>
    <x v="0"/>
    <s v="Neutral"/>
    <s v="Resolved"/>
  </r>
  <r>
    <s v="TCK-000896"/>
    <s v="2026-05-23T16:12:00Z"/>
    <n v="1059"/>
    <x v="3"/>
    <x v="0"/>
    <x v="1"/>
    <n v="8"/>
    <n v="137"/>
    <x v="0"/>
    <n v="4"/>
    <d v="2026-05-23T00:00:00"/>
    <n v="2.2833333333333332"/>
    <n v="0.13333333333333333"/>
    <x v="0"/>
    <s v="Satisfied"/>
    <s v="Resolved"/>
  </r>
  <r>
    <s v="TCK-000897"/>
    <s v="2026-05-24T00:57:36Z"/>
    <n v="1516"/>
    <x v="4"/>
    <x v="0"/>
    <x v="5"/>
    <n v="2"/>
    <n v="394"/>
    <x v="0"/>
    <n v="1"/>
    <d v="2026-05-24T00:00:00"/>
    <n v="6.5666666666666664"/>
    <n v="3.3333333333333333E-2"/>
    <x v="0"/>
    <s v="Dissatisfied"/>
    <s v="Resolved"/>
  </r>
  <r>
    <s v="TCK-000898"/>
    <s v="2026-05-24T09:43:12Z"/>
    <n v="1123"/>
    <x v="4"/>
    <x v="2"/>
    <x v="1"/>
    <n v="136"/>
    <n v="1724"/>
    <x v="0"/>
    <n v="3"/>
    <d v="2026-05-24T00:00:00"/>
    <n v="28.733333333333334"/>
    <n v="2.2666666666666666"/>
    <x v="0"/>
    <s v="Neutral"/>
    <s v="Resolved"/>
  </r>
  <r>
    <s v="TCK-000899"/>
    <s v="2026-05-24T18:28:48Z"/>
    <n v="1881"/>
    <x v="2"/>
    <x v="2"/>
    <x v="4"/>
    <n v="171"/>
    <n v="3049"/>
    <x v="0"/>
    <n v="1"/>
    <d v="2026-05-24T00:00:00"/>
    <n v="50.81666666666667"/>
    <n v="2.85"/>
    <x v="2"/>
    <s v="Dissatisfied"/>
    <s v="Resolved"/>
  </r>
  <r>
    <s v="TCK-000900"/>
    <s v="2026-05-25T03:14:24Z"/>
    <n v="1575"/>
    <x v="2"/>
    <x v="3"/>
    <x v="5"/>
    <n v="416"/>
    <n v="1357"/>
    <x v="1"/>
    <m/>
    <d v="2026-05-25T00:00:00"/>
    <n v="22.616666666666667"/>
    <n v="6.9333333333333336"/>
    <x v="0"/>
    <s v="No Rating"/>
    <s v="Resolved"/>
  </r>
  <r>
    <s v="TCK-000901"/>
    <s v="2026-05-25T12:00:00Z"/>
    <n v="1445"/>
    <x v="0"/>
    <x v="3"/>
    <x v="5"/>
    <n v="416"/>
    <n v="1828"/>
    <x v="0"/>
    <n v="2"/>
    <d v="2026-05-25T00:00:00"/>
    <n v="30.466666666666665"/>
    <n v="6.9333333333333336"/>
    <x v="0"/>
    <s v="Dissatisfied"/>
    <s v="Resolved"/>
  </r>
  <r>
    <s v="TCK-000902"/>
    <s v="2026-05-25T20:45:36Z"/>
    <n v="1625"/>
    <x v="3"/>
    <x v="0"/>
    <x v="7"/>
    <n v="3"/>
    <n v="239"/>
    <x v="0"/>
    <m/>
    <d v="2026-05-25T00:00:00"/>
    <n v="3.9833333333333334"/>
    <n v="0.05"/>
    <x v="0"/>
    <s v="No Rating"/>
    <s v="Resolved"/>
  </r>
  <r>
    <s v="TCK-000903"/>
    <s v="2026-05-26T05:31:12Z"/>
    <n v="1036"/>
    <x v="2"/>
    <x v="2"/>
    <x v="0"/>
    <n v="119"/>
    <n v="776"/>
    <x v="0"/>
    <n v="1"/>
    <d v="2026-05-26T00:00:00"/>
    <n v="12.933333333333334"/>
    <n v="1.9833333333333334"/>
    <x v="0"/>
    <s v="Dissatisfied"/>
    <s v="Resolved"/>
  </r>
  <r>
    <s v="TCK-000904"/>
    <s v="2026-05-26T14:16:48Z"/>
    <n v="1019"/>
    <x v="4"/>
    <x v="3"/>
    <x v="0"/>
    <n v="459"/>
    <m/>
    <x v="3"/>
    <m/>
    <d v="2026-05-26T00:00:00"/>
    <s v=""/>
    <n v="7.65"/>
    <x v="1"/>
    <s v="No Rating"/>
    <s v="Unresolved"/>
  </r>
  <r>
    <s v="TCK-000905"/>
    <s v="2026-05-26T23:02:24Z"/>
    <n v="1263"/>
    <x v="4"/>
    <x v="1"/>
    <x v="2"/>
    <n v="28"/>
    <n v="514"/>
    <x v="0"/>
    <m/>
    <d v="2026-05-26T00:00:00"/>
    <n v="8.5666666666666664"/>
    <n v="0.46666666666666667"/>
    <x v="0"/>
    <s v="No Rating"/>
    <s v="Resolved"/>
  </r>
  <r>
    <s v="TCK-000906"/>
    <s v="2026-05-27T07:48:00Z"/>
    <n v="1750"/>
    <x v="0"/>
    <x v="3"/>
    <x v="1"/>
    <n v="205"/>
    <m/>
    <x v="3"/>
    <m/>
    <d v="2026-05-27T00:00:00"/>
    <s v=""/>
    <n v="3.4166666666666665"/>
    <x v="1"/>
    <s v="No Rating"/>
    <s v="Unresolved"/>
  </r>
  <r>
    <s v="TCK-000907"/>
    <s v="2026-05-27T16:33:36Z"/>
    <n v="1937"/>
    <x v="3"/>
    <x v="0"/>
    <x v="1"/>
    <n v="7"/>
    <m/>
    <x v="3"/>
    <m/>
    <d v="2026-05-27T00:00:00"/>
    <s v=""/>
    <n v="0.11666666666666667"/>
    <x v="1"/>
    <s v="No Rating"/>
    <s v="Unresolved"/>
  </r>
  <r>
    <s v="TCK-000908"/>
    <s v="2026-05-28T01:19:12Z"/>
    <n v="1647"/>
    <x v="3"/>
    <x v="2"/>
    <x v="7"/>
    <n v="147"/>
    <n v="1450"/>
    <x v="0"/>
    <m/>
    <d v="2026-05-28T00:00:00"/>
    <n v="24.166666666666668"/>
    <n v="2.4500000000000002"/>
    <x v="0"/>
    <s v="No Rating"/>
    <s v="Resolved"/>
  </r>
  <r>
    <s v="TCK-000909"/>
    <s v="2026-05-28T10:04:48Z"/>
    <n v="1540"/>
    <x v="4"/>
    <x v="3"/>
    <x v="7"/>
    <n v="278"/>
    <n v="7542"/>
    <x v="0"/>
    <m/>
    <d v="2026-05-28T00:00:00"/>
    <n v="125.7"/>
    <n v="4.6333333333333337"/>
    <x v="2"/>
    <s v="No Rating"/>
    <s v="Resolved"/>
  </r>
  <r>
    <s v="TCK-000910"/>
    <s v="2026-05-28T18:50:24Z"/>
    <n v="1154"/>
    <x v="4"/>
    <x v="2"/>
    <x v="6"/>
    <n v="136"/>
    <n v="2987"/>
    <x v="1"/>
    <m/>
    <d v="2026-05-28T00:00:00"/>
    <n v="49.783333333333331"/>
    <n v="2.2666666666666666"/>
    <x v="2"/>
    <s v="No Rating"/>
    <s v="Resolved"/>
  </r>
  <r>
    <s v="TCK-000911"/>
    <s v="2026-05-29T03:36:00Z"/>
    <n v="1784"/>
    <x v="3"/>
    <x v="2"/>
    <x v="1"/>
    <n v="123"/>
    <m/>
    <x v="2"/>
    <m/>
    <d v="2026-05-29T00:00:00"/>
    <s v=""/>
    <n v="2.0499999999999998"/>
    <x v="1"/>
    <s v="No Rating"/>
    <s v="Unresolved"/>
  </r>
  <r>
    <s v="TCK-000912"/>
    <s v="2026-05-29T12:21:36Z"/>
    <n v="1962"/>
    <x v="3"/>
    <x v="2"/>
    <x v="4"/>
    <n v="85"/>
    <n v="1789"/>
    <x v="0"/>
    <n v="2"/>
    <d v="2026-05-29T00:00:00"/>
    <n v="29.816666666666666"/>
    <n v="1.4166666666666667"/>
    <x v="0"/>
    <s v="Dissatisfied"/>
    <s v="Resolved"/>
  </r>
  <r>
    <s v="TCK-000913"/>
    <s v="2026-05-29T21:07:12Z"/>
    <n v="1904"/>
    <x v="2"/>
    <x v="1"/>
    <x v="0"/>
    <n v="34"/>
    <n v="500"/>
    <x v="1"/>
    <m/>
    <d v="2026-05-29T00:00:00"/>
    <n v="8.3333333333333339"/>
    <n v="0.56666666666666665"/>
    <x v="0"/>
    <s v="No Rating"/>
    <s v="Resolved"/>
  </r>
  <r>
    <s v="TCK-000914"/>
    <s v="2026-05-30T05:52:48Z"/>
    <n v="1618"/>
    <x v="3"/>
    <x v="0"/>
    <x v="3"/>
    <n v="3"/>
    <n v="327"/>
    <x v="0"/>
    <n v="1"/>
    <d v="2026-05-30T00:00:00"/>
    <n v="5.45"/>
    <n v="0.05"/>
    <x v="0"/>
    <s v="Dissatisfied"/>
    <s v="Resolved"/>
  </r>
  <r>
    <s v="TCK-000915"/>
    <s v="2026-05-30T14:38:24Z"/>
    <n v="1090"/>
    <x v="4"/>
    <x v="2"/>
    <x v="3"/>
    <n v="153"/>
    <m/>
    <x v="3"/>
    <m/>
    <d v="2026-05-30T00:00:00"/>
    <s v=""/>
    <n v="2.5499999999999998"/>
    <x v="1"/>
    <s v="No Rating"/>
    <s v="Unresolved"/>
  </r>
  <r>
    <s v="TCK-000916"/>
    <s v="2026-05-30T23:24:00Z"/>
    <n v="1810"/>
    <x v="2"/>
    <x v="0"/>
    <x v="5"/>
    <n v="10"/>
    <n v="123"/>
    <x v="0"/>
    <m/>
    <d v="2026-05-30T00:00:00"/>
    <n v="2.0499999999999998"/>
    <n v="0.16666666666666666"/>
    <x v="0"/>
    <s v="No Rating"/>
    <s v="Resolved"/>
  </r>
  <r>
    <s v="TCK-000917"/>
    <s v="2026-05-31T08:09:36Z"/>
    <n v="1448"/>
    <x v="1"/>
    <x v="0"/>
    <x v="1"/>
    <n v="4"/>
    <m/>
    <x v="2"/>
    <m/>
    <d v="2026-05-31T00:00:00"/>
    <s v=""/>
    <n v="6.6666666666666666E-2"/>
    <x v="1"/>
    <s v="No Rating"/>
    <s v="Unresolved"/>
  </r>
  <r>
    <s v="TCK-000918"/>
    <s v="2026-05-31T16:55:12Z"/>
    <n v="1308"/>
    <x v="2"/>
    <x v="2"/>
    <x v="4"/>
    <n v="91"/>
    <n v="3001"/>
    <x v="0"/>
    <n v="4"/>
    <d v="2026-05-31T00:00:00"/>
    <n v="50.016666666666666"/>
    <n v="1.5166666666666666"/>
    <x v="2"/>
    <s v="Satisfied"/>
    <s v="Resolved"/>
  </r>
  <r>
    <s v="TCK-000919"/>
    <s v="2026-06-01T01:40:48Z"/>
    <n v="1289"/>
    <x v="2"/>
    <x v="1"/>
    <x v="7"/>
    <n v="32"/>
    <n v="1024"/>
    <x v="0"/>
    <m/>
    <d v="2026-06-01T00:00:00"/>
    <n v="17.066666666666666"/>
    <n v="0.53333333333333333"/>
    <x v="0"/>
    <s v="No Rating"/>
    <s v="Resolved"/>
  </r>
  <r>
    <s v="TCK-000920"/>
    <s v="2026-06-01T10:26:24Z"/>
    <n v="1909"/>
    <x v="1"/>
    <x v="1"/>
    <x v="8"/>
    <n v="12"/>
    <n v="763"/>
    <x v="0"/>
    <n v="5"/>
    <d v="2026-06-01T00:00:00"/>
    <n v="12.716666666666667"/>
    <n v="0.2"/>
    <x v="0"/>
    <s v="Satisfied"/>
    <s v="Resolved"/>
  </r>
  <r>
    <s v="TCK-000921"/>
    <s v="2026-06-01T19:12:00Z"/>
    <n v="1009"/>
    <x v="3"/>
    <x v="0"/>
    <x v="4"/>
    <n v="4"/>
    <n v="143"/>
    <x v="0"/>
    <n v="3"/>
    <d v="2026-06-01T00:00:00"/>
    <n v="2.3833333333333333"/>
    <n v="6.6666666666666666E-2"/>
    <x v="0"/>
    <s v="Neutral"/>
    <s v="Resolved"/>
  </r>
  <r>
    <s v="TCK-000922"/>
    <s v="2026-06-02T03:57:36Z"/>
    <n v="1712"/>
    <x v="0"/>
    <x v="0"/>
    <x v="3"/>
    <n v="10"/>
    <n v="299"/>
    <x v="0"/>
    <m/>
    <d v="2026-06-02T00:00:00"/>
    <n v="4.9833333333333334"/>
    <n v="0.16666666666666666"/>
    <x v="0"/>
    <s v="No Rating"/>
    <s v="Resolved"/>
  </r>
  <r>
    <s v="TCK-000923"/>
    <s v="2026-06-02T12:43:12Z"/>
    <n v="1795"/>
    <x v="2"/>
    <x v="2"/>
    <x v="1"/>
    <n v="101"/>
    <m/>
    <x v="3"/>
    <m/>
    <d v="2026-06-02T00:00:00"/>
    <s v=""/>
    <n v="1.6833333333333333"/>
    <x v="1"/>
    <s v="No Rating"/>
    <s v="Unresolved"/>
  </r>
  <r>
    <s v="TCK-000924"/>
    <s v="2026-06-02T21:28:48Z"/>
    <n v="1590"/>
    <x v="3"/>
    <x v="2"/>
    <x v="6"/>
    <n v="90"/>
    <m/>
    <x v="2"/>
    <m/>
    <d v="2026-06-02T00:00:00"/>
    <s v=""/>
    <n v="1.5"/>
    <x v="1"/>
    <s v="No Rating"/>
    <s v="Unresolved"/>
  </r>
  <r>
    <s v="TCK-000925"/>
    <s v="2026-06-03T06:14:24Z"/>
    <n v="1860"/>
    <x v="1"/>
    <x v="3"/>
    <x v="6"/>
    <n v="251"/>
    <n v="7702"/>
    <x v="1"/>
    <m/>
    <d v="2026-06-03T00:00:00"/>
    <n v="128.36666666666667"/>
    <n v="4.1833333333333336"/>
    <x v="2"/>
    <s v="No Rating"/>
    <s v="Resolved"/>
  </r>
  <r>
    <s v="TCK-000926"/>
    <s v="2026-06-03T15:00:00Z"/>
    <n v="1529"/>
    <x v="4"/>
    <x v="1"/>
    <x v="3"/>
    <n v="32"/>
    <n v="1041"/>
    <x v="0"/>
    <n v="4"/>
    <d v="2026-06-03T00:00:00"/>
    <n v="17.350000000000001"/>
    <n v="0.53333333333333333"/>
    <x v="0"/>
    <s v="Satisfied"/>
    <s v="Resolved"/>
  </r>
  <r>
    <s v="TCK-000927"/>
    <s v="2026-06-03T23:45:36Z"/>
    <n v="1112"/>
    <x v="3"/>
    <x v="1"/>
    <x v="2"/>
    <n v="10"/>
    <m/>
    <x v="3"/>
    <m/>
    <d v="2026-06-03T00:00:00"/>
    <s v=""/>
    <n v="0.16666666666666666"/>
    <x v="1"/>
    <s v="No Rating"/>
    <s v="Unresolved"/>
  </r>
  <r>
    <s v="TCK-000928"/>
    <s v="2026-06-04T08:31:12Z"/>
    <n v="1316"/>
    <x v="1"/>
    <x v="2"/>
    <x v="4"/>
    <n v="116"/>
    <n v="2210"/>
    <x v="0"/>
    <m/>
    <d v="2026-06-04T00:00:00"/>
    <n v="36.833333333333336"/>
    <n v="1.9333333333333333"/>
    <x v="0"/>
    <s v="No Rating"/>
    <s v="Resolved"/>
  </r>
  <r>
    <s v="TCK-000929"/>
    <s v="2026-06-04T17:16:48Z"/>
    <n v="1983"/>
    <x v="4"/>
    <x v="0"/>
    <x v="7"/>
    <n v="7"/>
    <n v="182"/>
    <x v="1"/>
    <m/>
    <d v="2026-06-04T00:00:00"/>
    <n v="3.0333333333333332"/>
    <n v="0.11666666666666667"/>
    <x v="0"/>
    <s v="No Rating"/>
    <s v="Resolved"/>
  </r>
  <r>
    <s v="TCK-000930"/>
    <s v="2026-06-05T02:02:24Z"/>
    <n v="1625"/>
    <x v="3"/>
    <x v="2"/>
    <x v="1"/>
    <n v="37"/>
    <m/>
    <x v="2"/>
    <m/>
    <d v="2026-06-05T00:00:00"/>
    <s v=""/>
    <n v="0.6166666666666667"/>
    <x v="1"/>
    <s v="No Rating"/>
    <s v="Unresolved"/>
  </r>
  <r>
    <s v="TCK-000931"/>
    <s v="2026-06-05T10:48:00Z"/>
    <n v="1625"/>
    <x v="3"/>
    <x v="0"/>
    <x v="2"/>
    <n v="7"/>
    <n v="140"/>
    <x v="0"/>
    <n v="3"/>
    <d v="2026-06-05T00:00:00"/>
    <n v="2.3333333333333335"/>
    <n v="0.11666666666666667"/>
    <x v="0"/>
    <s v="Neutral"/>
    <s v="Resolved"/>
  </r>
  <r>
    <s v="TCK-000932"/>
    <s v="2026-06-05T19:33:36Z"/>
    <n v="1149"/>
    <x v="1"/>
    <x v="3"/>
    <x v="2"/>
    <n v="238"/>
    <n v="1619"/>
    <x v="1"/>
    <n v="4"/>
    <d v="2026-06-05T00:00:00"/>
    <n v="26.983333333333334"/>
    <n v="3.9666666666666668"/>
    <x v="0"/>
    <s v="Satisfied"/>
    <s v="Resolved"/>
  </r>
  <r>
    <s v="TCK-000933"/>
    <s v="2026-06-06T04:19:12Z"/>
    <n v="1792"/>
    <x v="3"/>
    <x v="2"/>
    <x v="6"/>
    <n v="84"/>
    <n v="3021"/>
    <x v="0"/>
    <n v="4"/>
    <d v="2026-06-06T00:00:00"/>
    <n v="50.35"/>
    <n v="1.4"/>
    <x v="2"/>
    <s v="Satisfied"/>
    <s v="Resolved"/>
  </r>
  <r>
    <s v="TCK-000934"/>
    <s v="2026-06-06T13:04:48Z"/>
    <n v="1523"/>
    <x v="0"/>
    <x v="1"/>
    <x v="0"/>
    <n v="19"/>
    <n v="472"/>
    <x v="0"/>
    <n v="5"/>
    <d v="2026-06-06T00:00:00"/>
    <n v="7.8666666666666663"/>
    <n v="0.31666666666666665"/>
    <x v="0"/>
    <s v="Satisfied"/>
    <s v="Resolved"/>
  </r>
  <r>
    <s v="TCK-000935"/>
    <s v="2026-06-06T21:50:24Z"/>
    <n v="1211"/>
    <x v="4"/>
    <x v="2"/>
    <x v="0"/>
    <n v="105"/>
    <n v="3434"/>
    <x v="0"/>
    <n v="1"/>
    <d v="2026-06-06T00:00:00"/>
    <n v="57.233333333333334"/>
    <n v="1.75"/>
    <x v="2"/>
    <s v="Dissatisfied"/>
    <s v="Resolved"/>
  </r>
  <r>
    <s v="TCK-000936"/>
    <s v="2026-06-07T06:36:00Z"/>
    <n v="1964"/>
    <x v="2"/>
    <x v="2"/>
    <x v="6"/>
    <n v="133"/>
    <n v="3498"/>
    <x v="1"/>
    <n v="5"/>
    <d v="2026-06-07T00:00:00"/>
    <n v="58.3"/>
    <n v="2.2166666666666668"/>
    <x v="2"/>
    <s v="Satisfied"/>
    <s v="Resolved"/>
  </r>
  <r>
    <s v="TCK-000937"/>
    <s v="2026-06-07T15:21:36Z"/>
    <n v="1996"/>
    <x v="4"/>
    <x v="2"/>
    <x v="7"/>
    <n v="175"/>
    <n v="904"/>
    <x v="1"/>
    <n v="3"/>
    <d v="2026-06-07T00:00:00"/>
    <n v="15.066666666666666"/>
    <n v="2.9166666666666665"/>
    <x v="0"/>
    <s v="Neutral"/>
    <s v="Resolved"/>
  </r>
  <r>
    <s v="TCK-000938"/>
    <s v="2026-06-08T00:07:12Z"/>
    <n v="1919"/>
    <x v="2"/>
    <x v="0"/>
    <x v="4"/>
    <n v="6"/>
    <m/>
    <x v="2"/>
    <m/>
    <d v="2026-06-08T00:00:00"/>
    <s v=""/>
    <n v="0.1"/>
    <x v="1"/>
    <s v="No Rating"/>
    <s v="Unresolved"/>
  </r>
  <r>
    <s v="TCK-000939"/>
    <s v="2026-06-08T08:52:48Z"/>
    <n v="1116"/>
    <x v="3"/>
    <x v="2"/>
    <x v="2"/>
    <n v="75"/>
    <n v="804"/>
    <x v="0"/>
    <n v="5"/>
    <d v="2026-06-08T00:00:00"/>
    <n v="13.4"/>
    <n v="1.25"/>
    <x v="0"/>
    <s v="Satisfied"/>
    <s v="Resolved"/>
  </r>
  <r>
    <s v="TCK-000940"/>
    <s v="2026-06-08T17:38:24Z"/>
    <n v="1079"/>
    <x v="4"/>
    <x v="1"/>
    <x v="8"/>
    <n v="10"/>
    <n v="1076"/>
    <x v="0"/>
    <n v="5"/>
    <d v="2026-06-08T00:00:00"/>
    <n v="17.933333333333334"/>
    <n v="0.16666666666666666"/>
    <x v="0"/>
    <s v="Satisfied"/>
    <s v="Resolved"/>
  </r>
  <r>
    <s v="TCK-000941"/>
    <s v="2026-06-09T02:24:00Z"/>
    <n v="1131"/>
    <x v="1"/>
    <x v="2"/>
    <x v="2"/>
    <n v="32"/>
    <m/>
    <x v="3"/>
    <m/>
    <d v="2026-06-09T00:00:00"/>
    <s v=""/>
    <n v="0.53333333333333333"/>
    <x v="1"/>
    <s v="No Rating"/>
    <s v="Unresolved"/>
  </r>
  <r>
    <s v="TCK-000942"/>
    <s v="2026-06-09T11:09:36Z"/>
    <n v="1709"/>
    <x v="3"/>
    <x v="0"/>
    <x v="2"/>
    <n v="10"/>
    <n v="394"/>
    <x v="1"/>
    <n v="5"/>
    <d v="2026-06-09T00:00:00"/>
    <n v="6.5666666666666664"/>
    <n v="0.16666666666666666"/>
    <x v="0"/>
    <s v="Satisfied"/>
    <s v="Resolved"/>
  </r>
  <r>
    <s v="TCK-000943"/>
    <s v="2026-06-09T19:55:12Z"/>
    <n v="1164"/>
    <x v="3"/>
    <x v="1"/>
    <x v="8"/>
    <n v="21"/>
    <n v="1192"/>
    <x v="0"/>
    <n v="1"/>
    <d v="2026-06-09T00:00:00"/>
    <n v="19.866666666666667"/>
    <n v="0.35"/>
    <x v="0"/>
    <s v="Dissatisfied"/>
    <s v="Resolved"/>
  </r>
  <r>
    <s v="TCK-000944"/>
    <s v="2026-06-10T04:40:48Z"/>
    <n v="1483"/>
    <x v="2"/>
    <x v="0"/>
    <x v="1"/>
    <n v="2"/>
    <n v="144"/>
    <x v="1"/>
    <n v="4"/>
    <d v="2026-06-10T00:00:00"/>
    <n v="2.4"/>
    <n v="3.3333333333333333E-2"/>
    <x v="0"/>
    <s v="Satisfied"/>
    <s v="Resolved"/>
  </r>
  <r>
    <s v="TCK-000945"/>
    <s v="2026-06-10T13:26:24Z"/>
    <n v="1298"/>
    <x v="1"/>
    <x v="2"/>
    <x v="0"/>
    <n v="157"/>
    <n v="1055"/>
    <x v="0"/>
    <n v="1"/>
    <d v="2026-06-10T00:00:00"/>
    <n v="17.583333333333332"/>
    <n v="2.6166666666666667"/>
    <x v="0"/>
    <s v="Dissatisfied"/>
    <s v="Resolved"/>
  </r>
  <r>
    <s v="TCK-000946"/>
    <s v="2026-06-10T22:12:00Z"/>
    <n v="1253"/>
    <x v="4"/>
    <x v="3"/>
    <x v="7"/>
    <n v="76"/>
    <n v="4957"/>
    <x v="0"/>
    <m/>
    <d v="2026-06-10T00:00:00"/>
    <n v="82.61666666666666"/>
    <n v="1.2666666666666666"/>
    <x v="2"/>
    <s v="No Rating"/>
    <s v="Resolved"/>
  </r>
  <r>
    <s v="TCK-000947"/>
    <s v="2026-06-11T06:57:36Z"/>
    <n v="1623"/>
    <x v="2"/>
    <x v="0"/>
    <x v="7"/>
    <n v="2"/>
    <m/>
    <x v="2"/>
    <m/>
    <d v="2026-06-11T00:00:00"/>
    <s v=""/>
    <n v="3.3333333333333333E-2"/>
    <x v="1"/>
    <s v="No Rating"/>
    <s v="Unresolved"/>
  </r>
  <r>
    <s v="TCK-000948"/>
    <s v="2026-06-11T15:43:12Z"/>
    <n v="1918"/>
    <x v="3"/>
    <x v="3"/>
    <x v="0"/>
    <n v="264"/>
    <n v="2466"/>
    <x v="0"/>
    <n v="5"/>
    <d v="2026-06-11T00:00:00"/>
    <n v="41.1"/>
    <n v="4.4000000000000004"/>
    <x v="0"/>
    <s v="Satisfied"/>
    <s v="Resolved"/>
  </r>
  <r>
    <s v="TCK-000949"/>
    <s v="2026-06-12T00:28:48Z"/>
    <n v="1543"/>
    <x v="1"/>
    <x v="3"/>
    <x v="3"/>
    <n v="292"/>
    <n v="4062"/>
    <x v="0"/>
    <m/>
    <d v="2026-06-12T00:00:00"/>
    <n v="67.7"/>
    <n v="4.8666666666666663"/>
    <x v="0"/>
    <s v="No Rating"/>
    <s v="Resolved"/>
  </r>
  <r>
    <s v="TCK-000950"/>
    <s v="2026-06-12T09:14:24Z"/>
    <n v="1400"/>
    <x v="4"/>
    <x v="2"/>
    <x v="2"/>
    <n v="91"/>
    <m/>
    <x v="2"/>
    <m/>
    <d v="2026-06-12T00:00:00"/>
    <s v=""/>
    <n v="1.5166666666666666"/>
    <x v="1"/>
    <s v="No Rating"/>
    <s v="Unresolved"/>
  </r>
  <r>
    <s v="TCK-000951"/>
    <s v="2026-06-12T18:00:00Z"/>
    <n v="1625"/>
    <x v="0"/>
    <x v="2"/>
    <x v="3"/>
    <n v="74"/>
    <m/>
    <x v="2"/>
    <m/>
    <d v="2026-06-12T00:00:00"/>
    <s v=""/>
    <n v="1.2333333333333334"/>
    <x v="1"/>
    <s v="No Rating"/>
    <s v="Unresolved"/>
  </r>
  <r>
    <s v="TCK-000952"/>
    <s v="2026-06-13T02:45:36Z"/>
    <n v="1609"/>
    <x v="2"/>
    <x v="2"/>
    <x v="4"/>
    <n v="91"/>
    <n v="2358"/>
    <x v="0"/>
    <n v="2"/>
    <d v="2026-06-13T00:00:00"/>
    <n v="39.299999999999997"/>
    <n v="1.5166666666666666"/>
    <x v="0"/>
    <s v="Dissatisfied"/>
    <s v="Resolved"/>
  </r>
  <r>
    <s v="TCK-000953"/>
    <s v="2026-06-13T11:31:12Z"/>
    <n v="1493"/>
    <x v="4"/>
    <x v="1"/>
    <x v="8"/>
    <n v="14"/>
    <n v="943"/>
    <x v="0"/>
    <n v="4"/>
    <d v="2026-06-13T00:00:00"/>
    <n v="15.716666666666667"/>
    <n v="0.23333333333333334"/>
    <x v="0"/>
    <s v="Satisfied"/>
    <s v="Resolved"/>
  </r>
  <r>
    <s v="TCK-000954"/>
    <s v="2026-06-13T20:16:48Z"/>
    <n v="1162"/>
    <x v="3"/>
    <x v="2"/>
    <x v="1"/>
    <n v="125"/>
    <n v="2680"/>
    <x v="0"/>
    <m/>
    <d v="2026-06-13T00:00:00"/>
    <n v="44.666666666666664"/>
    <n v="2.0833333333333335"/>
    <x v="0"/>
    <s v="No Rating"/>
    <s v="Resolved"/>
  </r>
  <r>
    <s v="TCK-000955"/>
    <s v="2026-06-14T05:02:24Z"/>
    <n v="1955"/>
    <x v="1"/>
    <x v="2"/>
    <x v="2"/>
    <n v="156"/>
    <n v="3680"/>
    <x v="0"/>
    <m/>
    <d v="2026-06-14T00:00:00"/>
    <n v="61.333333333333336"/>
    <n v="2.6"/>
    <x v="2"/>
    <s v="No Rating"/>
    <s v="Resolved"/>
  </r>
  <r>
    <s v="TCK-000956"/>
    <s v="2026-06-14T13:48:00Z"/>
    <n v="1506"/>
    <x v="0"/>
    <x v="2"/>
    <x v="4"/>
    <n v="59"/>
    <m/>
    <x v="2"/>
    <m/>
    <d v="2026-06-14T00:00:00"/>
    <s v=""/>
    <n v="0.98333333333333328"/>
    <x v="1"/>
    <s v="No Rating"/>
    <s v="Unresolved"/>
  </r>
  <r>
    <s v="TCK-000957"/>
    <s v="2026-06-14T22:33:36Z"/>
    <n v="1788"/>
    <x v="3"/>
    <x v="2"/>
    <x v="3"/>
    <n v="43"/>
    <n v="2422"/>
    <x v="0"/>
    <n v="2"/>
    <d v="2026-06-14T00:00:00"/>
    <n v="40.366666666666667"/>
    <n v="0.71666666666666667"/>
    <x v="0"/>
    <s v="Dissatisfied"/>
    <s v="Resolved"/>
  </r>
  <r>
    <s v="TCK-000958"/>
    <s v="2026-06-15T07:19:12Z"/>
    <n v="1504"/>
    <x v="3"/>
    <x v="3"/>
    <x v="5"/>
    <n v="278"/>
    <n v="2472"/>
    <x v="0"/>
    <m/>
    <d v="2026-06-15T00:00:00"/>
    <n v="41.2"/>
    <n v="4.6333333333333337"/>
    <x v="0"/>
    <s v="No Rating"/>
    <s v="Resolved"/>
  </r>
  <r>
    <s v="TCK-000959"/>
    <s v="2026-06-15T16:04:48Z"/>
    <n v="1742"/>
    <x v="4"/>
    <x v="2"/>
    <x v="4"/>
    <n v="57"/>
    <n v="2276"/>
    <x v="0"/>
    <n v="2"/>
    <d v="2026-06-15T00:00:00"/>
    <n v="37.93333333333333"/>
    <n v="0.95"/>
    <x v="0"/>
    <s v="Dissatisfied"/>
    <s v="Resolved"/>
  </r>
  <r>
    <s v="TCK-000960"/>
    <s v="2026-06-16T00:50:24Z"/>
    <n v="1265"/>
    <x v="1"/>
    <x v="3"/>
    <x v="6"/>
    <n v="458"/>
    <n v="1838"/>
    <x v="1"/>
    <n v="1"/>
    <d v="2026-06-16T00:00:00"/>
    <n v="30.633333333333333"/>
    <n v="7.6333333333333337"/>
    <x v="0"/>
    <s v="Dissatisfied"/>
    <s v="Resolved"/>
  </r>
  <r>
    <s v="TCK-000961"/>
    <s v="2026-06-16T09:36:00Z"/>
    <n v="1174"/>
    <x v="2"/>
    <x v="2"/>
    <x v="6"/>
    <n v="136"/>
    <n v="3678"/>
    <x v="1"/>
    <m/>
    <d v="2026-06-16T00:00:00"/>
    <n v="61.3"/>
    <n v="2.2666666666666666"/>
    <x v="2"/>
    <s v="No Rating"/>
    <s v="Resolved"/>
  </r>
  <r>
    <s v="TCK-000962"/>
    <s v="2026-06-16T18:21:36Z"/>
    <n v="1526"/>
    <x v="1"/>
    <x v="2"/>
    <x v="0"/>
    <n v="114"/>
    <n v="1805"/>
    <x v="0"/>
    <m/>
    <d v="2026-06-16T00:00:00"/>
    <n v="30.083333333333332"/>
    <n v="1.9"/>
    <x v="0"/>
    <s v="No Rating"/>
    <s v="Resolved"/>
  </r>
  <r>
    <s v="TCK-000963"/>
    <s v="2026-06-17T03:07:12Z"/>
    <n v="1958"/>
    <x v="0"/>
    <x v="0"/>
    <x v="7"/>
    <n v="11"/>
    <n v="332"/>
    <x v="0"/>
    <m/>
    <d v="2026-06-17T00:00:00"/>
    <n v="5.5333333333333332"/>
    <n v="0.18333333333333332"/>
    <x v="0"/>
    <s v="No Rating"/>
    <s v="Resolved"/>
  </r>
  <r>
    <s v="TCK-000964"/>
    <s v="2026-06-17T11:52:48Z"/>
    <n v="1248"/>
    <x v="1"/>
    <x v="1"/>
    <x v="3"/>
    <n v="41"/>
    <n v="994"/>
    <x v="0"/>
    <n v="2"/>
    <d v="2026-06-17T00:00:00"/>
    <n v="16.566666666666666"/>
    <n v="0.68333333333333335"/>
    <x v="0"/>
    <s v="Dissatisfied"/>
    <s v="Resolved"/>
  </r>
  <r>
    <s v="TCK-000965"/>
    <s v="2026-06-17T20:38:24Z"/>
    <n v="1260"/>
    <x v="3"/>
    <x v="3"/>
    <x v="7"/>
    <n v="335"/>
    <n v="1608"/>
    <x v="0"/>
    <m/>
    <d v="2026-06-17T00:00:00"/>
    <n v="26.8"/>
    <n v="5.583333333333333"/>
    <x v="0"/>
    <s v="No Rating"/>
    <s v="Resolved"/>
  </r>
  <r>
    <s v="TCK-000966"/>
    <s v="2026-06-18T05:24:00Z"/>
    <n v="1582"/>
    <x v="3"/>
    <x v="3"/>
    <x v="0"/>
    <n v="445"/>
    <n v="7802"/>
    <x v="0"/>
    <n v="3"/>
    <d v="2026-06-18T00:00:00"/>
    <n v="130.03333333333333"/>
    <n v="7.416666666666667"/>
    <x v="2"/>
    <s v="Neutral"/>
    <s v="Resolved"/>
  </r>
  <r>
    <s v="TCK-000967"/>
    <s v="2026-06-18T14:09:36Z"/>
    <n v="1157"/>
    <x v="4"/>
    <x v="0"/>
    <x v="4"/>
    <n v="2"/>
    <m/>
    <x v="2"/>
    <m/>
    <d v="2026-06-18T00:00:00"/>
    <s v=""/>
    <n v="3.3333333333333333E-2"/>
    <x v="1"/>
    <s v="No Rating"/>
    <s v="Unresolved"/>
  </r>
  <r>
    <s v="TCK-000968"/>
    <s v="2026-06-18T22:55:12Z"/>
    <n v="1038"/>
    <x v="2"/>
    <x v="3"/>
    <x v="7"/>
    <n v="111"/>
    <m/>
    <x v="3"/>
    <m/>
    <d v="2026-06-18T00:00:00"/>
    <s v=""/>
    <n v="1.85"/>
    <x v="1"/>
    <s v="No Rating"/>
    <s v="Unresolved"/>
  </r>
  <r>
    <s v="TCK-000969"/>
    <s v="2026-06-19T07:40:48Z"/>
    <n v="1871"/>
    <x v="1"/>
    <x v="2"/>
    <x v="8"/>
    <n v="162"/>
    <n v="2455"/>
    <x v="1"/>
    <n v="4"/>
    <d v="2026-06-19T00:00:00"/>
    <n v="40.916666666666664"/>
    <n v="2.7"/>
    <x v="0"/>
    <s v="Satisfied"/>
    <s v="Resolved"/>
  </r>
  <r>
    <s v="TCK-000970"/>
    <s v="2026-06-19T16:26:24Z"/>
    <n v="1565"/>
    <x v="3"/>
    <x v="2"/>
    <x v="5"/>
    <n v="45"/>
    <n v="1216"/>
    <x v="0"/>
    <m/>
    <d v="2026-06-19T00:00:00"/>
    <n v="20.266666666666666"/>
    <n v="0.75"/>
    <x v="0"/>
    <s v="No Rating"/>
    <s v="Resolved"/>
  </r>
  <r>
    <s v="TCK-000971"/>
    <s v="2026-06-20T01:12:00Z"/>
    <n v="1405"/>
    <x v="0"/>
    <x v="2"/>
    <x v="1"/>
    <n v="37"/>
    <n v="3301"/>
    <x v="0"/>
    <n v="4"/>
    <d v="2026-06-20T00:00:00"/>
    <n v="55.016666666666666"/>
    <n v="0.6166666666666667"/>
    <x v="2"/>
    <s v="Satisfied"/>
    <s v="Resolved"/>
  </r>
  <r>
    <s v="TCK-000972"/>
    <s v="2026-06-20T09:57:36Z"/>
    <n v="1887"/>
    <x v="0"/>
    <x v="0"/>
    <x v="2"/>
    <n v="6"/>
    <n v="275"/>
    <x v="0"/>
    <n v="2"/>
    <d v="2026-06-20T00:00:00"/>
    <n v="4.583333333333333"/>
    <n v="0.1"/>
    <x v="0"/>
    <s v="Dissatisfied"/>
    <s v="Resolved"/>
  </r>
  <r>
    <s v="TCK-000973"/>
    <s v="2026-06-20T18:43:12Z"/>
    <n v="1157"/>
    <x v="0"/>
    <x v="2"/>
    <x v="4"/>
    <n v="143"/>
    <n v="1300"/>
    <x v="0"/>
    <n v="3"/>
    <d v="2026-06-20T00:00:00"/>
    <n v="21.666666666666668"/>
    <n v="2.3833333333333333"/>
    <x v="0"/>
    <s v="Neutral"/>
    <s v="Resolved"/>
  </r>
  <r>
    <s v="TCK-000974"/>
    <s v="2026-06-21T03:28:48Z"/>
    <n v="1132"/>
    <x v="0"/>
    <x v="2"/>
    <x v="4"/>
    <n v="127"/>
    <n v="791"/>
    <x v="0"/>
    <m/>
    <d v="2026-06-21T00:00:00"/>
    <n v="13.183333333333334"/>
    <n v="2.1166666666666667"/>
    <x v="0"/>
    <s v="No Rating"/>
    <s v="Resolved"/>
  </r>
  <r>
    <s v="TCK-000975"/>
    <s v="2026-06-21T12:14:24Z"/>
    <n v="1565"/>
    <x v="4"/>
    <x v="3"/>
    <x v="4"/>
    <n v="322"/>
    <n v="4701"/>
    <x v="1"/>
    <n v="3"/>
    <d v="2026-06-21T00:00:00"/>
    <n v="78.349999999999994"/>
    <n v="5.3666666666666663"/>
    <x v="2"/>
    <s v="Neutral"/>
    <s v="Resolved"/>
  </r>
  <r>
    <s v="TCK-000976"/>
    <s v="2026-06-21T21:00:00Z"/>
    <n v="1808"/>
    <x v="3"/>
    <x v="2"/>
    <x v="6"/>
    <n v="146"/>
    <n v="3158"/>
    <x v="1"/>
    <n v="2"/>
    <d v="2026-06-21T00:00:00"/>
    <n v="52.633333333333333"/>
    <n v="2.4333333333333331"/>
    <x v="2"/>
    <s v="Dissatisfied"/>
    <s v="Resolved"/>
  </r>
  <r>
    <s v="TCK-000977"/>
    <s v="2026-06-22T05:45:36Z"/>
    <n v="1882"/>
    <x v="1"/>
    <x v="2"/>
    <x v="7"/>
    <n v="111"/>
    <m/>
    <x v="3"/>
    <m/>
    <d v="2026-06-22T00:00:00"/>
    <s v=""/>
    <n v="1.85"/>
    <x v="1"/>
    <s v="No Rating"/>
    <s v="Unresolved"/>
  </r>
  <r>
    <s v="TCK-000978"/>
    <s v="2026-06-22T14:31:12Z"/>
    <n v="1027"/>
    <x v="4"/>
    <x v="3"/>
    <x v="0"/>
    <n v="186"/>
    <n v="2418"/>
    <x v="0"/>
    <m/>
    <d v="2026-06-22T00:00:00"/>
    <n v="40.299999999999997"/>
    <n v="3.1"/>
    <x v="0"/>
    <s v="No Rating"/>
    <s v="Resolved"/>
  </r>
  <r>
    <s v="TCK-000979"/>
    <s v="2026-06-22T23:16:48Z"/>
    <n v="1194"/>
    <x v="0"/>
    <x v="1"/>
    <x v="8"/>
    <n v="42"/>
    <n v="286"/>
    <x v="0"/>
    <n v="1"/>
    <d v="2026-06-22T00:00:00"/>
    <n v="4.7666666666666666"/>
    <n v="0.7"/>
    <x v="0"/>
    <s v="Dissatisfied"/>
    <s v="Resolved"/>
  </r>
  <r>
    <s v="TCK-000980"/>
    <s v="2026-06-23T08:02:24Z"/>
    <n v="1543"/>
    <x v="4"/>
    <x v="1"/>
    <x v="0"/>
    <n v="43"/>
    <n v="1081"/>
    <x v="0"/>
    <n v="1"/>
    <d v="2026-06-23T00:00:00"/>
    <n v="18.016666666666666"/>
    <n v="0.71666666666666667"/>
    <x v="0"/>
    <s v="Dissatisfied"/>
    <s v="Resolved"/>
  </r>
  <r>
    <s v="TCK-000981"/>
    <s v="2026-06-23T16:48:00Z"/>
    <n v="1870"/>
    <x v="1"/>
    <x v="2"/>
    <x v="7"/>
    <n v="121"/>
    <n v="2648"/>
    <x v="0"/>
    <n v="1"/>
    <d v="2026-06-23T00:00:00"/>
    <n v="44.133333333333333"/>
    <n v="2.0166666666666666"/>
    <x v="0"/>
    <s v="Dissatisfied"/>
    <s v="Resolved"/>
  </r>
  <r>
    <s v="TCK-000982"/>
    <s v="2026-06-24T01:33:36Z"/>
    <n v="1640"/>
    <x v="3"/>
    <x v="2"/>
    <x v="7"/>
    <n v="67"/>
    <n v="678"/>
    <x v="0"/>
    <m/>
    <d v="2026-06-24T00:00:00"/>
    <n v="11.3"/>
    <n v="1.1166666666666667"/>
    <x v="0"/>
    <s v="No Rating"/>
    <s v="Resolved"/>
  </r>
  <r>
    <s v="TCK-000983"/>
    <s v="2026-06-24T10:19:12Z"/>
    <n v="1041"/>
    <x v="4"/>
    <x v="1"/>
    <x v="7"/>
    <n v="26"/>
    <n v="1210"/>
    <x v="1"/>
    <n v="3"/>
    <d v="2026-06-24T00:00:00"/>
    <n v="20.166666666666668"/>
    <n v="0.43333333333333335"/>
    <x v="0"/>
    <s v="Neutral"/>
    <s v="Resolved"/>
  </r>
  <r>
    <s v="TCK-000984"/>
    <s v="2026-06-24T19:04:48Z"/>
    <n v="1662"/>
    <x v="0"/>
    <x v="3"/>
    <x v="7"/>
    <n v="120"/>
    <n v="1927"/>
    <x v="0"/>
    <m/>
    <d v="2026-06-24T00:00:00"/>
    <n v="32.116666666666667"/>
    <n v="2"/>
    <x v="0"/>
    <s v="No Rating"/>
    <s v="Resolved"/>
  </r>
  <r>
    <s v="TCK-000985"/>
    <s v="2026-06-25T03:50:24Z"/>
    <n v="1923"/>
    <x v="3"/>
    <x v="2"/>
    <x v="2"/>
    <n v="65"/>
    <n v="995"/>
    <x v="0"/>
    <m/>
    <d v="2026-06-25T00:00:00"/>
    <n v="16.583333333333332"/>
    <n v="1.0833333333333333"/>
    <x v="0"/>
    <s v="No Rating"/>
    <s v="Resolved"/>
  </r>
  <r>
    <s v="TCK-000986"/>
    <s v="2026-06-25T12:36:00Z"/>
    <n v="1179"/>
    <x v="0"/>
    <x v="0"/>
    <x v="7"/>
    <n v="3"/>
    <n v="118"/>
    <x v="0"/>
    <n v="3"/>
    <d v="2026-06-25T00:00:00"/>
    <n v="1.9666666666666666"/>
    <n v="0.05"/>
    <x v="0"/>
    <s v="Neutral"/>
    <s v="Resolved"/>
  </r>
  <r>
    <s v="TCK-000987"/>
    <s v="2026-06-25T21:21:36Z"/>
    <n v="1537"/>
    <x v="1"/>
    <x v="3"/>
    <x v="7"/>
    <n v="317"/>
    <n v="4817"/>
    <x v="0"/>
    <m/>
    <d v="2026-06-25T00:00:00"/>
    <n v="80.283333333333331"/>
    <n v="5.2833333333333332"/>
    <x v="2"/>
    <s v="No Rating"/>
    <s v="Resolved"/>
  </r>
  <r>
    <s v="TCK-000988"/>
    <s v="2026-06-26T06:07:12Z"/>
    <n v="1862"/>
    <x v="4"/>
    <x v="2"/>
    <x v="0"/>
    <n v="74"/>
    <n v="2949"/>
    <x v="1"/>
    <n v="5"/>
    <d v="2026-06-26T00:00:00"/>
    <n v="49.15"/>
    <n v="1.2333333333333334"/>
    <x v="2"/>
    <s v="Satisfied"/>
    <s v="Resolved"/>
  </r>
  <r>
    <s v="TCK-000989"/>
    <s v="2026-06-26T14:52:48Z"/>
    <n v="1847"/>
    <x v="1"/>
    <x v="3"/>
    <x v="4"/>
    <n v="289"/>
    <n v="2968"/>
    <x v="0"/>
    <m/>
    <d v="2026-06-26T00:00:00"/>
    <n v="49.466666666666669"/>
    <n v="4.8166666666666664"/>
    <x v="0"/>
    <s v="No Rating"/>
    <s v="Resolved"/>
  </r>
  <r>
    <s v="TCK-000990"/>
    <s v="2026-06-26T23:38:24Z"/>
    <n v="1994"/>
    <x v="0"/>
    <x v="1"/>
    <x v="3"/>
    <n v="44"/>
    <n v="912"/>
    <x v="0"/>
    <n v="3"/>
    <d v="2026-06-26T00:00:00"/>
    <n v="15.2"/>
    <n v="0.73333333333333328"/>
    <x v="0"/>
    <s v="Neutral"/>
    <s v="Resolved"/>
  </r>
  <r>
    <s v="TCK-000991"/>
    <s v="2026-06-27T08:24:00Z"/>
    <n v="1728"/>
    <x v="2"/>
    <x v="2"/>
    <x v="3"/>
    <n v="156"/>
    <m/>
    <x v="3"/>
    <m/>
    <d v="2026-06-27T00:00:00"/>
    <s v=""/>
    <n v="2.6"/>
    <x v="1"/>
    <s v="No Rating"/>
    <s v="Unresolved"/>
  </r>
  <r>
    <s v="TCK-000992"/>
    <s v="2026-06-27T17:09:36Z"/>
    <n v="1426"/>
    <x v="1"/>
    <x v="0"/>
    <x v="7"/>
    <n v="8"/>
    <n v="222"/>
    <x v="1"/>
    <n v="4"/>
    <d v="2026-06-27T00:00:00"/>
    <n v="3.7"/>
    <n v="0.13333333333333333"/>
    <x v="0"/>
    <s v="Satisfied"/>
    <s v="Resolved"/>
  </r>
  <r>
    <s v="TCK-000993"/>
    <s v="2026-06-28T01:55:12Z"/>
    <n v="1939"/>
    <x v="3"/>
    <x v="0"/>
    <x v="8"/>
    <n v="8"/>
    <n v="332"/>
    <x v="0"/>
    <m/>
    <d v="2026-06-28T00:00:00"/>
    <n v="5.5333333333333332"/>
    <n v="0.13333333333333333"/>
    <x v="0"/>
    <s v="No Rating"/>
    <s v="Resolved"/>
  </r>
  <r>
    <s v="TCK-000994"/>
    <s v="2026-06-28T10:40:48Z"/>
    <n v="1793"/>
    <x v="1"/>
    <x v="0"/>
    <x v="3"/>
    <n v="9"/>
    <n v="230"/>
    <x v="0"/>
    <m/>
    <d v="2026-06-28T00:00:00"/>
    <n v="3.8333333333333335"/>
    <n v="0.15"/>
    <x v="0"/>
    <s v="No Rating"/>
    <s v="Resolved"/>
  </r>
  <r>
    <s v="TCK-000995"/>
    <s v="2026-06-28T19:26:24Z"/>
    <n v="1322"/>
    <x v="4"/>
    <x v="2"/>
    <x v="7"/>
    <n v="38"/>
    <m/>
    <x v="2"/>
    <m/>
    <d v="2026-06-28T00:00:00"/>
    <s v=""/>
    <n v="0.6333333333333333"/>
    <x v="1"/>
    <s v="No Rating"/>
    <s v="Unresolved"/>
  </r>
  <r>
    <s v="TCK-000996"/>
    <s v="2026-06-29T04:12:00Z"/>
    <n v="1978"/>
    <x v="1"/>
    <x v="2"/>
    <x v="6"/>
    <n v="79"/>
    <n v="831"/>
    <x v="0"/>
    <n v="1"/>
    <d v="2026-06-29T00:00:00"/>
    <n v="13.85"/>
    <n v="1.3166666666666667"/>
    <x v="0"/>
    <s v="Dissatisfied"/>
    <s v="Resolved"/>
  </r>
  <r>
    <s v="TCK-000997"/>
    <s v="2026-06-29T12:57:36Z"/>
    <n v="1521"/>
    <x v="1"/>
    <x v="0"/>
    <x v="5"/>
    <n v="10"/>
    <n v="302"/>
    <x v="0"/>
    <n v="5"/>
    <d v="2026-06-29T00:00:00"/>
    <n v="5.0333333333333332"/>
    <n v="0.16666666666666666"/>
    <x v="0"/>
    <s v="Satisfied"/>
    <s v="Resolved"/>
  </r>
  <r>
    <s v="TCK-000998"/>
    <s v="2026-06-29T21:43:12Z"/>
    <n v="1845"/>
    <x v="0"/>
    <x v="2"/>
    <x v="3"/>
    <n v="162"/>
    <m/>
    <x v="2"/>
    <m/>
    <d v="2026-06-29T00:00:00"/>
    <s v=""/>
    <n v="2.7"/>
    <x v="1"/>
    <s v="No Rating"/>
    <s v="Unresolved"/>
  </r>
  <r>
    <s v="TCK-000999"/>
    <s v="2026-06-30T06:28:48Z"/>
    <n v="1169"/>
    <x v="1"/>
    <x v="3"/>
    <x v="2"/>
    <n v="83"/>
    <n v="5698"/>
    <x v="0"/>
    <n v="1"/>
    <d v="2026-06-30T00:00:00"/>
    <n v="94.966666666666669"/>
    <n v="1.3833333333333333"/>
    <x v="2"/>
    <s v="Dissatisfied"/>
    <s v="Resolved"/>
  </r>
  <r>
    <s v="TCK-001000"/>
    <s v="2026-06-30T15:14:24Z"/>
    <n v="1321"/>
    <x v="0"/>
    <x v="3"/>
    <x v="5"/>
    <n v="429"/>
    <m/>
    <x v="2"/>
    <m/>
    <d v="2026-06-30T00:00:00"/>
    <s v=""/>
    <n v="7.15"/>
    <x v="1"/>
    <s v="No Rating"/>
    <s v="Unresolve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TCK-000001"/>
    <s v="2025-07-01T00:00:00Z"/>
    <n v="1175"/>
    <s v="Chat"/>
    <s v="Urgent"/>
    <s v="Data import"/>
    <n v="3"/>
    <n v="412"/>
    <s v="closed"/>
    <m/>
    <d v="2025-07-01T00:00:00"/>
    <n v="6.8666666666666663"/>
    <n v="0.05"/>
    <s v="Within SLA"/>
    <s v="No Rating"/>
    <s v="Resolved"/>
    <s v="Jul-2025"/>
    <x v="0"/>
  </r>
  <r>
    <s v="TCK-000002"/>
    <s v="2025-07-01T08:45:36Z"/>
    <n v="1019"/>
    <s v="Social"/>
    <s v="High"/>
    <s v="Data import"/>
    <n v="34"/>
    <n v="507"/>
    <s v="resolved"/>
    <m/>
    <d v="2025-07-01T00:00:00"/>
    <n v="8.4499999999999993"/>
    <n v="0.56666666666666665"/>
    <s v="Within SLA"/>
    <s v="No Rating"/>
    <s v="Resolved"/>
    <s v="Jul-2025"/>
    <x v="0"/>
  </r>
  <r>
    <s v="TCK-000003"/>
    <s v="2025-07-01T17:31:12Z"/>
    <n v="1278"/>
    <s v="Chat"/>
    <s v="Urgent"/>
    <s v="Performance"/>
    <n v="8"/>
    <n v="305"/>
    <s v="closed"/>
    <m/>
    <d v="2025-07-01T00:00:00"/>
    <n v="5.083333333333333"/>
    <n v="0.13333333333333333"/>
    <s v="Within SLA"/>
    <s v="No Rating"/>
    <s v="Resolved"/>
    <s v="Jul-2025"/>
    <x v="0"/>
  </r>
  <r>
    <s v="TCK-000004"/>
    <s v="2025-07-02T02:16:48Z"/>
    <n v="1448"/>
    <s v="Web form"/>
    <s v="Normal"/>
    <s v="Billing"/>
    <n v="65"/>
    <m/>
    <s v="open"/>
    <m/>
    <d v="2025-07-02T00:00:00"/>
    <s v=""/>
    <n v="1.0833333333333333"/>
    <s v="Open"/>
    <s v="No Rating"/>
    <s v="Unresolved"/>
    <s v="Jul-2025"/>
    <x v="0"/>
  </r>
  <r>
    <s v="TCK-000005"/>
    <s v="2025-07-02T11:02:24Z"/>
    <n v="1936"/>
    <s v="Email"/>
    <s v="Low"/>
    <s v="Feature request"/>
    <n v="431"/>
    <n v="3785"/>
    <s v="closed"/>
    <n v="4"/>
    <d v="2025-07-02T00:00:00"/>
    <n v="63.083333333333336"/>
    <n v="7.1833333333333336"/>
    <s v="Within SLA"/>
    <s v="Satisfied"/>
    <s v="Resolved"/>
    <s v="Jul-2025"/>
    <x v="0"/>
  </r>
  <r>
    <s v="TCK-000006"/>
    <m/>
    <n v="1471"/>
    <s v="Social"/>
    <s v="Low"/>
    <s v="Feature request"/>
    <n v="302"/>
    <n v="1808"/>
    <s v="closed"/>
    <n v="1"/>
    <s v=""/>
    <n v="30.133333333333333"/>
    <n v="5.0333333333333332"/>
    <s v="Within SLA"/>
    <s v="Dissatisfied"/>
    <s v="Resolved"/>
    <s v=""/>
    <x v="1"/>
  </r>
  <r>
    <s v="TCK-000007"/>
    <s v="2025-07-03T04:33:36Z"/>
    <n v="1949"/>
    <s v="Web form"/>
    <s v="Low"/>
    <s v="Performance"/>
    <n v="206"/>
    <n v="2717"/>
    <s v="closed"/>
    <n v="1"/>
    <d v="2025-07-03T00:00:00"/>
    <n v="45.283333333333331"/>
    <n v="3.4333333333333331"/>
    <s v="Within SLA"/>
    <s v="Dissatisfied"/>
    <s v="Resolved"/>
    <s v="Jul-2025"/>
    <x v="0"/>
  </r>
  <r>
    <s v="TCK-000008"/>
    <s v="2025-07-03T13:19:12Z"/>
    <n v="1968"/>
    <s v="Chat"/>
    <s v="Normal"/>
    <s v="Billing"/>
    <n v="85"/>
    <n v="771"/>
    <s v="closed"/>
    <m/>
    <d v="2025-07-03T00:00:00"/>
    <n v="12.85"/>
    <n v="1.4166666666666667"/>
    <s v="Within SLA"/>
    <s v="No Rating"/>
    <s v="Resolved"/>
    <s v="Jul-2025"/>
    <x v="0"/>
  </r>
  <r>
    <s v="TCK-000009"/>
    <s v="2025-07-03T22:04:48Z"/>
    <n v="1750"/>
    <s v="Chat"/>
    <s v="Normal"/>
    <s v="Integration"/>
    <n v="32"/>
    <m/>
    <s v="pending"/>
    <m/>
    <d v="2025-07-03T00:00:00"/>
    <s v=""/>
    <n v="0.53333333333333333"/>
    <s v="Open"/>
    <s v="No Rating"/>
    <s v="Unresolved"/>
    <s v="Jul-2025"/>
    <x v="0"/>
  </r>
  <r>
    <s v="TCK-000010"/>
    <s v="2025-07-04T06:50:24Z"/>
    <n v="1591"/>
    <s v="Phone"/>
    <s v="Normal"/>
    <s v="Integration"/>
    <n v="63"/>
    <n v="1975"/>
    <s v="closed"/>
    <n v="2"/>
    <d v="2025-07-04T00:00:00"/>
    <n v="32.916666666666664"/>
    <n v="1.05"/>
    <s v="Within SLA"/>
    <s v="Dissatisfied"/>
    <s v="Resolved"/>
    <s v="Jul-2025"/>
    <x v="0"/>
  </r>
  <r>
    <s v="TCK-000011"/>
    <s v="2025-07-04T15:36:00Z"/>
    <n v="1908"/>
    <s v="Chat"/>
    <s v="High"/>
    <s v="Data import"/>
    <n v="21"/>
    <n v="174"/>
    <s v="resolved"/>
    <n v="1"/>
    <d v="2025-07-04T00:00:00"/>
    <n v="2.9"/>
    <n v="0.35"/>
    <s v="Within SLA"/>
    <s v="Dissatisfied"/>
    <s v="Resolved"/>
    <s v="Jul-2025"/>
    <x v="0"/>
  </r>
  <r>
    <s v="TCK-000012"/>
    <s v="2025-07-05T00:21:36Z"/>
    <n v="1982"/>
    <s v="Social"/>
    <s v="Low"/>
    <s v="Performance"/>
    <n v="343"/>
    <n v="6881"/>
    <s v="closed"/>
    <m/>
    <d v="2025-07-05T00:00:00"/>
    <n v="114.68333333333334"/>
    <n v="5.7166666666666668"/>
    <s v="Breached"/>
    <s v="No Rating"/>
    <s v="Resolved"/>
    <s v="Jul-2025"/>
    <x v="0"/>
  </r>
  <r>
    <s v="TCK-000013"/>
    <s v="2025-07-05T09:07:12Z"/>
    <n v="1099"/>
    <s v="Web form"/>
    <s v="Low"/>
    <s v="Bug report"/>
    <n v="442"/>
    <n v="6637"/>
    <s v="closed"/>
    <n v="1"/>
    <d v="2025-07-05T00:00:00"/>
    <n v="110.61666666666666"/>
    <n v="7.3666666666666663"/>
    <s v="Breached"/>
    <s v="Dissatisfied"/>
    <s v="Resolved"/>
    <s v="Jul-2025"/>
    <x v="0"/>
  </r>
  <r>
    <s v="TCK-000014"/>
    <s v="2025-07-05T17:52:48Z"/>
    <n v="1055"/>
    <s v="Web form"/>
    <s v="Urgent"/>
    <s v="Feature request"/>
    <n v="10"/>
    <n v="406"/>
    <s v="closed"/>
    <m/>
    <d v="2025-07-05T00:00:00"/>
    <n v="6.7666666666666666"/>
    <n v="0.16666666666666666"/>
    <s v="Within SLA"/>
    <s v="No Rating"/>
    <s v="Resolved"/>
    <s v="Jul-2025"/>
    <x v="0"/>
  </r>
  <r>
    <s v="TCK-000015"/>
    <s v="2025-07-06T02:38:24Z"/>
    <n v="1214"/>
    <s v="Phone"/>
    <s v="Low"/>
    <s v="Export"/>
    <n v="122"/>
    <n v="2695"/>
    <s v="resolved"/>
    <n v="3"/>
    <d v="2025-07-06T00:00:00"/>
    <n v="44.916666666666664"/>
    <n v="2.0333333333333332"/>
    <s v="Within SLA"/>
    <s v="Neutral"/>
    <s v="Resolved"/>
    <s v="Jul-2025"/>
    <x v="0"/>
  </r>
  <r>
    <s v="TCK-000016"/>
    <s v="2025-07-06T11:24:00Z"/>
    <n v="1730"/>
    <s v="Web form"/>
    <s v="Urgent"/>
    <s v="Integration"/>
    <n v="3"/>
    <n v="173"/>
    <s v="closed"/>
    <n v="2"/>
    <d v="2025-07-06T00:00:00"/>
    <n v="2.8833333333333333"/>
    <n v="0.05"/>
    <s v="Within SLA"/>
    <s v="Dissatisfied"/>
    <s v="Resolved"/>
    <s v="Jul-2025"/>
    <x v="0"/>
  </r>
  <r>
    <s v="TCK-000017"/>
    <s v="2025-07-06T20:09:36Z"/>
    <n v="1469"/>
    <s v="Phone"/>
    <s v="Low"/>
    <s v="Account"/>
    <n v="337"/>
    <n v="6240"/>
    <s v="closed"/>
    <m/>
    <d v="2025-07-06T00:00:00"/>
    <n v="104"/>
    <n v="5.6166666666666663"/>
    <s v="Breached"/>
    <s v="No Rating"/>
    <s v="Resolved"/>
    <s v="Jul-2025"/>
    <x v="0"/>
  </r>
  <r>
    <s v="TCK-000018"/>
    <s v="2025-07-07T04:55:12Z"/>
    <n v="1802"/>
    <s v="Email"/>
    <s v="Normal"/>
    <s v="Export"/>
    <n v="157"/>
    <m/>
    <s v="pending"/>
    <m/>
    <d v="2025-07-07T00:00:00"/>
    <s v=""/>
    <n v="2.6166666666666667"/>
    <s v="Open"/>
    <s v="No Rating"/>
    <s v="Unresolved"/>
    <s v="Jul-2025"/>
    <x v="0"/>
  </r>
  <r>
    <s v="TCK-000019"/>
    <s v="2025-07-07T13:40:48Z"/>
    <n v="1538"/>
    <s v="Social"/>
    <s v="Normal"/>
    <s v="Account"/>
    <n v="166"/>
    <n v="1810"/>
    <s v="resolved"/>
    <m/>
    <d v="2025-07-07T00:00:00"/>
    <n v="30.166666666666668"/>
    <n v="2.7666666666666666"/>
    <s v="Within SLA"/>
    <s v="No Rating"/>
    <s v="Resolved"/>
    <s v="Jul-2025"/>
    <x v="0"/>
  </r>
  <r>
    <s v="TCK-000020"/>
    <s v="2025-07-07T22:26:24Z"/>
    <n v="1295"/>
    <s v="Web form"/>
    <s v="Urgent"/>
    <s v="Login"/>
    <n v="3"/>
    <n v="123"/>
    <s v="resolved"/>
    <n v="4"/>
    <d v="2025-07-07T00:00:00"/>
    <n v="2.0499999999999998"/>
    <n v="0.05"/>
    <s v="Within SLA"/>
    <s v="Satisfied"/>
    <s v="Resolved"/>
    <s v="Jul-2025"/>
    <x v="0"/>
  </r>
  <r>
    <s v="TCK-000021"/>
    <s v="2025-07-08T07:12:00Z"/>
    <n v="1646"/>
    <s v="Web form"/>
    <s v="High"/>
    <s v="Data import"/>
    <n v="15"/>
    <m/>
    <s v="open"/>
    <m/>
    <d v="2025-07-08T00:00:00"/>
    <s v=""/>
    <n v="0.25"/>
    <s v="Open"/>
    <s v="No Rating"/>
    <s v="Unresolved"/>
    <s v="Jul-2025"/>
    <x v="0"/>
  </r>
  <r>
    <s v="TCK-000022"/>
    <s v="2025-07-08T15:57:36Z"/>
    <n v="1880"/>
    <s v="Social"/>
    <s v="Normal"/>
    <s v="Login"/>
    <n v="46"/>
    <m/>
    <s v="open"/>
    <m/>
    <d v="2025-07-08T00:00:00"/>
    <s v=""/>
    <n v="0.76666666666666672"/>
    <s v="Open"/>
    <s v="No Rating"/>
    <s v="Unresolved"/>
    <s v="Jul-2025"/>
    <x v="0"/>
  </r>
  <r>
    <s v="TCK-000023"/>
    <s v="2025-07-09T00:43:12Z"/>
    <n v="1808"/>
    <s v="Web form"/>
    <s v="Low"/>
    <s v="Performance"/>
    <n v="217"/>
    <n v="6190"/>
    <s v="closed"/>
    <m/>
    <d v="2025-07-09T00:00:00"/>
    <n v="103.16666666666667"/>
    <n v="3.6166666666666667"/>
    <s v="Breached"/>
    <s v="No Rating"/>
    <s v="Resolved"/>
    <s v="Jul-2025"/>
    <x v="0"/>
  </r>
  <r>
    <s v="TCK-000024"/>
    <s v="2025-07-09T09:28:48Z"/>
    <n v="1887"/>
    <s v="Social"/>
    <s v="Low"/>
    <s v="Integration"/>
    <n v="263"/>
    <n v="7047"/>
    <s v="closed"/>
    <m/>
    <d v="2025-07-09T00:00:00"/>
    <n v="117.45"/>
    <n v="4.3833333333333337"/>
    <s v="Breached"/>
    <s v="No Rating"/>
    <s v="Resolved"/>
    <s v="Jul-2025"/>
    <x v="0"/>
  </r>
  <r>
    <s v="TCK-000025"/>
    <s v="2025-07-09T18:14:24Z"/>
    <n v="1909"/>
    <s v="Phone"/>
    <s v="Low"/>
    <s v="Performance"/>
    <n v="446"/>
    <m/>
    <s v="open"/>
    <m/>
    <d v="2025-07-09T00:00:00"/>
    <s v=""/>
    <n v="7.4333333333333336"/>
    <s v="Open"/>
    <s v="No Rating"/>
    <s v="Unresolved"/>
    <s v="Jul-2025"/>
    <x v="0"/>
  </r>
  <r>
    <s v="TCK-000026"/>
    <s v="2025-07-10T03:00:00Z"/>
    <n v="1950"/>
    <s v="Chat"/>
    <s v="Low"/>
    <s v="Account"/>
    <n v="165"/>
    <m/>
    <s v="open"/>
    <m/>
    <d v="2025-07-10T00:00:00"/>
    <s v=""/>
    <n v="2.75"/>
    <s v="Open"/>
    <s v="No Rating"/>
    <s v="Unresolved"/>
    <s v="Jul-2025"/>
    <x v="0"/>
  </r>
  <r>
    <s v="TCK-000027"/>
    <s v="2025-07-10T11:45:36Z"/>
    <n v="1028"/>
    <s v="Phone"/>
    <s v="Normal"/>
    <s v="Export"/>
    <n v="123"/>
    <n v="792"/>
    <s v="resolved"/>
    <n v="2"/>
    <d v="2025-07-10T00:00:00"/>
    <n v="13.2"/>
    <n v="2.0499999999999998"/>
    <s v="Within SLA"/>
    <s v="Dissatisfied"/>
    <s v="Resolved"/>
    <s v="Jul-2025"/>
    <x v="0"/>
  </r>
  <r>
    <s v="TCK-000028"/>
    <s v="2025-07-10T20:31:12Z"/>
    <n v="1035"/>
    <s v="Web form"/>
    <s v="High"/>
    <s v="Feature request"/>
    <n v="24"/>
    <n v="235"/>
    <s v="closed"/>
    <n v="4"/>
    <d v="2025-07-10T00:00:00"/>
    <n v="3.9166666666666665"/>
    <n v="0.4"/>
    <s v="Within SLA"/>
    <s v="Satisfied"/>
    <s v="Resolved"/>
    <s v="Jul-2025"/>
    <x v="0"/>
  </r>
  <r>
    <s v="TCK-000029"/>
    <s v="2025-07-11T05:16:48Z"/>
    <n v="1426"/>
    <s v="Chat"/>
    <s v="Low"/>
    <s v="Feature request"/>
    <n v="405"/>
    <n v="4942"/>
    <s v="closed"/>
    <n v="3"/>
    <d v="2025-07-11T00:00:00"/>
    <n v="82.36666666666666"/>
    <n v="6.75"/>
    <s v="Breached"/>
    <s v="Neutral"/>
    <s v="Resolved"/>
    <s v="Jul-2025"/>
    <x v="0"/>
  </r>
  <r>
    <s v="TCK-000030"/>
    <s v="2025-07-11T14:02:24Z"/>
    <n v="1908"/>
    <s v="Phone"/>
    <s v="Low"/>
    <s v="Account"/>
    <n v="432"/>
    <n v="2314"/>
    <s v="closed"/>
    <n v="3"/>
    <d v="2025-07-11T00:00:00"/>
    <n v="38.56666666666667"/>
    <n v="7.2"/>
    <s v="Within SLA"/>
    <s v="Neutral"/>
    <s v="Resolved"/>
    <s v="Jul-2025"/>
    <x v="0"/>
  </r>
  <r>
    <s v="TCK-000031"/>
    <s v="2025-07-11T22:48:00Z"/>
    <n v="1540"/>
    <s v="Web form"/>
    <s v="Normal"/>
    <s v="Billing"/>
    <n v="90"/>
    <m/>
    <s v="open"/>
    <m/>
    <d v="2025-07-11T00:00:00"/>
    <s v=""/>
    <n v="1.5"/>
    <s v="Open"/>
    <s v="No Rating"/>
    <s v="Unresolved"/>
    <s v="Jul-2025"/>
    <x v="0"/>
  </r>
  <r>
    <s v="TCK-000032"/>
    <s v="2025-07-12T07:33:36Z"/>
    <n v="1059"/>
    <s v="Web form"/>
    <s v="Urgent"/>
    <s v="Bug report"/>
    <n v="2"/>
    <n v="221"/>
    <s v="closed"/>
    <n v="4"/>
    <d v="2025-07-12T00:00:00"/>
    <n v="3.6833333333333331"/>
    <n v="3.3333333333333333E-2"/>
    <s v="Within SLA"/>
    <s v="Satisfied"/>
    <s v="Resolved"/>
    <s v="Jul-2025"/>
    <x v="0"/>
  </r>
  <r>
    <s v="TCK-000033"/>
    <s v="2025-07-12T16:19:12Z"/>
    <n v="1205"/>
    <s v="Email"/>
    <s v="Urgent"/>
    <s v="Data import"/>
    <n v="9"/>
    <n v="422"/>
    <s v="resolved"/>
    <n v="3"/>
    <d v="2025-07-12T00:00:00"/>
    <n v="7.0333333333333332"/>
    <n v="0.15"/>
    <s v="Within SLA"/>
    <s v="Neutral"/>
    <s v="Resolved"/>
    <s v="Jul-2025"/>
    <x v="0"/>
  </r>
  <r>
    <s v="TCK-000034"/>
    <s v="2025-07-13T01:04:48Z"/>
    <n v="1441"/>
    <s v="Email"/>
    <s v="Normal"/>
    <s v="Billing"/>
    <n v="150"/>
    <n v="1715"/>
    <s v="closed"/>
    <n v="1"/>
    <d v="2025-07-13T00:00:00"/>
    <n v="28.583333333333332"/>
    <n v="2.5"/>
    <s v="Within SLA"/>
    <s v="Dissatisfied"/>
    <s v="Resolved"/>
    <s v="Jul-2025"/>
    <x v="0"/>
  </r>
  <r>
    <s v="TCK-000035"/>
    <s v="2025-07-13T09:50:24Z"/>
    <n v="1403"/>
    <s v="Chat"/>
    <s v="Normal"/>
    <s v="Export"/>
    <n v="36"/>
    <n v="3180"/>
    <s v="resolved"/>
    <m/>
    <d v="2025-07-13T00:00:00"/>
    <n v="53"/>
    <n v="0.6"/>
    <s v="Breached"/>
    <s v="No Rating"/>
    <s v="Resolved"/>
    <s v="Jul-2025"/>
    <x v="0"/>
  </r>
  <r>
    <s v="TCK-000036"/>
    <s v="2025-07-13T18:36:00Z"/>
    <n v="1702"/>
    <s v="Web form"/>
    <s v="Low"/>
    <s v="Integration"/>
    <n v="233"/>
    <n v="2898"/>
    <s v="resolved"/>
    <m/>
    <d v="2025-07-13T00:00:00"/>
    <n v="48.3"/>
    <n v="3.8833333333333333"/>
    <s v="Within SLA"/>
    <s v="No Rating"/>
    <s v="Resolved"/>
    <s v="Jul-2025"/>
    <x v="0"/>
  </r>
  <r>
    <s v="TCK-000037"/>
    <s v="2025-07-14T03:21:36Z"/>
    <n v="1041"/>
    <s v="Phone"/>
    <s v="Urgent"/>
    <s v="Integration"/>
    <n v="7"/>
    <n v="427"/>
    <s v="closed"/>
    <n v="4"/>
    <d v="2025-07-14T00:00:00"/>
    <n v="7.1166666666666663"/>
    <n v="0.11666666666666667"/>
    <s v="Within SLA"/>
    <s v="Satisfied"/>
    <s v="Resolved"/>
    <s v="Jul-2025"/>
    <x v="0"/>
  </r>
  <r>
    <s v="TCK-000038"/>
    <s v="2025-07-14T12:07:12Z"/>
    <n v="1169"/>
    <s v="Web form"/>
    <s v="Low"/>
    <s v="Bug report"/>
    <n v="335"/>
    <n v="5407"/>
    <s v="closed"/>
    <m/>
    <d v="2025-07-14T00:00:00"/>
    <n v="90.11666666666666"/>
    <n v="5.583333333333333"/>
    <s v="Breached"/>
    <s v="No Rating"/>
    <s v="Resolved"/>
    <s v="Jul-2025"/>
    <x v="0"/>
  </r>
  <r>
    <s v="TCK-000039"/>
    <s v="2025-07-14T20:52:48Z"/>
    <n v="1116"/>
    <s v="Web form"/>
    <s v="Normal"/>
    <s v="Integration"/>
    <n v="103"/>
    <m/>
    <s v="open"/>
    <m/>
    <d v="2025-07-14T00:00:00"/>
    <s v=""/>
    <n v="1.7166666666666666"/>
    <s v="Open"/>
    <s v="No Rating"/>
    <s v="Unresolved"/>
    <s v="Jul-2025"/>
    <x v="0"/>
  </r>
  <r>
    <s v="TCK-000040"/>
    <s v="2025-07-15T05:38:24Z"/>
    <n v="1360"/>
    <s v="Social"/>
    <s v="Low"/>
    <s v="Feature request"/>
    <n v="148"/>
    <n v="4350"/>
    <s v="resolved"/>
    <n v="3"/>
    <d v="2025-07-15T00:00:00"/>
    <n v="72.5"/>
    <n v="2.4666666666666668"/>
    <s v="Breached"/>
    <s v="Neutral"/>
    <s v="Resolved"/>
    <s v="Jul-2025"/>
    <x v="0"/>
  </r>
  <r>
    <s v="TCK-000041"/>
    <s v="2025-07-15T14:24:00Z"/>
    <n v="1872"/>
    <s v="Email"/>
    <s v="Urgent"/>
    <s v="Login"/>
    <n v="11"/>
    <n v="325"/>
    <s v="closed"/>
    <n v="5"/>
    <d v="2025-07-15T00:00:00"/>
    <n v="5.416666666666667"/>
    <n v="0.18333333333333332"/>
    <s v="Within SLA"/>
    <s v="Satisfied"/>
    <s v="Resolved"/>
    <s v="Jul-2025"/>
    <x v="0"/>
  </r>
  <r>
    <s v="TCK-000042"/>
    <s v="2025-07-15T23:09:36Z"/>
    <n v="1524"/>
    <s v="Web form"/>
    <s v="Normal"/>
    <s v="Bug report"/>
    <n v="177"/>
    <n v="3585"/>
    <s v="resolved"/>
    <n v="4"/>
    <d v="2025-07-15T00:00:00"/>
    <n v="59.75"/>
    <n v="2.95"/>
    <s v="Breached"/>
    <s v="Satisfied"/>
    <s v="Resolved"/>
    <s v="Jul-2025"/>
    <x v="0"/>
  </r>
  <r>
    <s v="TCK-000043"/>
    <s v="2025-07-16T07:55:12Z"/>
    <n v="1215"/>
    <s v="Social"/>
    <s v="Normal"/>
    <s v="Export"/>
    <n v="168"/>
    <n v="1020"/>
    <s v="closed"/>
    <n v="3"/>
    <d v="2025-07-16T00:00:00"/>
    <n v="17"/>
    <n v="2.8"/>
    <s v="Within SLA"/>
    <s v="Neutral"/>
    <s v="Resolved"/>
    <s v="Jul-2025"/>
    <x v="0"/>
  </r>
  <r>
    <s v="TCK-000044"/>
    <s v="2025-07-16T16:40:48Z"/>
    <n v="1627"/>
    <s v="Web form"/>
    <s v="Normal"/>
    <s v="Data import"/>
    <n v="64"/>
    <n v="2766"/>
    <s v="closed"/>
    <m/>
    <d v="2025-07-16T00:00:00"/>
    <n v="46.1"/>
    <n v="1.0666666666666667"/>
    <s v="Within SLA"/>
    <s v="No Rating"/>
    <s v="Resolved"/>
    <s v="Jul-2025"/>
    <x v="0"/>
  </r>
  <r>
    <s v="TCK-000045"/>
    <s v="2025-07-17T01:26:24Z"/>
    <n v="1235"/>
    <s v="Web form"/>
    <s v="Normal"/>
    <s v="Integration"/>
    <n v="97"/>
    <n v="2317"/>
    <s v="closed"/>
    <n v="3"/>
    <d v="2025-07-17T00:00:00"/>
    <n v="38.616666666666667"/>
    <n v="1.6166666666666667"/>
    <s v="Within SLA"/>
    <s v="Neutral"/>
    <s v="Resolved"/>
    <s v="Jul-2025"/>
    <x v="0"/>
  </r>
  <r>
    <s v="TCK-000046"/>
    <s v="2025-07-17T10:12:00Z"/>
    <n v="1245"/>
    <s v="Social"/>
    <s v="Urgent"/>
    <s v="Data import"/>
    <n v="9"/>
    <m/>
    <s v="open"/>
    <m/>
    <d v="2025-07-17T00:00:00"/>
    <s v=""/>
    <n v="0.15"/>
    <s v="Open"/>
    <s v="No Rating"/>
    <s v="Unresolved"/>
    <s v="Jul-2025"/>
    <x v="0"/>
  </r>
  <r>
    <s v="TCK-000047"/>
    <s v="2025-07-17T18:57:36Z"/>
    <n v="1286"/>
    <s v="Social"/>
    <s v="Urgent"/>
    <s v="Feature request"/>
    <n v="9"/>
    <n v="272"/>
    <s v="closed"/>
    <n v="1"/>
    <d v="2025-07-17T00:00:00"/>
    <n v="4.5333333333333332"/>
    <n v="0.15"/>
    <s v="Within SLA"/>
    <s v="Dissatisfied"/>
    <s v="Resolved"/>
    <s v="Jul-2025"/>
    <x v="0"/>
  </r>
  <r>
    <s v="TCK-000048"/>
    <s v="2025-07-18T03:43:12Z"/>
    <n v="1286"/>
    <s v="Social"/>
    <s v="High"/>
    <s v="Account"/>
    <n v="29"/>
    <n v="656"/>
    <s v="closed"/>
    <m/>
    <d v="2025-07-18T00:00:00"/>
    <n v="10.933333333333334"/>
    <n v="0.48333333333333334"/>
    <s v="Within SLA"/>
    <s v="No Rating"/>
    <s v="Resolved"/>
    <s v="Jul-2025"/>
    <x v="0"/>
  </r>
  <r>
    <s v="TCK-000049"/>
    <s v="2025-07-18T12:28:48Z"/>
    <n v="1730"/>
    <s v="Social"/>
    <s v="Low"/>
    <s v="Billing"/>
    <n v="137"/>
    <n v="7351"/>
    <s v="closed"/>
    <n v="3"/>
    <d v="2025-07-18T00:00:00"/>
    <n v="122.51666666666667"/>
    <n v="2.2833333333333332"/>
    <s v="Breached"/>
    <s v="Neutral"/>
    <s v="Resolved"/>
    <s v="Jul-2025"/>
    <x v="0"/>
  </r>
  <r>
    <s v="TCK-000050"/>
    <s v="2025-07-18T21:14:24Z"/>
    <n v="1462"/>
    <s v="Email"/>
    <s v="Normal"/>
    <s v="Data import"/>
    <n v="84"/>
    <n v="1972"/>
    <s v="closed"/>
    <n v="5"/>
    <d v="2025-07-18T00:00:00"/>
    <n v="32.866666666666667"/>
    <n v="1.4"/>
    <s v="Within SLA"/>
    <s v="Satisfied"/>
    <s v="Resolved"/>
    <s v="Jul-2025"/>
    <x v="0"/>
  </r>
  <r>
    <s v="TCK-000051"/>
    <s v="2025-07-19T06:00:00Z"/>
    <n v="1656"/>
    <s v="Email"/>
    <s v="Normal"/>
    <s v="Data import"/>
    <n v="60"/>
    <n v="1291"/>
    <s v="closed"/>
    <m/>
    <d v="2025-07-19T00:00:00"/>
    <n v="21.516666666666666"/>
    <n v="1"/>
    <s v="Within SLA"/>
    <s v="No Rating"/>
    <s v="Resolved"/>
    <s v="Jul-2025"/>
    <x v="0"/>
  </r>
  <r>
    <s v="TCK-000052"/>
    <s v="2025-07-19T14:45:36Z"/>
    <n v="1882"/>
    <s v="Phone"/>
    <s v="Normal"/>
    <s v="Data import"/>
    <n v="88"/>
    <m/>
    <s v="pending"/>
    <m/>
    <d v="2025-07-19T00:00:00"/>
    <s v=""/>
    <n v="1.4666666666666666"/>
    <s v="Open"/>
    <s v="No Rating"/>
    <s v="Unresolved"/>
    <s v="Jul-2025"/>
    <x v="0"/>
  </r>
  <r>
    <s v="TCK-000053"/>
    <s v="2025-07-19T23:31:12Z"/>
    <n v="1832"/>
    <s v="Phone"/>
    <s v="Urgent"/>
    <s v="Bug report"/>
    <n v="11"/>
    <n v="305"/>
    <s v="closed"/>
    <n v="2"/>
    <d v="2025-07-19T00:00:00"/>
    <n v="5.083333333333333"/>
    <n v="0.18333333333333332"/>
    <s v="Within SLA"/>
    <s v="Dissatisfied"/>
    <s v="Resolved"/>
    <s v="Jul-2025"/>
    <x v="0"/>
  </r>
  <r>
    <s v="TCK-000054"/>
    <s v="2025-07-20T08:16:48Z"/>
    <n v="1691"/>
    <s v="Social"/>
    <s v="Normal"/>
    <s v="Performance"/>
    <n v="93"/>
    <n v="2645"/>
    <s v="closed"/>
    <n v="4"/>
    <d v="2025-07-20T00:00:00"/>
    <n v="44.083333333333336"/>
    <n v="1.55"/>
    <s v="Within SLA"/>
    <s v="Satisfied"/>
    <s v="Resolved"/>
    <s v="Jul-2025"/>
    <x v="0"/>
  </r>
  <r>
    <s v="TCK-000055"/>
    <s v="2025-07-20T17:02:24Z"/>
    <n v="1304"/>
    <s v="Social"/>
    <s v="High"/>
    <s v="Performance"/>
    <n v="38"/>
    <n v="332"/>
    <s v="closed"/>
    <m/>
    <d v="2025-07-20T00:00:00"/>
    <n v="5.5333333333333332"/>
    <n v="0.6333333333333333"/>
    <s v="Within SLA"/>
    <s v="No Rating"/>
    <s v="Resolved"/>
    <s v="Jul-2025"/>
    <x v="0"/>
  </r>
  <r>
    <s v="TCK-000056"/>
    <s v="2025-07-21T01:48:00Z"/>
    <n v="1014"/>
    <s v="Web form"/>
    <s v="High"/>
    <s v="Login"/>
    <n v="45"/>
    <n v="603"/>
    <s v="closed"/>
    <m/>
    <d v="2025-07-21T00:00:00"/>
    <n v="10.050000000000001"/>
    <n v="0.75"/>
    <s v="Within SLA"/>
    <s v="No Rating"/>
    <s v="Resolved"/>
    <s v="Jul-2025"/>
    <x v="0"/>
  </r>
  <r>
    <s v="TCK-000057"/>
    <s v="2025-07-21T10:33:36Z"/>
    <n v="1302"/>
    <s v="Email"/>
    <s v="Normal"/>
    <s v="Billing"/>
    <n v="135"/>
    <n v="1536"/>
    <s v="resolved"/>
    <n v="5"/>
    <d v="2025-07-21T00:00:00"/>
    <n v="25.6"/>
    <n v="2.25"/>
    <s v="Within SLA"/>
    <s v="Satisfied"/>
    <s v="Resolved"/>
    <s v="Jul-2025"/>
    <x v="0"/>
  </r>
  <r>
    <s v="TCK-000058"/>
    <s v="2025-07-21T19:19:12Z"/>
    <n v="1044"/>
    <s v="Phone"/>
    <s v="Urgent"/>
    <s v="Bug report"/>
    <n v="9"/>
    <n v="253"/>
    <s v="closed"/>
    <m/>
    <d v="2025-07-21T00:00:00"/>
    <n v="4.2166666666666668"/>
    <n v="0.15"/>
    <s v="Within SLA"/>
    <s v="No Rating"/>
    <s v="Resolved"/>
    <s v="Jul-2025"/>
    <x v="0"/>
  </r>
  <r>
    <s v="TCK-000059"/>
    <s v="2025-07-22T04:04:48Z"/>
    <n v="1852"/>
    <s v="Email"/>
    <s v="Low"/>
    <s v="Billing"/>
    <n v="334"/>
    <n v="7272"/>
    <s v="resolved"/>
    <n v="5"/>
    <d v="2025-07-22T00:00:00"/>
    <n v="121.2"/>
    <n v="5.5666666666666664"/>
    <s v="Breached"/>
    <s v="Satisfied"/>
    <s v="Resolved"/>
    <s v="Jul-2025"/>
    <x v="0"/>
  </r>
  <r>
    <s v="TCK-000060"/>
    <s v="2025-07-22T12:50:24Z"/>
    <n v="1272"/>
    <s v="Email"/>
    <s v="Low"/>
    <s v="Feature request"/>
    <n v="358"/>
    <n v="8804"/>
    <s v="resolved"/>
    <n v="4"/>
    <d v="2025-07-22T00:00:00"/>
    <n v="146.73333333333332"/>
    <n v="5.9666666666666668"/>
    <s v="Breached"/>
    <s v="Satisfied"/>
    <s v="Resolved"/>
    <s v="Jul-2025"/>
    <x v="0"/>
  </r>
  <r>
    <s v="TCK-000061"/>
    <s v="2025-07-22T21:36:00Z"/>
    <n v="1510"/>
    <s v="Chat"/>
    <s v="Low"/>
    <s v="Login"/>
    <n v="83"/>
    <n v="5306"/>
    <s v="closed"/>
    <n v="4"/>
    <d v="2025-07-22T00:00:00"/>
    <n v="88.433333333333337"/>
    <n v="1.3833333333333333"/>
    <s v="Breached"/>
    <s v="Satisfied"/>
    <s v="Resolved"/>
    <s v="Jul-2025"/>
    <x v="0"/>
  </r>
  <r>
    <s v="TCK-000062"/>
    <s v="2025-07-23T06:21:36Z"/>
    <n v="1846"/>
    <s v="Social"/>
    <s v="Normal"/>
    <s v="Bug report"/>
    <n v="92"/>
    <n v="2405"/>
    <s v="resolved"/>
    <n v="4"/>
    <d v="2025-07-23T00:00:00"/>
    <n v="40.083333333333336"/>
    <n v="1.5333333333333334"/>
    <s v="Within SLA"/>
    <s v="Satisfied"/>
    <s v="Resolved"/>
    <s v="Jul-2025"/>
    <x v="0"/>
  </r>
  <r>
    <s v="TCK-000063"/>
    <s v="2025-07-23T15:07:12Z"/>
    <n v="1505"/>
    <s v="Email"/>
    <s v="Normal"/>
    <s v="Login"/>
    <n v="37"/>
    <n v="3555"/>
    <s v="closed"/>
    <n v="3"/>
    <d v="2025-07-23T00:00:00"/>
    <n v="59.25"/>
    <n v="0.6166666666666667"/>
    <s v="Breached"/>
    <s v="Neutral"/>
    <s v="Resolved"/>
    <s v="Jul-2025"/>
    <x v="0"/>
  </r>
  <r>
    <s v="TCK-000064"/>
    <s v="2025-07-23T23:52:48Z"/>
    <n v="1163"/>
    <s v="Web form"/>
    <s v="Normal"/>
    <s v="Integration"/>
    <n v="82"/>
    <m/>
    <s v="pending"/>
    <m/>
    <d v="2025-07-23T00:00:00"/>
    <s v=""/>
    <n v="1.3666666666666667"/>
    <s v="Open"/>
    <s v="No Rating"/>
    <s v="Unresolved"/>
    <s v="Jul-2025"/>
    <x v="0"/>
  </r>
  <r>
    <s v="TCK-000065"/>
    <s v="2025-07-24T08:38:24Z"/>
    <n v="1467"/>
    <s v="Social"/>
    <s v="Normal"/>
    <s v="Data import"/>
    <n v="154"/>
    <n v="953"/>
    <s v="closed"/>
    <n v="5"/>
    <d v="2025-07-24T00:00:00"/>
    <n v="15.883333333333333"/>
    <n v="2.5666666666666669"/>
    <s v="Within SLA"/>
    <s v="Satisfied"/>
    <s v="Resolved"/>
    <s v="Jul-2025"/>
    <x v="0"/>
  </r>
  <r>
    <s v="TCK-000066"/>
    <s v="2025-07-24T17:24:00Z"/>
    <n v="1727"/>
    <s v="Web form"/>
    <s v="High"/>
    <s v="Performance"/>
    <n v="18"/>
    <n v="517"/>
    <s v="closed"/>
    <m/>
    <d v="2025-07-24T00:00:00"/>
    <n v="8.6166666666666671"/>
    <n v="0.3"/>
    <s v="Within SLA"/>
    <s v="No Rating"/>
    <s v="Resolved"/>
    <s v="Jul-2025"/>
    <x v="0"/>
  </r>
  <r>
    <s v="TCK-000067"/>
    <s v="2025-07-25T02:09:36Z"/>
    <n v="1656"/>
    <s v="Social"/>
    <s v="Normal"/>
    <s v="Login"/>
    <n v="146"/>
    <m/>
    <s v="open"/>
    <m/>
    <d v="2025-07-25T00:00:00"/>
    <s v=""/>
    <n v="2.4333333333333331"/>
    <s v="Open"/>
    <s v="No Rating"/>
    <s v="Unresolved"/>
    <s v="Jul-2025"/>
    <x v="0"/>
  </r>
  <r>
    <s v="TCK-000068"/>
    <s v="2025-07-25T10:55:12Z"/>
    <n v="1142"/>
    <s v="Web form"/>
    <s v="Low"/>
    <s v="Performance"/>
    <n v="225"/>
    <n v="4766"/>
    <s v="resolved"/>
    <n v="2"/>
    <d v="2025-07-25T00:00:00"/>
    <n v="79.433333333333337"/>
    <n v="3.75"/>
    <s v="Breached"/>
    <s v="Dissatisfied"/>
    <s v="Resolved"/>
    <s v="Jul-2025"/>
    <x v="0"/>
  </r>
  <r>
    <s v="TCK-000069"/>
    <s v="2025-07-25T19:40:48Z"/>
    <n v="1767"/>
    <s v="Social"/>
    <s v="Normal"/>
    <s v="Account"/>
    <n v="127"/>
    <n v="671"/>
    <s v="resolved"/>
    <n v="4"/>
    <d v="2025-07-25T00:00:00"/>
    <n v="11.183333333333334"/>
    <n v="2.1166666666666667"/>
    <s v="Within SLA"/>
    <s v="Satisfied"/>
    <s v="Resolved"/>
    <s v="Jul-2025"/>
    <x v="0"/>
  </r>
  <r>
    <s v="TCK-000070"/>
    <s v="2025-07-26T04:26:24Z"/>
    <n v="1103"/>
    <s v="Chat"/>
    <s v="Normal"/>
    <s v="Integration"/>
    <n v="150"/>
    <n v="2818"/>
    <s v="closed"/>
    <m/>
    <d v="2025-07-26T00:00:00"/>
    <n v="46.966666666666669"/>
    <n v="2.5"/>
    <s v="Within SLA"/>
    <s v="No Rating"/>
    <s v="Resolved"/>
    <s v="Jul-2025"/>
    <x v="0"/>
  </r>
  <r>
    <s v="TCK-000071"/>
    <s v="2025-07-26T13:12:00Z"/>
    <n v="1188"/>
    <s v="Chat"/>
    <s v="Low"/>
    <s v="Export"/>
    <n v="98"/>
    <n v="6022"/>
    <s v="resolved"/>
    <n v="2"/>
    <d v="2025-07-26T00:00:00"/>
    <n v="100.36666666666666"/>
    <n v="1.6333333333333333"/>
    <s v="Breached"/>
    <s v="Dissatisfied"/>
    <s v="Resolved"/>
    <s v="Jul-2025"/>
    <x v="0"/>
  </r>
  <r>
    <s v="TCK-000072"/>
    <s v="2025-07-26T21:57:36Z"/>
    <n v="1455"/>
    <s v="Phone"/>
    <s v="Urgent"/>
    <s v="Billing"/>
    <n v="9"/>
    <m/>
    <s v="open"/>
    <m/>
    <d v="2025-07-26T00:00:00"/>
    <s v=""/>
    <n v="0.15"/>
    <s v="Open"/>
    <s v="No Rating"/>
    <s v="Unresolved"/>
    <s v="Jul-2025"/>
    <x v="0"/>
  </r>
  <r>
    <s v="TCK-000073"/>
    <s v="2025-07-27T06:43:12Z"/>
    <n v="1179"/>
    <s v="Phone"/>
    <s v="Normal"/>
    <s v="Integration"/>
    <n v="85"/>
    <n v="3589"/>
    <s v="closed"/>
    <m/>
    <d v="2025-07-27T00:00:00"/>
    <n v="59.81666666666667"/>
    <n v="1.4166666666666667"/>
    <s v="Breached"/>
    <s v="No Rating"/>
    <s v="Resolved"/>
    <s v="Jul-2025"/>
    <x v="0"/>
  </r>
  <r>
    <s v="TCK-000074"/>
    <s v="2025-07-27T15:28:48Z"/>
    <n v="1974"/>
    <s v="Phone"/>
    <s v="Urgent"/>
    <s v="Export"/>
    <n v="7"/>
    <n v="253"/>
    <s v="closed"/>
    <n v="5"/>
    <d v="2025-07-27T00:00:00"/>
    <n v="4.2166666666666668"/>
    <n v="0.11666666666666667"/>
    <s v="Within SLA"/>
    <s v="Satisfied"/>
    <s v="Resolved"/>
    <s v="Jul-2025"/>
    <x v="0"/>
  </r>
  <r>
    <s v="TCK-000075"/>
    <s v="2025-07-28T00:14:24Z"/>
    <n v="1401"/>
    <s v="Web form"/>
    <s v="Urgent"/>
    <s v="Performance"/>
    <n v="8"/>
    <n v="196"/>
    <s v="closed"/>
    <n v="3"/>
    <d v="2025-07-28T00:00:00"/>
    <n v="3.2666666666666666"/>
    <n v="0.13333333333333333"/>
    <s v="Within SLA"/>
    <s v="Neutral"/>
    <s v="Resolved"/>
    <s v="Jul-2025"/>
    <x v="0"/>
  </r>
  <r>
    <s v="TCK-000076"/>
    <s v="2025-07-28T09:00:00Z"/>
    <n v="1780"/>
    <s v="Social"/>
    <s v="Normal"/>
    <s v="Bug report"/>
    <n v="100"/>
    <n v="3400"/>
    <s v="resolved"/>
    <n v="2"/>
    <d v="2025-07-28T00:00:00"/>
    <n v="56.666666666666664"/>
    <n v="1.6666666666666667"/>
    <s v="Breached"/>
    <s v="Dissatisfied"/>
    <s v="Resolved"/>
    <s v="Jul-2025"/>
    <x v="0"/>
  </r>
  <r>
    <s v="TCK-000077"/>
    <s v="2025-07-28T17:45:36Z"/>
    <n v="1773"/>
    <s v="Email"/>
    <s v="Normal"/>
    <s v="Integration"/>
    <n v="75"/>
    <n v="1890"/>
    <s v="closed"/>
    <n v="1"/>
    <d v="2025-07-28T00:00:00"/>
    <n v="31.5"/>
    <n v="1.25"/>
    <s v="Within SLA"/>
    <s v="Dissatisfied"/>
    <s v="Resolved"/>
    <s v="Jul-2025"/>
    <x v="0"/>
  </r>
  <r>
    <s v="TCK-000078"/>
    <s v="2025-07-29T02:31:12Z"/>
    <n v="1827"/>
    <s v="Chat"/>
    <s v="Normal"/>
    <s v="Performance"/>
    <n v="110"/>
    <n v="804"/>
    <s v="closed"/>
    <m/>
    <d v="2025-07-29T00:00:00"/>
    <n v="13.4"/>
    <n v="1.8333333333333333"/>
    <s v="Within SLA"/>
    <s v="No Rating"/>
    <s v="Resolved"/>
    <s v="Jul-2025"/>
    <x v="0"/>
  </r>
  <r>
    <s v="TCK-000079"/>
    <s v="2025-07-29T11:16:48Z"/>
    <n v="1320"/>
    <s v="Email"/>
    <s v="Urgent"/>
    <s v="Bug report"/>
    <n v="12"/>
    <m/>
    <s v="open"/>
    <m/>
    <d v="2025-07-29T00:00:00"/>
    <s v=""/>
    <n v="0.2"/>
    <s v="Open"/>
    <s v="No Rating"/>
    <s v="Unresolved"/>
    <s v="Jul-2025"/>
    <x v="0"/>
  </r>
  <r>
    <s v="TCK-000080"/>
    <s v="2025-07-29T20:02:24Z"/>
    <n v="1809"/>
    <s v="Email"/>
    <s v="Low"/>
    <s v="Integration"/>
    <n v="478"/>
    <n v="7910"/>
    <s v="closed"/>
    <n v="1"/>
    <d v="2025-07-29T00:00:00"/>
    <n v="131.83333333333334"/>
    <n v="7.9666666666666668"/>
    <s v="Breached"/>
    <s v="Dissatisfied"/>
    <s v="Resolved"/>
    <s v="Jul-2025"/>
    <x v="0"/>
  </r>
  <r>
    <s v="TCK-000081"/>
    <s v="2025-07-30T04:48:00Z"/>
    <n v="1190"/>
    <s v="Chat"/>
    <s v="Low"/>
    <s v="Account"/>
    <n v="372"/>
    <m/>
    <s v="open"/>
    <m/>
    <d v="2025-07-30T00:00:00"/>
    <s v=""/>
    <n v="6.2"/>
    <s v="Open"/>
    <s v="No Rating"/>
    <s v="Unresolved"/>
    <s v="Jul-2025"/>
    <x v="0"/>
  </r>
  <r>
    <s v="TCK-000082"/>
    <s v="2025-07-30T13:33:36Z"/>
    <n v="1525"/>
    <s v="Social"/>
    <s v="Low"/>
    <s v="Export"/>
    <n v="251"/>
    <n v="8454"/>
    <s v="resolved"/>
    <m/>
    <d v="2025-07-30T00:00:00"/>
    <n v="140.9"/>
    <n v="4.1833333333333336"/>
    <s v="Breached"/>
    <s v="No Rating"/>
    <s v="Resolved"/>
    <s v="Jul-2025"/>
    <x v="0"/>
  </r>
  <r>
    <s v="TCK-000083"/>
    <s v="2025-07-30T22:19:12Z"/>
    <n v="1223"/>
    <s v="Chat"/>
    <s v="Normal"/>
    <s v="Performance"/>
    <n v="154"/>
    <n v="2138"/>
    <s v="closed"/>
    <n v="5"/>
    <d v="2025-07-30T00:00:00"/>
    <n v="35.633333333333333"/>
    <n v="2.5666666666666669"/>
    <s v="Within SLA"/>
    <s v="Satisfied"/>
    <s v="Resolved"/>
    <s v="Jul-2025"/>
    <x v="0"/>
  </r>
  <r>
    <s v="TCK-000084"/>
    <s v="2025-07-31T07:04:48Z"/>
    <n v="1500"/>
    <s v="Social"/>
    <s v="Low"/>
    <s v="Account"/>
    <n v="397"/>
    <n v="4199"/>
    <s v="resolved"/>
    <n v="3"/>
    <d v="2025-07-31T00:00:00"/>
    <n v="69.983333333333334"/>
    <n v="6.6166666666666663"/>
    <s v="Within SLA"/>
    <s v="Neutral"/>
    <s v="Resolved"/>
    <s v="Jul-2025"/>
    <x v="0"/>
  </r>
  <r>
    <s v="TCK-000085"/>
    <s v="2025-07-31T15:50:24Z"/>
    <n v="1134"/>
    <s v="Web form"/>
    <s v="Urgent"/>
    <s v="Bug report"/>
    <n v="8"/>
    <m/>
    <s v="pending"/>
    <m/>
    <d v="2025-07-31T00:00:00"/>
    <s v=""/>
    <n v="0.13333333333333333"/>
    <s v="Open"/>
    <s v="No Rating"/>
    <s v="Unresolved"/>
    <s v="Jul-2025"/>
    <x v="0"/>
  </r>
  <r>
    <s v="TCK-000086"/>
    <s v="2025-08-01T00:36:00Z"/>
    <n v="1988"/>
    <s v="Web form"/>
    <s v="Urgent"/>
    <s v="Billing"/>
    <n v="9"/>
    <n v="171"/>
    <s v="closed"/>
    <m/>
    <d v="2025-08-01T00:00:00"/>
    <n v="2.85"/>
    <n v="0.15"/>
    <s v="Within SLA"/>
    <s v="No Rating"/>
    <s v="Resolved"/>
    <s v="Aug-2025"/>
    <x v="2"/>
  </r>
  <r>
    <s v="TCK-000087"/>
    <s v="2025-08-01T09:21:36Z"/>
    <n v="1483"/>
    <s v="Social"/>
    <s v="Normal"/>
    <s v="Billing"/>
    <n v="38"/>
    <m/>
    <s v="open"/>
    <m/>
    <d v="2025-08-01T00:00:00"/>
    <s v=""/>
    <n v="0.6333333333333333"/>
    <s v="Open"/>
    <s v="No Rating"/>
    <s v="Unresolved"/>
    <s v="Aug-2025"/>
    <x v="2"/>
  </r>
  <r>
    <s v="TCK-000088"/>
    <s v="2025-08-01T18:07:12Z"/>
    <n v="1668"/>
    <s v="Web form"/>
    <s v="Low"/>
    <s v="Feature request"/>
    <n v="144"/>
    <m/>
    <s v="open"/>
    <m/>
    <d v="2025-08-01T00:00:00"/>
    <s v=""/>
    <n v="2.4"/>
    <s v="Open"/>
    <s v="No Rating"/>
    <s v="Unresolved"/>
    <s v="Aug-2025"/>
    <x v="2"/>
  </r>
  <r>
    <s v="TCK-000089"/>
    <s v="2025-08-02T02:52:48Z"/>
    <n v="1271"/>
    <s v="Web form"/>
    <s v="Low"/>
    <s v="Export"/>
    <n v="443"/>
    <n v="4495"/>
    <s v="closed"/>
    <m/>
    <d v="2025-08-02T00:00:00"/>
    <n v="74.916666666666671"/>
    <n v="7.3833333333333337"/>
    <s v="Breached"/>
    <s v="No Rating"/>
    <s v="Resolved"/>
    <s v="Aug-2025"/>
    <x v="2"/>
  </r>
  <r>
    <s v="TCK-000090"/>
    <s v="2025-08-02T11:38:24Z"/>
    <n v="1720"/>
    <s v="Phone"/>
    <s v="High"/>
    <s v="Billing"/>
    <n v="39"/>
    <n v="1190"/>
    <s v="closed"/>
    <n v="2"/>
    <d v="2025-08-02T00:00:00"/>
    <n v="19.833333333333332"/>
    <n v="0.65"/>
    <s v="Within SLA"/>
    <s v="Dissatisfied"/>
    <s v="Resolved"/>
    <s v="Aug-2025"/>
    <x v="2"/>
  </r>
  <r>
    <s v="TCK-000091"/>
    <s v="2025-08-02T20:24:00Z"/>
    <n v="1470"/>
    <s v="Social"/>
    <s v="Low"/>
    <s v="Bug report"/>
    <n v="363"/>
    <m/>
    <s v="pending"/>
    <m/>
    <d v="2025-08-02T00:00:00"/>
    <s v=""/>
    <n v="6.05"/>
    <s v="Open"/>
    <s v="No Rating"/>
    <s v="Unresolved"/>
    <s v="Aug-2025"/>
    <x v="2"/>
  </r>
  <r>
    <s v="TCK-000092"/>
    <s v="2025-08-03T05:09:36Z"/>
    <n v="1646"/>
    <s v="Email"/>
    <s v="Low"/>
    <s v="Data import"/>
    <n v="278"/>
    <n v="2252"/>
    <s v="closed"/>
    <n v="3"/>
    <d v="2025-08-03T00:00:00"/>
    <n v="37.533333333333331"/>
    <n v="4.6333333333333337"/>
    <s v="Within SLA"/>
    <s v="Neutral"/>
    <s v="Resolved"/>
    <s v="Aug-2025"/>
    <x v="2"/>
  </r>
  <r>
    <s v="TCK-000093"/>
    <s v="2025-08-03T13:55:12Z"/>
    <n v="1486"/>
    <s v="Chat"/>
    <s v="High"/>
    <s v="Bug report"/>
    <n v="28"/>
    <m/>
    <s v="pending"/>
    <m/>
    <d v="2025-08-03T00:00:00"/>
    <s v=""/>
    <n v="0.46666666666666667"/>
    <s v="Open"/>
    <s v="No Rating"/>
    <s v="Unresolved"/>
    <s v="Aug-2025"/>
    <x v="2"/>
  </r>
  <r>
    <s v="TCK-000094"/>
    <s v="2025-08-03T22:40:48Z"/>
    <n v="1164"/>
    <s v="Email"/>
    <s v="Low"/>
    <s v="Export"/>
    <n v="182"/>
    <n v="5584"/>
    <s v="closed"/>
    <m/>
    <d v="2025-08-03T00:00:00"/>
    <n v="93.066666666666663"/>
    <n v="3.0333333333333332"/>
    <s v="Breached"/>
    <s v="No Rating"/>
    <s v="Resolved"/>
    <s v="Aug-2025"/>
    <x v="2"/>
  </r>
  <r>
    <s v="TCK-000095"/>
    <s v="2025-08-04T07:26:24Z"/>
    <n v="1946"/>
    <s v="Web form"/>
    <s v="High"/>
    <s v="Billing"/>
    <n v="42"/>
    <n v="906"/>
    <s v="resolved"/>
    <n v="4"/>
    <d v="2025-08-04T00:00:00"/>
    <n v="15.1"/>
    <n v="0.7"/>
    <s v="Within SLA"/>
    <s v="Satisfied"/>
    <s v="Resolved"/>
    <s v="Aug-2025"/>
    <x v="2"/>
  </r>
  <r>
    <s v="TCK-000096"/>
    <s v="2025-08-04T16:12:00Z"/>
    <n v="1559"/>
    <s v="Phone"/>
    <s v="Low"/>
    <s v="Performance"/>
    <n v="341"/>
    <n v="6958"/>
    <s v="closed"/>
    <m/>
    <d v="2025-08-04T00:00:00"/>
    <n v="115.96666666666667"/>
    <n v="5.6833333333333336"/>
    <s v="Breached"/>
    <s v="No Rating"/>
    <s v="Resolved"/>
    <s v="Aug-2025"/>
    <x v="2"/>
  </r>
  <r>
    <s v="TCK-000097"/>
    <s v="2025-08-05T00:57:36Z"/>
    <n v="1154"/>
    <s v="Chat"/>
    <s v="Normal"/>
    <s v="Login"/>
    <n v="76"/>
    <n v="3668"/>
    <s v="closed"/>
    <n v="3"/>
    <d v="2025-08-05T00:00:00"/>
    <n v="61.133333333333333"/>
    <n v="1.2666666666666666"/>
    <s v="Breached"/>
    <s v="Neutral"/>
    <s v="Resolved"/>
    <s v="Aug-2025"/>
    <x v="2"/>
  </r>
  <r>
    <s v="TCK-000098"/>
    <s v="2025-08-05T09:43:12Z"/>
    <n v="1816"/>
    <s v="Social"/>
    <s v="High"/>
    <s v="Integration"/>
    <n v="34"/>
    <n v="828"/>
    <s v="closed"/>
    <m/>
    <d v="2025-08-05T00:00:00"/>
    <n v="13.8"/>
    <n v="0.56666666666666665"/>
    <s v="Within SLA"/>
    <s v="No Rating"/>
    <s v="Resolved"/>
    <s v="Aug-2025"/>
    <x v="2"/>
  </r>
  <r>
    <s v="TCK-000099"/>
    <s v="2025-08-05T18:28:48Z"/>
    <n v="1256"/>
    <s v="Web form"/>
    <s v="Normal"/>
    <s v="Data import"/>
    <n v="178"/>
    <n v="1213"/>
    <s v="resolved"/>
    <m/>
    <d v="2025-08-05T00:00:00"/>
    <n v="20.216666666666665"/>
    <n v="2.9666666666666668"/>
    <s v="Within SLA"/>
    <s v="No Rating"/>
    <s v="Resolved"/>
    <s v="Aug-2025"/>
    <x v="2"/>
  </r>
  <r>
    <s v="TCK-000100"/>
    <s v="2025-08-06T03:14:24Z"/>
    <n v="1389"/>
    <s v="Email"/>
    <s v="High"/>
    <s v="Export"/>
    <n v="25"/>
    <n v="620"/>
    <s v="resolved"/>
    <m/>
    <d v="2025-08-06T00:00:00"/>
    <n v="10.333333333333334"/>
    <n v="0.41666666666666669"/>
    <s v="Within SLA"/>
    <s v="No Rating"/>
    <s v="Resolved"/>
    <s v="Aug-2025"/>
    <x v="2"/>
  </r>
  <r>
    <s v="TCK-000101"/>
    <s v="2025-08-06T12:00:00Z"/>
    <n v="1082"/>
    <s v="Email"/>
    <s v="Normal"/>
    <s v="Export"/>
    <n v="99"/>
    <n v="2212"/>
    <s v="closed"/>
    <m/>
    <d v="2025-08-06T00:00:00"/>
    <n v="36.866666666666667"/>
    <n v="1.65"/>
    <s v="Within SLA"/>
    <s v="No Rating"/>
    <s v="Resolved"/>
    <s v="Aug-2025"/>
    <x v="2"/>
  </r>
  <r>
    <s v="TCK-000102"/>
    <s v="2025-08-06T20:45:36Z"/>
    <n v="1957"/>
    <s v="Chat"/>
    <s v="Low"/>
    <s v="Billing"/>
    <n v="125"/>
    <m/>
    <s v="pending"/>
    <m/>
    <d v="2025-08-06T00:00:00"/>
    <s v=""/>
    <n v="2.0833333333333335"/>
    <s v="Open"/>
    <s v="No Rating"/>
    <s v="Unresolved"/>
    <s v="Aug-2025"/>
    <x v="2"/>
  </r>
  <r>
    <s v="TCK-000103"/>
    <s v="2025-08-07T05:31:12Z"/>
    <n v="1734"/>
    <s v="Web form"/>
    <s v="Urgent"/>
    <s v="Account"/>
    <n v="3"/>
    <n v="143"/>
    <s v="closed"/>
    <m/>
    <d v="2025-08-07T00:00:00"/>
    <n v="2.3833333333333333"/>
    <n v="0.05"/>
    <s v="Within SLA"/>
    <s v="No Rating"/>
    <s v="Resolved"/>
    <s v="Aug-2025"/>
    <x v="2"/>
  </r>
  <r>
    <s v="TCK-000104"/>
    <s v="2025-08-07T14:16:48Z"/>
    <n v="1716"/>
    <s v="Social"/>
    <s v="Normal"/>
    <s v="Bug report"/>
    <n v="125"/>
    <n v="1101"/>
    <s v="closed"/>
    <n v="1"/>
    <d v="2025-08-07T00:00:00"/>
    <n v="18.350000000000001"/>
    <n v="2.0833333333333335"/>
    <s v="Within SLA"/>
    <s v="Dissatisfied"/>
    <s v="Resolved"/>
    <s v="Aug-2025"/>
    <x v="2"/>
  </r>
  <r>
    <s v="TCK-000105"/>
    <s v="2025-08-07T23:02:24Z"/>
    <n v="1559"/>
    <s v="Web form"/>
    <s v="Urgent"/>
    <s v="Bug report"/>
    <n v="2"/>
    <m/>
    <s v="pending"/>
    <m/>
    <d v="2025-08-07T00:00:00"/>
    <s v=""/>
    <n v="3.3333333333333333E-2"/>
    <s v="Open"/>
    <s v="No Rating"/>
    <s v="Unresolved"/>
    <s v="Aug-2025"/>
    <x v="2"/>
  </r>
  <r>
    <s v="TCK-000106"/>
    <s v="2025-08-08T07:48:00Z"/>
    <n v="1997"/>
    <s v="Chat"/>
    <s v="Low"/>
    <s v="Account"/>
    <n v="116"/>
    <m/>
    <s v="open"/>
    <m/>
    <d v="2025-08-08T00:00:00"/>
    <s v=""/>
    <n v="1.9333333333333333"/>
    <s v="Open"/>
    <s v="No Rating"/>
    <s v="Unresolved"/>
    <s v="Aug-2025"/>
    <x v="2"/>
  </r>
  <r>
    <s v="TCK-000107"/>
    <s v="2025-08-08T16:33:36Z"/>
    <n v="1783"/>
    <s v="Web form"/>
    <s v="Normal"/>
    <s v="Integration"/>
    <n v="29"/>
    <n v="1884"/>
    <s v="closed"/>
    <m/>
    <d v="2025-08-08T00:00:00"/>
    <n v="31.4"/>
    <n v="0.48333333333333334"/>
    <s v="Within SLA"/>
    <s v="No Rating"/>
    <s v="Resolved"/>
    <s v="Aug-2025"/>
    <x v="2"/>
  </r>
  <r>
    <s v="TCK-000108"/>
    <s v="2025-08-09T01:19:12Z"/>
    <n v="1520"/>
    <s v="Web form"/>
    <s v="Urgent"/>
    <s v="Account"/>
    <n v="11"/>
    <n v="268"/>
    <s v="resolved"/>
    <m/>
    <d v="2025-08-09T00:00:00"/>
    <n v="4.4666666666666668"/>
    <n v="0.18333333333333332"/>
    <s v="Within SLA"/>
    <s v="No Rating"/>
    <s v="Resolved"/>
    <s v="Aug-2025"/>
    <x v="2"/>
  </r>
  <r>
    <s v="TCK-000109"/>
    <s v="2025-08-09T10:04:48Z"/>
    <n v="1166"/>
    <s v="Social"/>
    <s v="Urgent"/>
    <s v="Integration"/>
    <n v="6"/>
    <n v="234"/>
    <s v="closed"/>
    <m/>
    <d v="2025-08-09T00:00:00"/>
    <n v="3.9"/>
    <n v="0.1"/>
    <s v="Within SLA"/>
    <s v="No Rating"/>
    <s v="Resolved"/>
    <s v="Aug-2025"/>
    <x v="2"/>
  </r>
  <r>
    <s v="TCK-000110"/>
    <s v="2025-08-09T18:50:24Z"/>
    <n v="1962"/>
    <s v="Social"/>
    <s v="Normal"/>
    <s v="Performance"/>
    <n v="117"/>
    <n v="1427"/>
    <s v="resolved"/>
    <n v="5"/>
    <d v="2025-08-09T00:00:00"/>
    <n v="23.783333333333335"/>
    <n v="1.95"/>
    <s v="Within SLA"/>
    <s v="Satisfied"/>
    <s v="Resolved"/>
    <s v="Aug-2025"/>
    <x v="2"/>
  </r>
  <r>
    <s v="TCK-000111"/>
    <s v="2025-08-10T03:36:00Z"/>
    <n v="1349"/>
    <s v="Chat"/>
    <s v="Normal"/>
    <s v="Integration"/>
    <n v="44"/>
    <n v="537"/>
    <s v="closed"/>
    <n v="4"/>
    <d v="2025-08-10T00:00:00"/>
    <n v="8.9499999999999993"/>
    <n v="0.73333333333333328"/>
    <s v="Within SLA"/>
    <s v="Satisfied"/>
    <s v="Resolved"/>
    <s v="Aug-2025"/>
    <x v="2"/>
  </r>
  <r>
    <s v="TCK-000112"/>
    <s v="2025-08-10T12:21:36Z"/>
    <n v="1289"/>
    <s v="Email"/>
    <s v="Low"/>
    <s v="Feature request"/>
    <n v="448"/>
    <n v="6622"/>
    <s v="closed"/>
    <n v="2"/>
    <d v="2025-08-10T00:00:00"/>
    <n v="110.36666666666666"/>
    <n v="7.4666666666666668"/>
    <s v="Breached"/>
    <s v="Dissatisfied"/>
    <s v="Resolved"/>
    <s v="Aug-2025"/>
    <x v="2"/>
  </r>
  <r>
    <s v="TCK-000113"/>
    <s v="2025-08-10T21:07:12Z"/>
    <n v="1175"/>
    <s v="Social"/>
    <s v="Normal"/>
    <s v="Bug report"/>
    <n v="165"/>
    <n v="1120"/>
    <s v="closed"/>
    <m/>
    <d v="2025-08-10T00:00:00"/>
    <n v="18.666666666666668"/>
    <n v="2.75"/>
    <s v="Within SLA"/>
    <s v="No Rating"/>
    <s v="Resolved"/>
    <s v="Aug-2025"/>
    <x v="2"/>
  </r>
  <r>
    <s v="TCK-000114"/>
    <s v="2025-08-11T05:52:48Z"/>
    <n v="1246"/>
    <s v="Chat"/>
    <s v="Normal"/>
    <s v="Billing"/>
    <n v="173"/>
    <n v="2640"/>
    <s v="closed"/>
    <n v="1"/>
    <d v="2025-08-11T00:00:00"/>
    <n v="44"/>
    <n v="2.8833333333333333"/>
    <s v="Within SLA"/>
    <s v="Dissatisfied"/>
    <s v="Resolved"/>
    <s v="Aug-2025"/>
    <x v="2"/>
  </r>
  <r>
    <s v="TCK-000115"/>
    <s v="2025-08-11T14:38:24Z"/>
    <n v="1064"/>
    <s v="Email"/>
    <s v="Urgent"/>
    <s v="Bug report"/>
    <n v="4"/>
    <m/>
    <s v="pending"/>
    <m/>
    <d v="2025-08-11T00:00:00"/>
    <s v=""/>
    <n v="6.6666666666666666E-2"/>
    <s v="Open"/>
    <s v="No Rating"/>
    <s v="Unresolved"/>
    <s v="Aug-2025"/>
    <x v="2"/>
  </r>
  <r>
    <s v="TCK-000116"/>
    <s v="2025-08-11T23:24:00Z"/>
    <n v="1545"/>
    <s v="Social"/>
    <s v="Normal"/>
    <s v="Export"/>
    <n v="52"/>
    <n v="2361"/>
    <s v="resolved"/>
    <n v="3"/>
    <d v="2025-08-11T00:00:00"/>
    <n v="39.35"/>
    <n v="0.8666666666666667"/>
    <s v="Within SLA"/>
    <s v="Neutral"/>
    <s v="Resolved"/>
    <s v="Aug-2025"/>
    <x v="2"/>
  </r>
  <r>
    <s v="TCK-000117"/>
    <s v="2025-08-12T08:09:36Z"/>
    <n v="1775"/>
    <s v="Email"/>
    <s v="Urgent"/>
    <s v="Bug report"/>
    <n v="9"/>
    <n v="428"/>
    <s v="closed"/>
    <n v="3"/>
    <d v="2025-08-12T00:00:00"/>
    <n v="7.1333333333333337"/>
    <n v="0.15"/>
    <s v="Within SLA"/>
    <s v="Neutral"/>
    <s v="Resolved"/>
    <s v="Aug-2025"/>
    <x v="2"/>
  </r>
  <r>
    <s v="TCK-000118"/>
    <s v="2025-08-12T16:55:12Z"/>
    <n v="1188"/>
    <s v="Web form"/>
    <s v="Normal"/>
    <s v="Feature request"/>
    <n v="163"/>
    <n v="3541"/>
    <s v="closed"/>
    <n v="3"/>
    <d v="2025-08-12T00:00:00"/>
    <n v="59.016666666666666"/>
    <n v="2.7166666666666668"/>
    <s v="Breached"/>
    <s v="Neutral"/>
    <s v="Resolved"/>
    <s v="Aug-2025"/>
    <x v="2"/>
  </r>
  <r>
    <s v="TCK-000119"/>
    <s v="2025-08-13T01:40:48Z"/>
    <n v="1703"/>
    <s v="Social"/>
    <s v="Low"/>
    <s v="Billing"/>
    <n v="352"/>
    <n v="8671"/>
    <s v="closed"/>
    <n v="1"/>
    <d v="2025-08-13T00:00:00"/>
    <n v="144.51666666666668"/>
    <n v="5.8666666666666663"/>
    <s v="Breached"/>
    <s v="Dissatisfied"/>
    <s v="Resolved"/>
    <s v="Aug-2025"/>
    <x v="2"/>
  </r>
  <r>
    <s v="TCK-000120"/>
    <s v="2025-08-13T10:26:24Z"/>
    <n v="1163"/>
    <s v="Web form"/>
    <s v="High"/>
    <s v="Bug report"/>
    <n v="42"/>
    <n v="520"/>
    <s v="closed"/>
    <n v="5"/>
    <d v="2025-08-13T00:00:00"/>
    <n v="8.6666666666666661"/>
    <n v="0.7"/>
    <s v="Within SLA"/>
    <s v="Satisfied"/>
    <s v="Resolved"/>
    <s v="Aug-2025"/>
    <x v="2"/>
  </r>
  <r>
    <s v="TCK-000121"/>
    <s v="2025-08-13T19:12:00Z"/>
    <n v="1301"/>
    <s v="Email"/>
    <s v="High"/>
    <s v="Account"/>
    <n v="21"/>
    <n v="719"/>
    <s v="closed"/>
    <n v="3"/>
    <d v="2025-08-13T00:00:00"/>
    <n v="11.983333333333333"/>
    <n v="0.35"/>
    <s v="Within SLA"/>
    <s v="Neutral"/>
    <s v="Resolved"/>
    <s v="Aug-2025"/>
    <x v="2"/>
  </r>
  <r>
    <s v="TCK-000122"/>
    <s v="2025-08-14T03:57:36Z"/>
    <n v="1131"/>
    <s v="Email"/>
    <s v="Normal"/>
    <s v="Billing"/>
    <n v="43"/>
    <n v="2951"/>
    <s v="closed"/>
    <n v="1"/>
    <d v="2025-08-14T00:00:00"/>
    <n v="49.18333333333333"/>
    <n v="0.71666666666666667"/>
    <s v="Breached"/>
    <s v="Dissatisfied"/>
    <s v="Resolved"/>
    <s v="Aug-2025"/>
    <x v="2"/>
  </r>
  <r>
    <s v="TCK-000123"/>
    <s v="2025-08-14T12:43:12Z"/>
    <n v="1499"/>
    <s v="Social"/>
    <s v="Low"/>
    <s v="Performance"/>
    <n v="474"/>
    <n v="7762"/>
    <s v="resolved"/>
    <n v="4"/>
    <d v="2025-08-14T00:00:00"/>
    <n v="129.36666666666667"/>
    <n v="7.9"/>
    <s v="Breached"/>
    <s v="Satisfied"/>
    <s v="Resolved"/>
    <s v="Aug-2025"/>
    <x v="2"/>
  </r>
  <r>
    <s v="TCK-000124"/>
    <s v="2025-08-14T21:28:48Z"/>
    <n v="1990"/>
    <s v="Web form"/>
    <s v="Urgent"/>
    <s v="Feature request"/>
    <n v="3"/>
    <n v="407"/>
    <s v="closed"/>
    <n v="4"/>
    <d v="2025-08-14T00:00:00"/>
    <n v="6.7833333333333332"/>
    <n v="0.05"/>
    <s v="Within SLA"/>
    <s v="Satisfied"/>
    <s v="Resolved"/>
    <s v="Aug-2025"/>
    <x v="2"/>
  </r>
  <r>
    <s v="TCK-000125"/>
    <s v="2025-08-15T06:14:24Z"/>
    <n v="1235"/>
    <s v="Chat"/>
    <s v="Urgent"/>
    <s v="Export"/>
    <n v="11"/>
    <m/>
    <s v="pending"/>
    <m/>
    <d v="2025-08-15T00:00:00"/>
    <s v=""/>
    <n v="0.18333333333333332"/>
    <s v="Open"/>
    <s v="No Rating"/>
    <s v="Unresolved"/>
    <s v="Aug-2025"/>
    <x v="2"/>
  </r>
  <r>
    <s v="TCK-000126"/>
    <s v="2025-08-15T15:00:00Z"/>
    <n v="1898"/>
    <s v="Social"/>
    <s v="Low"/>
    <s v="Bug report"/>
    <n v="132"/>
    <n v="5609"/>
    <s v="closed"/>
    <n v="5"/>
    <d v="2025-08-15T00:00:00"/>
    <n v="93.483333333333334"/>
    <n v="2.2000000000000002"/>
    <s v="Breached"/>
    <s v="Satisfied"/>
    <s v="Resolved"/>
    <s v="Aug-2025"/>
    <x v="2"/>
  </r>
  <r>
    <s v="TCK-000127"/>
    <s v="2025-08-15T23:45:36Z"/>
    <n v="1843"/>
    <s v="Web form"/>
    <s v="High"/>
    <s v="Bug report"/>
    <n v="44"/>
    <n v="690"/>
    <s v="closed"/>
    <n v="3"/>
    <d v="2025-08-15T00:00:00"/>
    <n v="11.5"/>
    <n v="0.73333333333333328"/>
    <s v="Within SLA"/>
    <s v="Neutral"/>
    <s v="Resolved"/>
    <s v="Aug-2025"/>
    <x v="2"/>
  </r>
  <r>
    <s v="TCK-000128"/>
    <s v="2025-08-16T08:31:12Z"/>
    <n v="1876"/>
    <s v="Chat"/>
    <s v="Urgent"/>
    <s v="Performance"/>
    <n v="7"/>
    <n v="83"/>
    <s v="closed"/>
    <m/>
    <d v="2025-08-16T00:00:00"/>
    <n v="1.3833333333333333"/>
    <n v="0.11666666666666667"/>
    <s v="Within SLA"/>
    <s v="No Rating"/>
    <s v="Resolved"/>
    <s v="Aug-2025"/>
    <x v="2"/>
  </r>
  <r>
    <s v="TCK-000129"/>
    <s v="2025-08-16T17:16:48Z"/>
    <n v="1172"/>
    <s v="Social"/>
    <s v="Urgent"/>
    <s v="Export"/>
    <n v="6"/>
    <n v="167"/>
    <s v="closed"/>
    <n v="1"/>
    <d v="2025-08-16T00:00:00"/>
    <n v="2.7833333333333332"/>
    <n v="0.1"/>
    <s v="Within SLA"/>
    <s v="Dissatisfied"/>
    <s v="Resolved"/>
    <s v="Aug-2025"/>
    <x v="2"/>
  </r>
  <r>
    <s v="TCK-000130"/>
    <s v="2025-08-17T02:02:24Z"/>
    <n v="1620"/>
    <s v="Chat"/>
    <s v="Urgent"/>
    <s v="Performance"/>
    <n v="7"/>
    <n v="74"/>
    <s v="resolved"/>
    <n v="1"/>
    <d v="2025-08-17T00:00:00"/>
    <n v="1.2333333333333334"/>
    <n v="0.11666666666666667"/>
    <s v="Within SLA"/>
    <s v="Dissatisfied"/>
    <s v="Resolved"/>
    <s v="Aug-2025"/>
    <x v="2"/>
  </r>
  <r>
    <s v="TCK-000131"/>
    <s v="2025-08-17T10:48:00Z"/>
    <n v="1963"/>
    <s v="Chat"/>
    <s v="High"/>
    <s v="Integration"/>
    <n v="21"/>
    <n v="209"/>
    <s v="closed"/>
    <n v="1"/>
    <d v="2025-08-17T00:00:00"/>
    <n v="3.4833333333333334"/>
    <n v="0.35"/>
    <s v="Within SLA"/>
    <s v="Dissatisfied"/>
    <s v="Resolved"/>
    <s v="Aug-2025"/>
    <x v="2"/>
  </r>
  <r>
    <s v="TCK-000132"/>
    <s v="2025-08-17T19:33:36Z"/>
    <n v="1178"/>
    <s v="Email"/>
    <s v="Low"/>
    <s v="Integration"/>
    <n v="360"/>
    <n v="4951"/>
    <s v="closed"/>
    <m/>
    <d v="2025-08-17T00:00:00"/>
    <n v="82.516666666666666"/>
    <n v="6"/>
    <s v="Breached"/>
    <s v="No Rating"/>
    <s v="Resolved"/>
    <s v="Aug-2025"/>
    <x v="2"/>
  </r>
  <r>
    <s v="TCK-000133"/>
    <s v="2025-08-18T04:19:12Z"/>
    <n v="1100"/>
    <s v="Social"/>
    <s v="High"/>
    <s v="Feature request"/>
    <n v="26"/>
    <n v="1110"/>
    <s v="closed"/>
    <m/>
    <d v="2025-08-18T00:00:00"/>
    <n v="18.5"/>
    <n v="0.43333333333333335"/>
    <s v="Within SLA"/>
    <s v="No Rating"/>
    <s v="Resolved"/>
    <s v="Aug-2025"/>
    <x v="2"/>
  </r>
  <r>
    <s v="TCK-000134"/>
    <s v="2025-08-18T13:04:48Z"/>
    <n v="1154"/>
    <s v="Web form"/>
    <s v="High"/>
    <s v="Performance"/>
    <n v="17"/>
    <n v="651"/>
    <s v="resolved"/>
    <n v="3"/>
    <d v="2025-08-18T00:00:00"/>
    <n v="10.85"/>
    <n v="0.28333333333333333"/>
    <s v="Within SLA"/>
    <s v="Neutral"/>
    <s v="Resolved"/>
    <s v="Aug-2025"/>
    <x v="2"/>
  </r>
  <r>
    <s v="TCK-000135"/>
    <s v="2025-08-18T21:50:24Z"/>
    <n v="1845"/>
    <s v="Chat"/>
    <s v="Urgent"/>
    <s v="Billing"/>
    <n v="6"/>
    <n v="207"/>
    <s v="resolved"/>
    <n v="5"/>
    <d v="2025-08-18T00:00:00"/>
    <n v="3.45"/>
    <n v="0.1"/>
    <s v="Within SLA"/>
    <s v="Satisfied"/>
    <s v="Resolved"/>
    <s v="Aug-2025"/>
    <x v="2"/>
  </r>
  <r>
    <s v="TCK-000136"/>
    <s v="2025-08-19T06:36:00Z"/>
    <n v="1154"/>
    <s v="Chat"/>
    <s v="Urgent"/>
    <s v="Account"/>
    <n v="6"/>
    <n v="230"/>
    <s v="closed"/>
    <m/>
    <d v="2025-08-19T00:00:00"/>
    <n v="3.8333333333333335"/>
    <n v="0.1"/>
    <s v="Within SLA"/>
    <s v="No Rating"/>
    <s v="Resolved"/>
    <s v="Aug-2025"/>
    <x v="2"/>
  </r>
  <r>
    <s v="TCK-000137"/>
    <s v="2025-08-19T15:21:36Z"/>
    <n v="1269"/>
    <s v="Web form"/>
    <s v="Normal"/>
    <s v="Bug report"/>
    <n v="88"/>
    <n v="2568"/>
    <s v="closed"/>
    <m/>
    <d v="2025-08-19T00:00:00"/>
    <n v="42.8"/>
    <n v="1.4666666666666666"/>
    <s v="Within SLA"/>
    <s v="No Rating"/>
    <s v="Resolved"/>
    <s v="Aug-2025"/>
    <x v="2"/>
  </r>
  <r>
    <s v="TCK-000138"/>
    <s v="2025-08-20T00:07:12Z"/>
    <n v="1391"/>
    <s v="Web form"/>
    <s v="Normal"/>
    <s v="Integration"/>
    <n v="35"/>
    <m/>
    <s v="pending"/>
    <m/>
    <d v="2025-08-20T00:00:00"/>
    <s v=""/>
    <n v="0.58333333333333337"/>
    <s v="Open"/>
    <s v="No Rating"/>
    <s v="Unresolved"/>
    <s v="Aug-2025"/>
    <x v="2"/>
  </r>
  <r>
    <s v="TCK-000139"/>
    <s v="2025-08-20T08:52:48Z"/>
    <n v="1585"/>
    <s v="Email"/>
    <s v="High"/>
    <s v="Billing"/>
    <n v="38"/>
    <n v="283"/>
    <s v="resolved"/>
    <n v="5"/>
    <d v="2025-08-20T00:00:00"/>
    <n v="4.7166666666666668"/>
    <n v="0.6333333333333333"/>
    <s v="Within SLA"/>
    <s v="Satisfied"/>
    <s v="Resolved"/>
    <s v="Aug-2025"/>
    <x v="2"/>
  </r>
  <r>
    <s v="TCK-000140"/>
    <s v="2025-08-20T17:38:24Z"/>
    <n v="1601"/>
    <s v="Chat"/>
    <s v="Normal"/>
    <s v="Account"/>
    <n v="88"/>
    <n v="448"/>
    <s v="closed"/>
    <n v="3"/>
    <d v="2025-08-20T00:00:00"/>
    <n v="7.4666666666666668"/>
    <n v="1.4666666666666666"/>
    <s v="Within SLA"/>
    <s v="Neutral"/>
    <s v="Resolved"/>
    <s v="Aug-2025"/>
    <x v="2"/>
  </r>
  <r>
    <s v="TCK-000141"/>
    <s v="2025-08-21T02:24:00Z"/>
    <n v="1074"/>
    <s v="Chat"/>
    <s v="High"/>
    <s v="Data import"/>
    <n v="17"/>
    <n v="142"/>
    <s v="resolved"/>
    <m/>
    <d v="2025-08-21T00:00:00"/>
    <n v="2.3666666666666667"/>
    <n v="0.28333333333333333"/>
    <s v="Within SLA"/>
    <s v="No Rating"/>
    <s v="Resolved"/>
    <s v="Aug-2025"/>
    <x v="2"/>
  </r>
  <r>
    <s v="TCK-000142"/>
    <s v="2025-08-21T11:09:36Z"/>
    <n v="1105"/>
    <s v="Social"/>
    <s v="Normal"/>
    <s v="Login"/>
    <n v="112"/>
    <n v="1235"/>
    <s v="closed"/>
    <m/>
    <d v="2025-08-21T00:00:00"/>
    <n v="20.583333333333332"/>
    <n v="1.8666666666666667"/>
    <s v="Within SLA"/>
    <s v="No Rating"/>
    <s v="Resolved"/>
    <s v="Aug-2025"/>
    <x v="2"/>
  </r>
  <r>
    <s v="TCK-000143"/>
    <s v="2025-08-21T19:55:12Z"/>
    <n v="1793"/>
    <s v="Phone"/>
    <s v="Low"/>
    <s v="Export"/>
    <n v="363"/>
    <m/>
    <s v="pending"/>
    <m/>
    <d v="2025-08-21T00:00:00"/>
    <s v=""/>
    <n v="6.05"/>
    <s v="Open"/>
    <s v="No Rating"/>
    <s v="Unresolved"/>
    <s v="Aug-2025"/>
    <x v="2"/>
  </r>
  <r>
    <s v="TCK-000144"/>
    <s v="2025-08-22T04:40:48Z"/>
    <n v="1587"/>
    <s v="Web form"/>
    <s v="Urgent"/>
    <s v="Performance"/>
    <n v="11"/>
    <n v="420"/>
    <s v="closed"/>
    <m/>
    <d v="2025-08-22T00:00:00"/>
    <n v="7"/>
    <n v="0.18333333333333332"/>
    <s v="Within SLA"/>
    <s v="No Rating"/>
    <s v="Resolved"/>
    <s v="Aug-2025"/>
    <x v="2"/>
  </r>
  <r>
    <s v="TCK-000145"/>
    <s v="2025-08-22T13:26:24Z"/>
    <n v="1545"/>
    <s v="Email"/>
    <s v="Normal"/>
    <s v="Integration"/>
    <n v="128"/>
    <n v="670"/>
    <s v="resolved"/>
    <n v="1"/>
    <d v="2025-08-22T00:00:00"/>
    <n v="11.166666666666666"/>
    <n v="2.1333333333333333"/>
    <s v="Within SLA"/>
    <s v="Dissatisfied"/>
    <s v="Resolved"/>
    <s v="Aug-2025"/>
    <x v="2"/>
  </r>
  <r>
    <s v="TCK-000146"/>
    <s v="2025-08-22T22:12:00Z"/>
    <n v="1743"/>
    <s v="Social"/>
    <s v="Low"/>
    <s v="Bug report"/>
    <n v="402"/>
    <n v="5495"/>
    <s v="closed"/>
    <n v="4"/>
    <d v="2025-08-22T00:00:00"/>
    <n v="91.583333333333329"/>
    <n v="6.7"/>
    <s v="Breached"/>
    <s v="Satisfied"/>
    <s v="Resolved"/>
    <s v="Aug-2025"/>
    <x v="2"/>
  </r>
  <r>
    <s v="TCK-000147"/>
    <s v="2025-08-23T06:57:36Z"/>
    <n v="1549"/>
    <s v="Chat"/>
    <s v="High"/>
    <s v="Billing"/>
    <n v="13"/>
    <n v="1019"/>
    <s v="closed"/>
    <m/>
    <d v="2025-08-23T00:00:00"/>
    <n v="16.983333333333334"/>
    <n v="0.21666666666666667"/>
    <s v="Within SLA"/>
    <s v="No Rating"/>
    <s v="Resolved"/>
    <s v="Aug-2025"/>
    <x v="2"/>
  </r>
  <r>
    <s v="TCK-000148"/>
    <s v="2025-08-23T15:43:12Z"/>
    <n v="1141"/>
    <s v="Web form"/>
    <s v="Normal"/>
    <s v="Bug report"/>
    <n v="101"/>
    <n v="2593"/>
    <s v="closed"/>
    <n v="2"/>
    <d v="2025-08-23T00:00:00"/>
    <n v="43.216666666666669"/>
    <n v="1.6833333333333333"/>
    <s v="Within SLA"/>
    <s v="Dissatisfied"/>
    <s v="Resolved"/>
    <s v="Aug-2025"/>
    <x v="2"/>
  </r>
  <r>
    <s v="TCK-000149"/>
    <s v="2025-08-24T00:28:48Z"/>
    <n v="1472"/>
    <s v="Social"/>
    <s v="High"/>
    <s v="Export"/>
    <n v="35"/>
    <n v="688"/>
    <s v="closed"/>
    <m/>
    <d v="2025-08-24T00:00:00"/>
    <n v="11.466666666666667"/>
    <n v="0.58333333333333337"/>
    <s v="Within SLA"/>
    <s v="No Rating"/>
    <s v="Resolved"/>
    <s v="Aug-2025"/>
    <x v="2"/>
  </r>
  <r>
    <s v="TCK-000150"/>
    <s v="2025-08-24T09:14:24Z"/>
    <n v="1918"/>
    <s v="Phone"/>
    <s v="Normal"/>
    <s v="Export"/>
    <n v="128"/>
    <n v="1600"/>
    <s v="closed"/>
    <n v="5"/>
    <d v="2025-08-24T00:00:00"/>
    <n v="26.666666666666668"/>
    <n v="2.1333333333333333"/>
    <s v="Within SLA"/>
    <s v="Satisfied"/>
    <s v="Resolved"/>
    <s v="Aug-2025"/>
    <x v="2"/>
  </r>
  <r>
    <s v="TCK-000151"/>
    <s v="2025-08-24T18:00:00Z"/>
    <n v="1584"/>
    <s v="Chat"/>
    <s v="Urgent"/>
    <s v="Login"/>
    <n v="9"/>
    <n v="114"/>
    <s v="resolved"/>
    <n v="4"/>
    <d v="2025-08-24T00:00:00"/>
    <n v="1.9"/>
    <n v="0.15"/>
    <s v="Within SLA"/>
    <s v="Satisfied"/>
    <s v="Resolved"/>
    <s v="Aug-2025"/>
    <x v="2"/>
  </r>
  <r>
    <s v="TCK-000152"/>
    <s v="2025-08-25T02:45:36Z"/>
    <n v="1715"/>
    <s v="Phone"/>
    <s v="Urgent"/>
    <s v="Login"/>
    <n v="5"/>
    <n v="392"/>
    <s v="closed"/>
    <n v="1"/>
    <d v="2025-08-25T00:00:00"/>
    <n v="6.5333333333333332"/>
    <n v="8.3333333333333329E-2"/>
    <s v="Within SLA"/>
    <s v="Dissatisfied"/>
    <s v="Resolved"/>
    <s v="Aug-2025"/>
    <x v="2"/>
  </r>
  <r>
    <s v="TCK-000153"/>
    <s v="2025-08-25T11:31:12Z"/>
    <n v="1162"/>
    <s v="Social"/>
    <s v="Normal"/>
    <s v="Export"/>
    <n v="160"/>
    <n v="2242"/>
    <s v="resolved"/>
    <n v="5"/>
    <d v="2025-08-25T00:00:00"/>
    <n v="37.366666666666667"/>
    <n v="2.6666666666666665"/>
    <s v="Within SLA"/>
    <s v="Satisfied"/>
    <s v="Resolved"/>
    <s v="Aug-2025"/>
    <x v="2"/>
  </r>
  <r>
    <s v="TCK-000154"/>
    <s v="2025-08-25T20:16:48Z"/>
    <n v="1401"/>
    <s v="Web form"/>
    <s v="High"/>
    <s v="Login"/>
    <n v="25"/>
    <n v="852"/>
    <s v="closed"/>
    <n v="3"/>
    <d v="2025-08-25T00:00:00"/>
    <n v="14.2"/>
    <n v="0.41666666666666669"/>
    <s v="Within SLA"/>
    <s v="Neutral"/>
    <s v="Resolved"/>
    <s v="Aug-2025"/>
    <x v="2"/>
  </r>
  <r>
    <s v="TCK-000155"/>
    <s v="2025-08-26T05:02:24Z"/>
    <n v="1658"/>
    <s v="Chat"/>
    <s v="High"/>
    <s v="Bug report"/>
    <n v="15"/>
    <m/>
    <s v="pending"/>
    <m/>
    <d v="2025-08-26T00:00:00"/>
    <s v=""/>
    <n v="0.25"/>
    <s v="Open"/>
    <s v="No Rating"/>
    <s v="Unresolved"/>
    <s v="Aug-2025"/>
    <x v="2"/>
  </r>
  <r>
    <s v="TCK-000156"/>
    <s v="2025-08-26T13:48:00Z"/>
    <n v="1166"/>
    <s v="Email"/>
    <s v="Low"/>
    <s v="Data import"/>
    <n v="368"/>
    <n v="2029"/>
    <s v="closed"/>
    <n v="3"/>
    <d v="2025-08-26T00:00:00"/>
    <n v="33.81666666666667"/>
    <n v="6.1333333333333337"/>
    <s v="Within SLA"/>
    <s v="Neutral"/>
    <s v="Resolved"/>
    <s v="Aug-2025"/>
    <x v="2"/>
  </r>
  <r>
    <s v="TCK-000157"/>
    <s v="2025-08-26T22:33:36Z"/>
    <n v="1847"/>
    <s v="Social"/>
    <s v="Normal"/>
    <s v="Data import"/>
    <n v="54"/>
    <n v="1096"/>
    <s v="resolved"/>
    <m/>
    <d v="2025-08-26T00:00:00"/>
    <n v="18.266666666666666"/>
    <n v="0.9"/>
    <s v="Within SLA"/>
    <s v="No Rating"/>
    <s v="Resolved"/>
    <s v="Aug-2025"/>
    <x v="2"/>
  </r>
  <r>
    <s v="TCK-000158"/>
    <s v="2025-08-27T07:19:12Z"/>
    <n v="1295"/>
    <s v="Email"/>
    <s v="Low"/>
    <s v="Export"/>
    <n v="75"/>
    <m/>
    <s v="pending"/>
    <m/>
    <d v="2025-08-27T00:00:00"/>
    <s v=""/>
    <n v="1.25"/>
    <s v="Open"/>
    <s v="No Rating"/>
    <s v="Unresolved"/>
    <s v="Aug-2025"/>
    <x v="2"/>
  </r>
  <r>
    <s v="TCK-000159"/>
    <s v="2025-08-27T16:04:48Z"/>
    <n v="1767"/>
    <s v="Social"/>
    <s v="High"/>
    <s v="Bug report"/>
    <n v="14"/>
    <n v="804"/>
    <s v="closed"/>
    <m/>
    <d v="2025-08-27T00:00:00"/>
    <n v="13.4"/>
    <n v="0.23333333333333334"/>
    <s v="Within SLA"/>
    <s v="No Rating"/>
    <s v="Resolved"/>
    <s v="Aug-2025"/>
    <x v="2"/>
  </r>
  <r>
    <s v="TCK-000160"/>
    <s v="2025-08-28T00:50:24Z"/>
    <n v="1184"/>
    <s v="Chat"/>
    <s v="Normal"/>
    <s v="Export"/>
    <n v="70"/>
    <n v="2718"/>
    <s v="closed"/>
    <n v="1"/>
    <d v="2025-08-28T00:00:00"/>
    <n v="45.3"/>
    <n v="1.1666666666666667"/>
    <s v="Within SLA"/>
    <s v="Dissatisfied"/>
    <s v="Resolved"/>
    <s v="Aug-2025"/>
    <x v="2"/>
  </r>
  <r>
    <s v="TCK-000161"/>
    <s v="2025-08-28T09:36:00Z"/>
    <n v="1368"/>
    <s v="Web form"/>
    <s v="Low"/>
    <s v="Account"/>
    <n v="270"/>
    <n v="5143"/>
    <s v="closed"/>
    <m/>
    <d v="2025-08-28T00:00:00"/>
    <n v="85.716666666666669"/>
    <n v="4.5"/>
    <s v="Breached"/>
    <s v="No Rating"/>
    <s v="Resolved"/>
    <s v="Aug-2025"/>
    <x v="2"/>
  </r>
  <r>
    <s v="TCK-000162"/>
    <s v="2025-08-28T18:21:36Z"/>
    <n v="1307"/>
    <s v="Email"/>
    <s v="Low"/>
    <s v="Performance"/>
    <n v="77"/>
    <n v="2380"/>
    <s v="resolved"/>
    <n v="1"/>
    <d v="2025-08-28T00:00:00"/>
    <n v="39.666666666666664"/>
    <n v="1.2833333333333334"/>
    <s v="Within SLA"/>
    <s v="Dissatisfied"/>
    <s v="Resolved"/>
    <s v="Aug-2025"/>
    <x v="2"/>
  </r>
  <r>
    <s v="TCK-000163"/>
    <s v="2025-08-29T03:07:12Z"/>
    <n v="1289"/>
    <s v="Social"/>
    <s v="Normal"/>
    <s v="Account"/>
    <n v="90"/>
    <n v="1537"/>
    <s v="closed"/>
    <n v="3"/>
    <d v="2025-08-29T00:00:00"/>
    <n v="25.616666666666667"/>
    <n v="1.5"/>
    <s v="Within SLA"/>
    <s v="Neutral"/>
    <s v="Resolved"/>
    <s v="Aug-2025"/>
    <x v="2"/>
  </r>
  <r>
    <s v="TCK-000164"/>
    <s v="2025-08-29T11:52:48Z"/>
    <n v="1578"/>
    <s v="Social"/>
    <s v="Urgent"/>
    <s v="Integration"/>
    <n v="8"/>
    <n v="94"/>
    <s v="resolved"/>
    <m/>
    <d v="2025-08-29T00:00:00"/>
    <n v="1.5666666666666667"/>
    <n v="0.13333333333333333"/>
    <s v="Within SLA"/>
    <s v="No Rating"/>
    <s v="Resolved"/>
    <s v="Aug-2025"/>
    <x v="2"/>
  </r>
  <r>
    <s v="TCK-000165"/>
    <s v="2025-08-29T20:38:24Z"/>
    <n v="1250"/>
    <s v="Email"/>
    <s v="Normal"/>
    <s v="Performance"/>
    <n v="45"/>
    <n v="2199"/>
    <s v="closed"/>
    <m/>
    <d v="2025-08-29T00:00:00"/>
    <n v="36.65"/>
    <n v="0.75"/>
    <s v="Within SLA"/>
    <s v="No Rating"/>
    <s v="Resolved"/>
    <s v="Aug-2025"/>
    <x v="2"/>
  </r>
  <r>
    <s v="TCK-000166"/>
    <s v="2025-08-30T05:24:00Z"/>
    <n v="1438"/>
    <s v="Social"/>
    <s v="Urgent"/>
    <s v="Billing"/>
    <n v="12"/>
    <n v="419"/>
    <s v="closed"/>
    <m/>
    <d v="2025-08-30T00:00:00"/>
    <n v="6.9833333333333334"/>
    <n v="0.2"/>
    <s v="Within SLA"/>
    <s v="No Rating"/>
    <s v="Resolved"/>
    <s v="Aug-2025"/>
    <x v="2"/>
  </r>
  <r>
    <s v="TCK-000167"/>
    <s v="2025-08-30T14:09:36Z"/>
    <n v="1715"/>
    <s v="Social"/>
    <s v="Urgent"/>
    <s v="Export"/>
    <n v="8"/>
    <n v="197"/>
    <s v="closed"/>
    <m/>
    <d v="2025-08-30T00:00:00"/>
    <n v="3.2833333333333332"/>
    <n v="0.13333333333333333"/>
    <s v="Within SLA"/>
    <s v="No Rating"/>
    <s v="Resolved"/>
    <s v="Aug-2025"/>
    <x v="2"/>
  </r>
  <r>
    <s v="TCK-000168"/>
    <s v="2025-08-30T22:55:12Z"/>
    <n v="1694"/>
    <s v="Social"/>
    <s v="Normal"/>
    <s v="Billing"/>
    <n v="31"/>
    <n v="604"/>
    <s v="closed"/>
    <m/>
    <d v="2025-08-30T00:00:00"/>
    <n v="10.066666666666666"/>
    <n v="0.51666666666666672"/>
    <s v="Within SLA"/>
    <s v="No Rating"/>
    <s v="Resolved"/>
    <s v="Aug-2025"/>
    <x v="2"/>
  </r>
  <r>
    <s v="TCK-000169"/>
    <s v="2025-08-31T07:40:48Z"/>
    <n v="1485"/>
    <s v="Web form"/>
    <s v="Normal"/>
    <s v="Billing"/>
    <n v="98"/>
    <n v="490"/>
    <s v="resolved"/>
    <m/>
    <d v="2025-08-31T00:00:00"/>
    <n v="8.1666666666666661"/>
    <n v="1.6333333333333333"/>
    <s v="Within SLA"/>
    <s v="No Rating"/>
    <s v="Resolved"/>
    <s v="Aug-2025"/>
    <x v="2"/>
  </r>
  <r>
    <s v="TCK-000170"/>
    <s v="2025-08-31T16:26:24Z"/>
    <n v="1089"/>
    <s v="Social"/>
    <s v="Normal"/>
    <s v="Data import"/>
    <n v="124"/>
    <n v="3369"/>
    <s v="closed"/>
    <n v="1"/>
    <d v="2025-08-31T00:00:00"/>
    <n v="56.15"/>
    <n v="2.0666666666666669"/>
    <s v="Breached"/>
    <s v="Dissatisfied"/>
    <s v="Resolved"/>
    <s v="Aug-2025"/>
    <x v="2"/>
  </r>
  <r>
    <s v="TCK-000171"/>
    <s v="2025-09-01T01:12:00Z"/>
    <n v="1782"/>
    <s v="Social"/>
    <s v="Normal"/>
    <s v="Feature request"/>
    <n v="169"/>
    <n v="3156"/>
    <s v="closed"/>
    <n v="5"/>
    <d v="2025-09-01T00:00:00"/>
    <n v="52.6"/>
    <n v="2.8166666666666669"/>
    <s v="Breached"/>
    <s v="Satisfied"/>
    <s v="Resolved"/>
    <s v="Sep-2025"/>
    <x v="3"/>
  </r>
  <r>
    <s v="TCK-000172"/>
    <s v="2025-09-01T09:57:36Z"/>
    <n v="1379"/>
    <s v="Email"/>
    <s v="Low"/>
    <s v="Billing"/>
    <n v="146"/>
    <n v="3956"/>
    <s v="closed"/>
    <m/>
    <d v="2025-09-01T00:00:00"/>
    <n v="65.933333333333337"/>
    <n v="2.4333333333333331"/>
    <s v="Within SLA"/>
    <s v="No Rating"/>
    <s v="Resolved"/>
    <s v="Sep-2025"/>
    <x v="3"/>
  </r>
  <r>
    <s v="TCK-000173"/>
    <s v="2025-09-01T18:43:12Z"/>
    <n v="1812"/>
    <s v="Web form"/>
    <s v="Low"/>
    <s v="Export"/>
    <n v="267"/>
    <n v="1309"/>
    <s v="resolved"/>
    <n v="3"/>
    <d v="2025-09-01T00:00:00"/>
    <n v="21.816666666666666"/>
    <n v="4.45"/>
    <s v="Within SLA"/>
    <s v="Neutral"/>
    <s v="Resolved"/>
    <s v="Sep-2025"/>
    <x v="3"/>
  </r>
  <r>
    <s v="TCK-000174"/>
    <s v="2025-09-02T03:28:48Z"/>
    <n v="1275"/>
    <s v="Email"/>
    <s v="Normal"/>
    <s v="Feature request"/>
    <n v="175"/>
    <n v="3427"/>
    <s v="closed"/>
    <n v="5"/>
    <d v="2025-09-02T00:00:00"/>
    <n v="57.116666666666667"/>
    <n v="2.9166666666666665"/>
    <s v="Breached"/>
    <s v="Satisfied"/>
    <s v="Resolved"/>
    <s v="Sep-2025"/>
    <x v="3"/>
  </r>
  <r>
    <s v="TCK-000175"/>
    <s v="2025-09-02T12:14:24Z"/>
    <n v="1550"/>
    <s v="Chat"/>
    <s v="Urgent"/>
    <s v="Login"/>
    <n v="5"/>
    <n v="281"/>
    <s v="closed"/>
    <m/>
    <d v="2025-09-02T00:00:00"/>
    <n v="4.6833333333333336"/>
    <n v="8.3333333333333329E-2"/>
    <s v="Within SLA"/>
    <s v="No Rating"/>
    <s v="Resolved"/>
    <s v="Sep-2025"/>
    <x v="3"/>
  </r>
  <r>
    <s v="TCK-000176"/>
    <s v="2025-09-02T21:00:00Z"/>
    <n v="1296"/>
    <s v="Email"/>
    <s v="Low"/>
    <s v="Account"/>
    <n v="295"/>
    <n v="4077"/>
    <s v="closed"/>
    <n v="4"/>
    <d v="2025-09-02T00:00:00"/>
    <n v="67.95"/>
    <n v="4.916666666666667"/>
    <s v="Within SLA"/>
    <s v="Satisfied"/>
    <s v="Resolved"/>
    <s v="Sep-2025"/>
    <x v="3"/>
  </r>
  <r>
    <s v="TCK-000177"/>
    <s v="2025-09-03T05:45:36Z"/>
    <n v="1640"/>
    <s v="Social"/>
    <s v="High"/>
    <s v="Account"/>
    <n v="13"/>
    <n v="1051"/>
    <s v="closed"/>
    <n v="3"/>
    <d v="2025-09-03T00:00:00"/>
    <n v="17.516666666666666"/>
    <n v="0.21666666666666667"/>
    <s v="Within SLA"/>
    <s v="Neutral"/>
    <s v="Resolved"/>
    <s v="Sep-2025"/>
    <x v="3"/>
  </r>
  <r>
    <s v="TCK-000178"/>
    <s v="2025-09-03T14:31:12Z"/>
    <n v="1365"/>
    <s v="Web form"/>
    <s v="Normal"/>
    <s v="Bug report"/>
    <n v="150"/>
    <n v="1870"/>
    <s v="closed"/>
    <n v="2"/>
    <d v="2025-09-03T00:00:00"/>
    <n v="31.166666666666668"/>
    <n v="2.5"/>
    <s v="Within SLA"/>
    <s v="Dissatisfied"/>
    <s v="Resolved"/>
    <s v="Sep-2025"/>
    <x v="3"/>
  </r>
  <r>
    <s v="TCK-000179"/>
    <s v="2025-09-03T23:16:48Z"/>
    <n v="1240"/>
    <s v="Chat"/>
    <s v="Normal"/>
    <s v="Performance"/>
    <n v="121"/>
    <m/>
    <s v="pending"/>
    <m/>
    <d v="2025-09-03T00:00:00"/>
    <s v=""/>
    <n v="2.0166666666666666"/>
    <s v="Open"/>
    <s v="No Rating"/>
    <s v="Unresolved"/>
    <s v="Sep-2025"/>
    <x v="3"/>
  </r>
  <r>
    <s v="TCK-000180"/>
    <s v="2025-09-04T08:02:24Z"/>
    <n v="1362"/>
    <s v="Social"/>
    <s v="High"/>
    <s v="Bug report"/>
    <n v="40"/>
    <n v="1239"/>
    <s v="closed"/>
    <n v="2"/>
    <d v="2025-09-04T00:00:00"/>
    <n v="20.65"/>
    <n v="0.66666666666666663"/>
    <s v="Within SLA"/>
    <s v="Dissatisfied"/>
    <s v="Resolved"/>
    <s v="Sep-2025"/>
    <x v="3"/>
  </r>
  <r>
    <s v="TCK-000181"/>
    <s v="2025-09-04T16:48:00Z"/>
    <n v="1205"/>
    <s v="Web form"/>
    <s v="Normal"/>
    <s v="Billing"/>
    <n v="47"/>
    <n v="2804"/>
    <s v="closed"/>
    <n v="5"/>
    <d v="2025-09-04T00:00:00"/>
    <n v="46.733333333333334"/>
    <n v="0.78333333333333333"/>
    <s v="Within SLA"/>
    <s v="Satisfied"/>
    <s v="Resolved"/>
    <s v="Sep-2025"/>
    <x v="3"/>
  </r>
  <r>
    <s v="TCK-000182"/>
    <s v="2025-09-05T01:33:36Z"/>
    <n v="1217"/>
    <s v="Email"/>
    <s v="Low"/>
    <s v="Login"/>
    <n v="73"/>
    <n v="6965"/>
    <s v="closed"/>
    <m/>
    <d v="2025-09-05T00:00:00"/>
    <n v="116.08333333333333"/>
    <n v="1.2166666666666666"/>
    <s v="Breached"/>
    <s v="No Rating"/>
    <s v="Resolved"/>
    <s v="Sep-2025"/>
    <x v="3"/>
  </r>
  <r>
    <s v="TCK-000183"/>
    <s v="2025-09-05T10:19:12Z"/>
    <n v="1770"/>
    <s v="Email"/>
    <s v="Low"/>
    <s v="Account"/>
    <n v="269"/>
    <n v="8621"/>
    <s v="closed"/>
    <m/>
    <d v="2025-09-05T00:00:00"/>
    <n v="143.68333333333334"/>
    <n v="4.4833333333333334"/>
    <s v="Breached"/>
    <s v="No Rating"/>
    <s v="Resolved"/>
    <s v="Sep-2025"/>
    <x v="3"/>
  </r>
  <r>
    <s v="TCK-000184"/>
    <s v="2025-09-05T19:04:48Z"/>
    <n v="1629"/>
    <s v="Phone"/>
    <s v="Normal"/>
    <s v="Feature request"/>
    <n v="130"/>
    <m/>
    <s v="pending"/>
    <m/>
    <d v="2025-09-05T00:00:00"/>
    <s v=""/>
    <n v="2.1666666666666665"/>
    <s v="Open"/>
    <s v="No Rating"/>
    <s v="Unresolved"/>
    <s v="Sep-2025"/>
    <x v="3"/>
  </r>
  <r>
    <s v="TCK-000185"/>
    <s v="2025-09-06T03:50:24Z"/>
    <n v="1027"/>
    <s v="Social"/>
    <s v="High"/>
    <s v="Data import"/>
    <n v="9"/>
    <n v="1073"/>
    <s v="closed"/>
    <m/>
    <d v="2025-09-06T00:00:00"/>
    <n v="17.883333333333333"/>
    <n v="0.15"/>
    <s v="Within SLA"/>
    <s v="No Rating"/>
    <s v="Resolved"/>
    <s v="Sep-2025"/>
    <x v="3"/>
  </r>
  <r>
    <s v="TCK-000186"/>
    <s v="2025-09-06T12:36:00Z"/>
    <n v="1506"/>
    <s v="Web form"/>
    <s v="Low"/>
    <s v="Feature request"/>
    <n v="252"/>
    <n v="1481"/>
    <s v="closed"/>
    <n v="5"/>
    <d v="2025-09-06T00:00:00"/>
    <n v="24.683333333333334"/>
    <n v="4.2"/>
    <s v="Within SLA"/>
    <s v="Satisfied"/>
    <s v="Resolved"/>
    <s v="Sep-2025"/>
    <x v="3"/>
  </r>
  <r>
    <s v="TCK-000187"/>
    <s v="2025-09-06T21:21:36Z"/>
    <n v="1112"/>
    <s v="Phone"/>
    <s v="High"/>
    <s v="Performance"/>
    <n v="24"/>
    <n v="150"/>
    <s v="closed"/>
    <n v="1"/>
    <d v="2025-09-06T00:00:00"/>
    <n v="2.5"/>
    <n v="0.4"/>
    <s v="Within SLA"/>
    <s v="Dissatisfied"/>
    <s v="Resolved"/>
    <s v="Sep-2025"/>
    <x v="3"/>
  </r>
  <r>
    <s v="TCK-000188"/>
    <s v="2025-09-07T06:07:12Z"/>
    <n v="1361"/>
    <s v="Web form"/>
    <s v="Urgent"/>
    <s v="Export"/>
    <n v="6"/>
    <n v="176"/>
    <s v="closed"/>
    <n v="4"/>
    <d v="2025-09-07T00:00:00"/>
    <n v="2.9333333333333331"/>
    <n v="0.1"/>
    <s v="Within SLA"/>
    <s v="Satisfied"/>
    <s v="Resolved"/>
    <s v="Sep-2025"/>
    <x v="3"/>
  </r>
  <r>
    <s v="TCK-000189"/>
    <s v="2025-09-07T14:52:48Z"/>
    <n v="1643"/>
    <s v="Chat"/>
    <s v="Low"/>
    <s v="Login"/>
    <n v="460"/>
    <n v="1604"/>
    <s v="closed"/>
    <n v="4"/>
    <d v="2025-09-07T00:00:00"/>
    <n v="26.733333333333334"/>
    <n v="7.666666666666667"/>
    <s v="Within SLA"/>
    <s v="Satisfied"/>
    <s v="Resolved"/>
    <s v="Sep-2025"/>
    <x v="3"/>
  </r>
  <r>
    <s v="TCK-000190"/>
    <s v="2025-09-07T23:38:24Z"/>
    <n v="1478"/>
    <s v="Chat"/>
    <s v="Urgent"/>
    <s v="Bug report"/>
    <n v="9"/>
    <m/>
    <s v="pending"/>
    <m/>
    <d v="2025-09-07T00:00:00"/>
    <s v=""/>
    <n v="0.15"/>
    <s v="Open"/>
    <s v="No Rating"/>
    <s v="Unresolved"/>
    <s v="Sep-2025"/>
    <x v="3"/>
  </r>
  <r>
    <s v="TCK-000191"/>
    <s v="2025-09-08T08:24:00Z"/>
    <n v="1866"/>
    <s v="Email"/>
    <s v="Normal"/>
    <s v="Bug report"/>
    <n v="176"/>
    <m/>
    <s v="pending"/>
    <m/>
    <d v="2025-09-08T00:00:00"/>
    <s v=""/>
    <n v="2.9333333333333331"/>
    <s v="Open"/>
    <s v="No Rating"/>
    <s v="Unresolved"/>
    <s v="Sep-2025"/>
    <x v="3"/>
  </r>
  <r>
    <s v="TCK-000192"/>
    <s v="2025-09-08T17:09:36Z"/>
    <n v="1505"/>
    <s v="Social"/>
    <s v="Urgent"/>
    <s v="Bug report"/>
    <n v="3"/>
    <n v="94"/>
    <s v="closed"/>
    <m/>
    <d v="2025-09-08T00:00:00"/>
    <n v="1.5666666666666667"/>
    <n v="0.05"/>
    <s v="Within SLA"/>
    <s v="No Rating"/>
    <s v="Resolved"/>
    <s v="Sep-2025"/>
    <x v="3"/>
  </r>
  <r>
    <s v="TCK-000193"/>
    <s v="2025-09-09T01:55:12Z"/>
    <n v="1413"/>
    <s v="Web form"/>
    <s v="High"/>
    <s v="Export"/>
    <n v="32"/>
    <n v="926"/>
    <s v="closed"/>
    <n v="5"/>
    <d v="2025-09-09T00:00:00"/>
    <n v="15.433333333333334"/>
    <n v="0.53333333333333333"/>
    <s v="Within SLA"/>
    <s v="Satisfied"/>
    <s v="Resolved"/>
    <s v="Sep-2025"/>
    <x v="3"/>
  </r>
  <r>
    <s v="TCK-000194"/>
    <s v="2025-09-09T10:40:48Z"/>
    <n v="1855"/>
    <s v="Web form"/>
    <s v="Low"/>
    <s v="Account"/>
    <n v="373"/>
    <n v="6244"/>
    <s v="resolved"/>
    <n v="5"/>
    <d v="2025-09-09T00:00:00"/>
    <n v="104.06666666666666"/>
    <n v="6.2166666666666668"/>
    <s v="Breached"/>
    <s v="Satisfied"/>
    <s v="Resolved"/>
    <s v="Sep-2025"/>
    <x v="3"/>
  </r>
  <r>
    <s v="TCK-000195"/>
    <s v="2025-09-09T19:26:24Z"/>
    <n v="1066"/>
    <s v="Chat"/>
    <s v="High"/>
    <s v="Feature request"/>
    <n v="45"/>
    <n v="651"/>
    <s v="resolved"/>
    <m/>
    <d v="2025-09-09T00:00:00"/>
    <n v="10.85"/>
    <n v="0.75"/>
    <s v="Within SLA"/>
    <s v="No Rating"/>
    <s v="Resolved"/>
    <s v="Sep-2025"/>
    <x v="3"/>
  </r>
  <r>
    <s v="TCK-000196"/>
    <s v="2025-09-10T04:12:00Z"/>
    <n v="1252"/>
    <s v="Web form"/>
    <s v="Low"/>
    <s v="Billing"/>
    <n v="332"/>
    <n v="2889"/>
    <s v="closed"/>
    <n v="2"/>
    <d v="2025-09-10T00:00:00"/>
    <n v="48.15"/>
    <n v="5.5333333333333332"/>
    <s v="Within SLA"/>
    <s v="Dissatisfied"/>
    <s v="Resolved"/>
    <s v="Sep-2025"/>
    <x v="3"/>
  </r>
  <r>
    <s v="TCK-000197"/>
    <s v="2025-09-10T12:57:36Z"/>
    <n v="1015"/>
    <s v="Phone"/>
    <s v="High"/>
    <s v="Account"/>
    <n v="17"/>
    <m/>
    <s v="pending"/>
    <m/>
    <d v="2025-09-10T00:00:00"/>
    <s v=""/>
    <n v="0.28333333333333333"/>
    <s v="Open"/>
    <s v="No Rating"/>
    <s v="Unresolved"/>
    <s v="Sep-2025"/>
    <x v="3"/>
  </r>
  <r>
    <s v="TCK-000198"/>
    <s v="2025-09-10T21:43:12Z"/>
    <n v="1415"/>
    <s v="Email"/>
    <s v="Low"/>
    <s v="Account"/>
    <n v="259"/>
    <m/>
    <s v="pending"/>
    <m/>
    <d v="2025-09-10T00:00:00"/>
    <s v=""/>
    <n v="4.3166666666666664"/>
    <s v="Open"/>
    <s v="No Rating"/>
    <s v="Unresolved"/>
    <s v="Sep-2025"/>
    <x v="3"/>
  </r>
  <r>
    <s v="TCK-000199"/>
    <s v="2025-09-11T06:28:48Z"/>
    <n v="1978"/>
    <s v="Phone"/>
    <s v="High"/>
    <s v="Data import"/>
    <n v="28"/>
    <n v="246"/>
    <s v="closed"/>
    <n v="4"/>
    <d v="2025-09-11T00:00:00"/>
    <n v="4.0999999999999996"/>
    <n v="0.46666666666666667"/>
    <s v="Within SLA"/>
    <s v="Satisfied"/>
    <s v="Resolved"/>
    <s v="Sep-2025"/>
    <x v="3"/>
  </r>
  <r>
    <s v="TCK-000200"/>
    <s v="2025-09-11T15:14:24Z"/>
    <n v="1061"/>
    <s v="Social"/>
    <s v="Urgent"/>
    <s v="Account"/>
    <n v="3"/>
    <m/>
    <s v="pending"/>
    <m/>
    <d v="2025-09-11T00:00:00"/>
    <s v=""/>
    <n v="0.05"/>
    <s v="Open"/>
    <s v="No Rating"/>
    <s v="Unresolved"/>
    <s v="Sep-2025"/>
    <x v="3"/>
  </r>
  <r>
    <s v="TCK-000201"/>
    <s v="2025-09-12T00:00:00Z"/>
    <n v="1214"/>
    <s v="Web form"/>
    <s v="Normal"/>
    <s v="Bug report"/>
    <n v="72"/>
    <n v="2342"/>
    <s v="closed"/>
    <n v="2"/>
    <d v="2025-09-12T00:00:00"/>
    <n v="39.033333333333331"/>
    <n v="1.2"/>
    <s v="Within SLA"/>
    <s v="Dissatisfied"/>
    <s v="Resolved"/>
    <s v="Sep-2025"/>
    <x v="3"/>
  </r>
  <r>
    <s v="TCK-000202"/>
    <s v="2025-09-12T08:45:36Z"/>
    <n v="1997"/>
    <s v="Phone"/>
    <s v="Normal"/>
    <s v="Bug report"/>
    <n v="54"/>
    <n v="1956"/>
    <s v="closed"/>
    <n v="3"/>
    <d v="2025-09-12T00:00:00"/>
    <n v="32.6"/>
    <n v="0.9"/>
    <s v="Within SLA"/>
    <s v="Neutral"/>
    <s v="Resolved"/>
    <s v="Sep-2025"/>
    <x v="3"/>
  </r>
  <r>
    <s v="TCK-000203"/>
    <s v="2025-09-12T17:31:12Z"/>
    <n v="1605"/>
    <s v="Phone"/>
    <s v="Normal"/>
    <s v="Export"/>
    <n v="49"/>
    <n v="2629"/>
    <s v="closed"/>
    <m/>
    <d v="2025-09-12T00:00:00"/>
    <n v="43.81666666666667"/>
    <n v="0.81666666666666665"/>
    <s v="Within SLA"/>
    <s v="No Rating"/>
    <s v="Resolved"/>
    <s v="Sep-2025"/>
    <x v="3"/>
  </r>
  <r>
    <s v="TCK-000204"/>
    <s v="2025-09-13T02:16:48Z"/>
    <n v="1622"/>
    <s v="Phone"/>
    <s v="Normal"/>
    <s v="Performance"/>
    <n v="49"/>
    <n v="1901"/>
    <s v="closed"/>
    <n v="3"/>
    <d v="2025-09-13T00:00:00"/>
    <n v="31.683333333333334"/>
    <n v="0.81666666666666665"/>
    <s v="Within SLA"/>
    <s v="Neutral"/>
    <s v="Resolved"/>
    <s v="Sep-2025"/>
    <x v="3"/>
  </r>
  <r>
    <s v="TCK-000205"/>
    <s v="2025-09-13T11:02:24Z"/>
    <n v="1882"/>
    <s v="Email"/>
    <s v="Normal"/>
    <s v="Account"/>
    <n v="42"/>
    <n v="1487"/>
    <s v="closed"/>
    <n v="5"/>
    <d v="2025-09-13T00:00:00"/>
    <n v="24.783333333333335"/>
    <n v="0.7"/>
    <s v="Within SLA"/>
    <s v="Satisfied"/>
    <s v="Resolved"/>
    <s v="Sep-2025"/>
    <x v="3"/>
  </r>
  <r>
    <s v="TCK-000206"/>
    <s v="2025-09-13T19:48:00Z"/>
    <n v="1169"/>
    <s v="Social"/>
    <s v="Urgent"/>
    <s v="Performance"/>
    <n v="7"/>
    <n v="194"/>
    <s v="closed"/>
    <n v="5"/>
    <d v="2025-09-13T00:00:00"/>
    <n v="3.2333333333333334"/>
    <n v="0.11666666666666667"/>
    <s v="Within SLA"/>
    <s v="Satisfied"/>
    <s v="Resolved"/>
    <s v="Sep-2025"/>
    <x v="3"/>
  </r>
  <r>
    <s v="TCK-000207"/>
    <s v="2025-09-14T04:33:36Z"/>
    <n v="1631"/>
    <s v="Web form"/>
    <s v="Urgent"/>
    <s v="Login"/>
    <n v="10"/>
    <n v="111"/>
    <s v="resolved"/>
    <n v="1"/>
    <d v="2025-09-14T00:00:00"/>
    <n v="1.85"/>
    <n v="0.16666666666666666"/>
    <s v="Within SLA"/>
    <s v="Dissatisfied"/>
    <s v="Resolved"/>
    <s v="Sep-2025"/>
    <x v="3"/>
  </r>
  <r>
    <s v="TCK-000208"/>
    <s v="2025-09-14T13:19:12Z"/>
    <n v="1233"/>
    <s v="Social"/>
    <s v="Normal"/>
    <s v="Login"/>
    <n v="133"/>
    <n v="3342"/>
    <s v="closed"/>
    <m/>
    <d v="2025-09-14T00:00:00"/>
    <n v="55.7"/>
    <n v="2.2166666666666668"/>
    <s v="Breached"/>
    <s v="No Rating"/>
    <s v="Resolved"/>
    <s v="Sep-2025"/>
    <x v="3"/>
  </r>
  <r>
    <s v="TCK-000209"/>
    <s v="2025-09-14T22:04:48Z"/>
    <n v="1520"/>
    <s v="Web form"/>
    <s v="Urgent"/>
    <s v="Performance"/>
    <n v="3"/>
    <n v="199"/>
    <s v="closed"/>
    <m/>
    <d v="2025-09-14T00:00:00"/>
    <n v="3.3166666666666669"/>
    <n v="0.05"/>
    <s v="Within SLA"/>
    <s v="No Rating"/>
    <s v="Resolved"/>
    <s v="Sep-2025"/>
    <x v="3"/>
  </r>
  <r>
    <s v="TCK-000210"/>
    <s v="2025-09-15T06:50:24Z"/>
    <n v="1820"/>
    <s v="Phone"/>
    <s v="Normal"/>
    <s v="Account"/>
    <n v="77"/>
    <m/>
    <s v="pending"/>
    <m/>
    <d v="2025-09-15T00:00:00"/>
    <s v=""/>
    <n v="1.2833333333333334"/>
    <s v="Open"/>
    <s v="No Rating"/>
    <s v="Unresolved"/>
    <s v="Sep-2025"/>
    <x v="3"/>
  </r>
  <r>
    <s v="TCK-000211"/>
    <s v="2025-09-15T15:36:00Z"/>
    <n v="1235"/>
    <s v="Chat"/>
    <s v="Low"/>
    <s v="Export"/>
    <n v="132"/>
    <n v="6767"/>
    <s v="closed"/>
    <m/>
    <d v="2025-09-15T00:00:00"/>
    <n v="112.78333333333333"/>
    <n v="2.2000000000000002"/>
    <s v="Breached"/>
    <s v="No Rating"/>
    <s v="Resolved"/>
    <s v="Sep-2025"/>
    <x v="3"/>
  </r>
  <r>
    <s v="TCK-000212"/>
    <s v="2025-09-16T00:21:36Z"/>
    <n v="1352"/>
    <s v="Chat"/>
    <s v="Low"/>
    <s v="Bug report"/>
    <n v="323"/>
    <n v="2923"/>
    <s v="closed"/>
    <m/>
    <d v="2025-09-16T00:00:00"/>
    <n v="48.716666666666669"/>
    <n v="5.3833333333333337"/>
    <s v="Within SLA"/>
    <s v="No Rating"/>
    <s v="Resolved"/>
    <s v="Sep-2025"/>
    <x v="3"/>
  </r>
  <r>
    <s v="TCK-000213"/>
    <s v="2025-09-16T09:07:12Z"/>
    <n v="1209"/>
    <s v="Chat"/>
    <s v="Normal"/>
    <s v="Integration"/>
    <n v="150"/>
    <n v="3371"/>
    <s v="closed"/>
    <n v="2"/>
    <d v="2025-09-16T00:00:00"/>
    <n v="56.18333333333333"/>
    <n v="2.5"/>
    <s v="Breached"/>
    <s v="Dissatisfied"/>
    <s v="Resolved"/>
    <s v="Sep-2025"/>
    <x v="3"/>
  </r>
  <r>
    <s v="TCK-000214"/>
    <s v="2025-09-16T17:52:48Z"/>
    <n v="1568"/>
    <s v="Email"/>
    <s v="High"/>
    <s v="Bug report"/>
    <n v="43"/>
    <n v="785"/>
    <s v="resolved"/>
    <n v="3"/>
    <d v="2025-09-16T00:00:00"/>
    <n v="13.083333333333334"/>
    <n v="0.71666666666666667"/>
    <s v="Within SLA"/>
    <s v="Neutral"/>
    <s v="Resolved"/>
    <s v="Sep-2025"/>
    <x v="3"/>
  </r>
  <r>
    <s v="TCK-000215"/>
    <s v="2025-09-17T02:38:24Z"/>
    <n v="1478"/>
    <s v="Chat"/>
    <s v="Normal"/>
    <s v="Export"/>
    <n v="148"/>
    <m/>
    <s v="open"/>
    <m/>
    <d v="2025-09-17T00:00:00"/>
    <s v=""/>
    <n v="2.4666666666666668"/>
    <s v="Open"/>
    <s v="No Rating"/>
    <s v="Unresolved"/>
    <s v="Sep-2025"/>
    <x v="3"/>
  </r>
  <r>
    <s v="TCK-000216"/>
    <s v="2025-09-17T11:24:00Z"/>
    <n v="1647"/>
    <s v="Social"/>
    <s v="Low"/>
    <s v="Login"/>
    <n v="357"/>
    <n v="2446"/>
    <s v="closed"/>
    <n v="2"/>
    <d v="2025-09-17T00:00:00"/>
    <n v="40.766666666666666"/>
    <n v="5.95"/>
    <s v="Within SLA"/>
    <s v="Dissatisfied"/>
    <s v="Resolved"/>
    <s v="Sep-2025"/>
    <x v="3"/>
  </r>
  <r>
    <s v="TCK-000217"/>
    <s v="2025-09-17T20:09:36Z"/>
    <n v="1521"/>
    <s v="Email"/>
    <s v="Urgent"/>
    <s v="Login"/>
    <n v="2"/>
    <n v="365"/>
    <s v="closed"/>
    <m/>
    <d v="2025-09-17T00:00:00"/>
    <n v="6.083333333333333"/>
    <n v="3.3333333333333333E-2"/>
    <s v="Within SLA"/>
    <s v="No Rating"/>
    <s v="Resolved"/>
    <s v="Sep-2025"/>
    <x v="3"/>
  </r>
  <r>
    <s v="TCK-000218"/>
    <s v="2025-09-18T04:55:12Z"/>
    <n v="1700"/>
    <s v="Web form"/>
    <s v="Normal"/>
    <s v="Export"/>
    <n v="128"/>
    <n v="3163"/>
    <s v="closed"/>
    <n v="2"/>
    <d v="2025-09-18T00:00:00"/>
    <n v="52.716666666666669"/>
    <n v="2.1333333333333333"/>
    <s v="Breached"/>
    <s v="Dissatisfied"/>
    <s v="Resolved"/>
    <s v="Sep-2025"/>
    <x v="3"/>
  </r>
  <r>
    <s v="TCK-000219"/>
    <s v="2025-09-18T13:40:48Z"/>
    <n v="1532"/>
    <s v="Phone"/>
    <s v="Normal"/>
    <s v="Data import"/>
    <n v="38"/>
    <n v="1032"/>
    <s v="closed"/>
    <n v="2"/>
    <d v="2025-09-18T00:00:00"/>
    <n v="17.2"/>
    <n v="0.6333333333333333"/>
    <s v="Within SLA"/>
    <s v="Dissatisfied"/>
    <s v="Resolved"/>
    <s v="Sep-2025"/>
    <x v="3"/>
  </r>
  <r>
    <s v="TCK-000220"/>
    <s v="2025-09-18T22:26:24Z"/>
    <n v="1379"/>
    <s v="Social"/>
    <s v="Low"/>
    <s v="Export"/>
    <n v="149"/>
    <n v="5140"/>
    <s v="resolved"/>
    <n v="3"/>
    <d v="2025-09-18T00:00:00"/>
    <n v="85.666666666666671"/>
    <n v="2.4833333333333334"/>
    <s v="Breached"/>
    <s v="Neutral"/>
    <s v="Resolved"/>
    <s v="Sep-2025"/>
    <x v="3"/>
  </r>
  <r>
    <s v="TCK-000221"/>
    <s v="2025-09-19T07:12:00Z"/>
    <n v="1385"/>
    <s v="Email"/>
    <s v="Urgent"/>
    <s v="Billing"/>
    <n v="10"/>
    <n v="381"/>
    <s v="resolved"/>
    <n v="3"/>
    <d v="2025-09-19T00:00:00"/>
    <n v="6.35"/>
    <n v="0.16666666666666666"/>
    <s v="Within SLA"/>
    <s v="Neutral"/>
    <s v="Resolved"/>
    <s v="Sep-2025"/>
    <x v="3"/>
  </r>
  <r>
    <s v="TCK-000222"/>
    <s v="2025-09-19T15:57:36Z"/>
    <n v="1779"/>
    <s v="Web form"/>
    <s v="Normal"/>
    <s v="Login"/>
    <n v="101"/>
    <m/>
    <s v="open"/>
    <m/>
    <d v="2025-09-19T00:00:00"/>
    <s v=""/>
    <n v="1.6833333333333333"/>
    <s v="Open"/>
    <s v="No Rating"/>
    <s v="Unresolved"/>
    <s v="Sep-2025"/>
    <x v="3"/>
  </r>
  <r>
    <s v="TCK-000223"/>
    <s v="2025-09-20T00:43:12Z"/>
    <n v="1123"/>
    <s v="Phone"/>
    <s v="High"/>
    <s v="Billing"/>
    <n v="16"/>
    <n v="168"/>
    <s v="closed"/>
    <n v="2"/>
    <d v="2025-09-20T00:00:00"/>
    <n v="2.8"/>
    <n v="0.26666666666666666"/>
    <s v="Within SLA"/>
    <s v="Dissatisfied"/>
    <s v="Resolved"/>
    <s v="Sep-2025"/>
    <x v="3"/>
  </r>
  <r>
    <s v="TCK-000224"/>
    <s v="2025-09-20T09:28:48Z"/>
    <n v="1587"/>
    <s v="Web form"/>
    <s v="High"/>
    <s v="Login"/>
    <n v="45"/>
    <n v="910"/>
    <s v="closed"/>
    <m/>
    <d v="2025-09-20T00:00:00"/>
    <n v="15.166666666666666"/>
    <n v="0.75"/>
    <s v="Within SLA"/>
    <s v="No Rating"/>
    <s v="Resolved"/>
    <s v="Sep-2025"/>
    <x v="3"/>
  </r>
  <r>
    <s v="TCK-000225"/>
    <s v="2025-09-20T18:14:24Z"/>
    <n v="1884"/>
    <s v="Chat"/>
    <s v="Low"/>
    <s v="Performance"/>
    <n v="187"/>
    <n v="6532"/>
    <s v="resolved"/>
    <n v="4"/>
    <d v="2025-09-20T00:00:00"/>
    <n v="108.86666666666666"/>
    <n v="3.1166666666666667"/>
    <s v="Breached"/>
    <s v="Satisfied"/>
    <s v="Resolved"/>
    <s v="Sep-2025"/>
    <x v="3"/>
  </r>
  <r>
    <s v="TCK-000226"/>
    <s v="2025-09-21T03:00:00Z"/>
    <n v="1706"/>
    <s v="Phone"/>
    <s v="High"/>
    <s v="Feature request"/>
    <n v="19"/>
    <n v="346"/>
    <s v="resolved"/>
    <m/>
    <d v="2025-09-21T00:00:00"/>
    <n v="5.7666666666666666"/>
    <n v="0.31666666666666665"/>
    <s v="Within SLA"/>
    <s v="No Rating"/>
    <s v="Resolved"/>
    <s v="Sep-2025"/>
    <x v="3"/>
  </r>
  <r>
    <s v="TCK-000227"/>
    <s v="2025-09-21T11:45:36Z"/>
    <n v="1923"/>
    <s v="Email"/>
    <s v="Normal"/>
    <s v="Export"/>
    <n v="75"/>
    <m/>
    <s v="open"/>
    <m/>
    <d v="2025-09-21T00:00:00"/>
    <s v=""/>
    <n v="1.25"/>
    <s v="Open"/>
    <s v="No Rating"/>
    <s v="Unresolved"/>
    <s v="Sep-2025"/>
    <x v="3"/>
  </r>
  <r>
    <s v="TCK-000228"/>
    <s v="2025-09-21T20:31:12Z"/>
    <n v="1830"/>
    <s v="Web form"/>
    <s v="Normal"/>
    <s v="Bug report"/>
    <n v="138"/>
    <n v="3297"/>
    <s v="closed"/>
    <n v="1"/>
    <d v="2025-09-21T00:00:00"/>
    <n v="54.95"/>
    <n v="2.2999999999999998"/>
    <s v="Breached"/>
    <s v="Dissatisfied"/>
    <s v="Resolved"/>
    <s v="Sep-2025"/>
    <x v="3"/>
  </r>
  <r>
    <s v="TCK-000229"/>
    <s v="2025-09-22T05:16:48Z"/>
    <n v="1766"/>
    <s v="Chat"/>
    <s v="Normal"/>
    <s v="Billing"/>
    <n v="158"/>
    <n v="1335"/>
    <s v="closed"/>
    <n v="1"/>
    <d v="2025-09-22T00:00:00"/>
    <n v="22.25"/>
    <n v="2.6333333333333333"/>
    <s v="Within SLA"/>
    <s v="Dissatisfied"/>
    <s v="Resolved"/>
    <s v="Sep-2025"/>
    <x v="3"/>
  </r>
  <r>
    <s v="TCK-000230"/>
    <s v="2025-09-22T14:02:24Z"/>
    <n v="1858"/>
    <s v="Social"/>
    <s v="Low"/>
    <s v="Feature request"/>
    <n v="244"/>
    <n v="6732"/>
    <s v="closed"/>
    <n v="2"/>
    <d v="2025-09-22T00:00:00"/>
    <n v="112.2"/>
    <n v="4.0666666666666664"/>
    <s v="Breached"/>
    <s v="Dissatisfied"/>
    <s v="Resolved"/>
    <s v="Sep-2025"/>
    <x v="3"/>
  </r>
  <r>
    <s v="TCK-000231"/>
    <s v="2025-09-22T22:48:00Z"/>
    <n v="1337"/>
    <s v="Social"/>
    <s v="Normal"/>
    <s v="Bug report"/>
    <n v="57"/>
    <n v="2322"/>
    <s v="resolved"/>
    <m/>
    <d v="2025-09-22T00:00:00"/>
    <n v="38.700000000000003"/>
    <n v="0.95"/>
    <s v="Within SLA"/>
    <s v="No Rating"/>
    <s v="Resolved"/>
    <s v="Sep-2025"/>
    <x v="3"/>
  </r>
  <r>
    <s v="TCK-000232"/>
    <s v="2025-09-23T07:33:36Z"/>
    <n v="1058"/>
    <s v="Chat"/>
    <s v="Normal"/>
    <s v="Performance"/>
    <n v="55"/>
    <m/>
    <s v="open"/>
    <m/>
    <d v="2025-09-23T00:00:00"/>
    <s v=""/>
    <n v="0.91666666666666663"/>
    <s v="Open"/>
    <s v="No Rating"/>
    <s v="Unresolved"/>
    <s v="Sep-2025"/>
    <x v="3"/>
  </r>
  <r>
    <s v="TCK-000233"/>
    <s v="2025-09-23T16:19:12Z"/>
    <n v="1166"/>
    <s v="Social"/>
    <s v="Normal"/>
    <s v="Bug report"/>
    <n v="129"/>
    <n v="1091"/>
    <s v="closed"/>
    <n v="3"/>
    <d v="2025-09-23T00:00:00"/>
    <n v="18.183333333333334"/>
    <n v="2.15"/>
    <s v="Within SLA"/>
    <s v="Neutral"/>
    <s v="Resolved"/>
    <s v="Sep-2025"/>
    <x v="3"/>
  </r>
  <r>
    <s v="TCK-000234"/>
    <s v="2025-09-24T01:04:48Z"/>
    <n v="1150"/>
    <s v="Social"/>
    <s v="Urgent"/>
    <s v="Billing"/>
    <n v="4"/>
    <n v="354"/>
    <s v="closed"/>
    <m/>
    <d v="2025-09-24T00:00:00"/>
    <n v="5.9"/>
    <n v="6.6666666666666666E-2"/>
    <s v="Within SLA"/>
    <s v="No Rating"/>
    <s v="Resolved"/>
    <s v="Sep-2025"/>
    <x v="3"/>
  </r>
  <r>
    <s v="TCK-000235"/>
    <s v="2025-09-24T09:50:24Z"/>
    <n v="1254"/>
    <s v="Chat"/>
    <s v="Low"/>
    <s v="Account"/>
    <n v="277"/>
    <m/>
    <s v="open"/>
    <m/>
    <d v="2025-09-24T00:00:00"/>
    <s v=""/>
    <n v="4.6166666666666663"/>
    <s v="Open"/>
    <s v="No Rating"/>
    <s v="Unresolved"/>
    <s v="Sep-2025"/>
    <x v="3"/>
  </r>
  <r>
    <s v="TCK-000236"/>
    <s v="2025-09-24T18:36:00Z"/>
    <n v="1135"/>
    <s v="Web form"/>
    <s v="Normal"/>
    <s v="Performance"/>
    <n v="74"/>
    <n v="2470"/>
    <s v="closed"/>
    <n v="3"/>
    <d v="2025-09-24T00:00:00"/>
    <n v="41.166666666666664"/>
    <n v="1.2333333333333334"/>
    <s v="Within SLA"/>
    <s v="Neutral"/>
    <s v="Resolved"/>
    <s v="Sep-2025"/>
    <x v="3"/>
  </r>
  <r>
    <s v="TCK-000237"/>
    <s v="2025-09-25T03:21:36Z"/>
    <n v="1756"/>
    <s v="Web form"/>
    <s v="High"/>
    <s v="Login"/>
    <n v="31"/>
    <n v="470"/>
    <s v="resolved"/>
    <m/>
    <d v="2025-09-25T00:00:00"/>
    <n v="7.833333333333333"/>
    <n v="0.51666666666666672"/>
    <s v="Within SLA"/>
    <s v="No Rating"/>
    <s v="Resolved"/>
    <s v="Sep-2025"/>
    <x v="3"/>
  </r>
  <r>
    <s v="TCK-000238"/>
    <s v="2025-09-25T12:07:12Z"/>
    <n v="1680"/>
    <s v="Phone"/>
    <s v="Low"/>
    <s v="Login"/>
    <n v="119"/>
    <n v="4055"/>
    <s v="resolved"/>
    <m/>
    <d v="2025-09-25T00:00:00"/>
    <n v="67.583333333333329"/>
    <n v="1.9833333333333334"/>
    <s v="Within SLA"/>
    <s v="No Rating"/>
    <s v="Resolved"/>
    <s v="Sep-2025"/>
    <x v="3"/>
  </r>
  <r>
    <s v="TCK-000239"/>
    <s v="2025-09-25T20:52:48Z"/>
    <n v="1204"/>
    <s v="Chat"/>
    <s v="Normal"/>
    <s v="Bug report"/>
    <n v="107"/>
    <m/>
    <s v="open"/>
    <m/>
    <d v="2025-09-25T00:00:00"/>
    <s v=""/>
    <n v="1.7833333333333334"/>
    <s v="Open"/>
    <s v="No Rating"/>
    <s v="Unresolved"/>
    <s v="Sep-2025"/>
    <x v="3"/>
  </r>
  <r>
    <s v="TCK-000240"/>
    <s v="2025-09-26T05:38:24Z"/>
    <n v="1654"/>
    <s v="Phone"/>
    <s v="Normal"/>
    <s v="Account"/>
    <n v="81"/>
    <n v="2878"/>
    <s v="closed"/>
    <n v="2"/>
    <d v="2025-09-26T00:00:00"/>
    <n v="47.966666666666669"/>
    <n v="1.35"/>
    <s v="Within SLA"/>
    <s v="Dissatisfied"/>
    <s v="Resolved"/>
    <s v="Sep-2025"/>
    <x v="3"/>
  </r>
  <r>
    <s v="TCK-000241"/>
    <s v="2025-09-26T14:24:00Z"/>
    <n v="1051"/>
    <s v="Chat"/>
    <s v="Normal"/>
    <s v="Performance"/>
    <n v="162"/>
    <n v="823"/>
    <s v="closed"/>
    <n v="4"/>
    <d v="2025-09-26T00:00:00"/>
    <n v="13.716666666666667"/>
    <n v="2.7"/>
    <s v="Within SLA"/>
    <s v="Satisfied"/>
    <s v="Resolved"/>
    <s v="Sep-2025"/>
    <x v="3"/>
  </r>
  <r>
    <s v="TCK-000242"/>
    <s v="2025-09-26T23:09:36Z"/>
    <n v="1011"/>
    <s v="Chat"/>
    <s v="Normal"/>
    <s v="Data import"/>
    <n v="33"/>
    <n v="435"/>
    <s v="closed"/>
    <n v="5"/>
    <d v="2025-09-26T00:00:00"/>
    <n v="7.25"/>
    <n v="0.55000000000000004"/>
    <s v="Within SLA"/>
    <s v="Satisfied"/>
    <s v="Resolved"/>
    <s v="Sep-2025"/>
    <x v="3"/>
  </r>
  <r>
    <s v="TCK-000243"/>
    <s v="2025-09-27T07:55:12Z"/>
    <n v="1619"/>
    <s v="Chat"/>
    <s v="Normal"/>
    <s v="Bug report"/>
    <n v="107"/>
    <n v="1596"/>
    <s v="closed"/>
    <n v="4"/>
    <d v="2025-09-27T00:00:00"/>
    <n v="26.6"/>
    <n v="1.7833333333333334"/>
    <s v="Within SLA"/>
    <s v="Satisfied"/>
    <s v="Resolved"/>
    <s v="Sep-2025"/>
    <x v="3"/>
  </r>
  <r>
    <s v="TCK-000244"/>
    <s v="2025-09-27T16:40:48Z"/>
    <n v="1233"/>
    <s v="Social"/>
    <s v="High"/>
    <s v="Bug report"/>
    <n v="50"/>
    <m/>
    <s v="open"/>
    <m/>
    <d v="2025-09-27T00:00:00"/>
    <s v=""/>
    <n v="0.83333333333333337"/>
    <s v="Open"/>
    <s v="No Rating"/>
    <s v="Unresolved"/>
    <s v="Sep-2025"/>
    <x v="3"/>
  </r>
  <r>
    <s v="TCK-000245"/>
    <s v="2025-09-28T01:26:24Z"/>
    <n v="1853"/>
    <s v="Phone"/>
    <s v="Normal"/>
    <s v="Billing"/>
    <n v="57"/>
    <n v="3554"/>
    <s v="closed"/>
    <n v="4"/>
    <d v="2025-09-28T00:00:00"/>
    <n v="59.233333333333334"/>
    <n v="0.95"/>
    <s v="Breached"/>
    <s v="Satisfied"/>
    <s v="Resolved"/>
    <s v="Sep-2025"/>
    <x v="3"/>
  </r>
  <r>
    <s v="TCK-000246"/>
    <s v="2025-09-28T10:12:00Z"/>
    <n v="1907"/>
    <s v="Phone"/>
    <s v="Urgent"/>
    <s v="Feature request"/>
    <n v="6"/>
    <n v="59"/>
    <s v="closed"/>
    <n v="1"/>
    <d v="2025-09-28T00:00:00"/>
    <n v="0.98333333333333328"/>
    <n v="0.1"/>
    <s v="Within SLA"/>
    <s v="Dissatisfied"/>
    <s v="Resolved"/>
    <s v="Sep-2025"/>
    <x v="3"/>
  </r>
  <r>
    <s v="TCK-000247"/>
    <s v="2025-09-28T18:57:36Z"/>
    <n v="1794"/>
    <s v="Chat"/>
    <s v="Normal"/>
    <s v="Integration"/>
    <n v="139"/>
    <n v="1873"/>
    <s v="closed"/>
    <m/>
    <d v="2025-09-28T00:00:00"/>
    <n v="31.216666666666665"/>
    <n v="2.3166666666666669"/>
    <s v="Within SLA"/>
    <s v="No Rating"/>
    <s v="Resolved"/>
    <s v="Sep-2025"/>
    <x v="3"/>
  </r>
  <r>
    <s v="TCK-000248"/>
    <s v="2025-09-29T03:43:12Z"/>
    <n v="1335"/>
    <s v="Chat"/>
    <s v="Low"/>
    <s v="Bug report"/>
    <n v="471"/>
    <n v="1488"/>
    <s v="closed"/>
    <n v="5"/>
    <d v="2025-09-29T00:00:00"/>
    <n v="24.8"/>
    <n v="7.85"/>
    <s v="Within SLA"/>
    <s v="Satisfied"/>
    <s v="Resolved"/>
    <s v="Sep-2025"/>
    <x v="3"/>
  </r>
  <r>
    <s v="TCK-000249"/>
    <s v="2025-09-29T12:28:48Z"/>
    <n v="1675"/>
    <s v="Social"/>
    <s v="Normal"/>
    <s v="Account"/>
    <n v="167"/>
    <m/>
    <s v="pending"/>
    <m/>
    <d v="2025-09-29T00:00:00"/>
    <s v=""/>
    <n v="2.7833333333333332"/>
    <s v="Open"/>
    <s v="No Rating"/>
    <s v="Unresolved"/>
    <s v="Sep-2025"/>
    <x v="3"/>
  </r>
  <r>
    <s v="TCK-000250"/>
    <s v="2025-09-29T21:14:24Z"/>
    <n v="1600"/>
    <s v="Chat"/>
    <s v="Normal"/>
    <s v="Data import"/>
    <n v="82"/>
    <m/>
    <s v="pending"/>
    <m/>
    <d v="2025-09-29T00:00:00"/>
    <s v=""/>
    <n v="1.3666666666666667"/>
    <s v="Open"/>
    <s v="No Rating"/>
    <s v="Unresolved"/>
    <s v="Sep-2025"/>
    <x v="3"/>
  </r>
  <r>
    <s v="TCK-000251"/>
    <s v="2025-09-30T06:00:00Z"/>
    <n v="1087"/>
    <s v="Chat"/>
    <s v="Urgent"/>
    <s v="Integration"/>
    <n v="6"/>
    <n v="142"/>
    <s v="closed"/>
    <n v="2"/>
    <d v="2025-09-30T00:00:00"/>
    <n v="2.3666666666666667"/>
    <n v="0.1"/>
    <s v="Within SLA"/>
    <s v="Dissatisfied"/>
    <s v="Resolved"/>
    <s v="Sep-2025"/>
    <x v="3"/>
  </r>
  <r>
    <s v="TCK-000252"/>
    <s v="2025-09-30T14:45:36Z"/>
    <n v="1343"/>
    <s v="Social"/>
    <s v="Normal"/>
    <s v="Export"/>
    <n v="176"/>
    <m/>
    <s v="pending"/>
    <m/>
    <d v="2025-09-30T00:00:00"/>
    <s v=""/>
    <n v="2.9333333333333331"/>
    <s v="Open"/>
    <s v="No Rating"/>
    <s v="Unresolved"/>
    <s v="Sep-2025"/>
    <x v="3"/>
  </r>
  <r>
    <s v="TCK-000253"/>
    <s v="2025-09-30T23:31:12Z"/>
    <n v="1817"/>
    <s v="Email"/>
    <s v="High"/>
    <s v="Export"/>
    <n v="31"/>
    <n v="1013"/>
    <s v="resolved"/>
    <m/>
    <d v="2025-09-30T00:00:00"/>
    <n v="16.883333333333333"/>
    <n v="0.51666666666666672"/>
    <s v="Within SLA"/>
    <s v="No Rating"/>
    <s v="Resolved"/>
    <s v="Sep-2025"/>
    <x v="3"/>
  </r>
  <r>
    <s v="TCK-000254"/>
    <s v="2025-10-01T08:16:48Z"/>
    <n v="1113"/>
    <s v="Email"/>
    <s v="Normal"/>
    <s v="Performance"/>
    <n v="71"/>
    <n v="2715"/>
    <s v="closed"/>
    <n v="4"/>
    <d v="2025-10-01T00:00:00"/>
    <n v="45.25"/>
    <n v="1.1833333333333333"/>
    <s v="Within SLA"/>
    <s v="Satisfied"/>
    <s v="Resolved"/>
    <s v="Oct-2025"/>
    <x v="4"/>
  </r>
  <r>
    <s v="TCK-000255"/>
    <s v="2025-10-01T17:02:24Z"/>
    <n v="1781"/>
    <s v="Web form"/>
    <s v="Urgent"/>
    <s v="Login"/>
    <n v="12"/>
    <n v="384"/>
    <s v="closed"/>
    <m/>
    <d v="2025-10-01T00:00:00"/>
    <n v="6.4"/>
    <n v="0.2"/>
    <s v="Within SLA"/>
    <s v="No Rating"/>
    <s v="Resolved"/>
    <s v="Oct-2025"/>
    <x v="4"/>
  </r>
  <r>
    <s v="TCK-000256"/>
    <s v="2025-10-02T01:48:00Z"/>
    <n v="1043"/>
    <s v="Chat"/>
    <s v="Low"/>
    <s v="Data import"/>
    <n v="123"/>
    <n v="1500"/>
    <s v="closed"/>
    <m/>
    <d v="2025-10-02T00:00:00"/>
    <n v="25"/>
    <n v="2.0499999999999998"/>
    <s v="Within SLA"/>
    <s v="No Rating"/>
    <s v="Resolved"/>
    <s v="Oct-2025"/>
    <x v="4"/>
  </r>
  <r>
    <s v="TCK-000257"/>
    <s v="2025-10-02T10:33:36Z"/>
    <n v="1226"/>
    <s v="Chat"/>
    <s v="Urgent"/>
    <s v="Login"/>
    <n v="5"/>
    <n v="95"/>
    <s v="resolved"/>
    <n v="2"/>
    <d v="2025-10-02T00:00:00"/>
    <n v="1.5833333333333333"/>
    <n v="8.3333333333333329E-2"/>
    <s v="Within SLA"/>
    <s v="Dissatisfied"/>
    <s v="Resolved"/>
    <s v="Oct-2025"/>
    <x v="4"/>
  </r>
  <r>
    <s v="TCK-000258"/>
    <s v="2025-10-02T19:19:12Z"/>
    <n v="1581"/>
    <s v="Social"/>
    <s v="Urgent"/>
    <s v="Export"/>
    <n v="8"/>
    <m/>
    <s v="open"/>
    <m/>
    <d v="2025-10-02T00:00:00"/>
    <s v=""/>
    <n v="0.13333333333333333"/>
    <s v="Open"/>
    <s v="No Rating"/>
    <s v="Unresolved"/>
    <s v="Oct-2025"/>
    <x v="4"/>
  </r>
  <r>
    <s v="TCK-000259"/>
    <s v="2025-10-03T04:04:48Z"/>
    <n v="1729"/>
    <s v="Chat"/>
    <s v="High"/>
    <s v="Login"/>
    <n v="15"/>
    <n v="267"/>
    <s v="closed"/>
    <n v="2"/>
    <d v="2025-10-03T00:00:00"/>
    <n v="4.45"/>
    <n v="0.25"/>
    <s v="Within SLA"/>
    <s v="Dissatisfied"/>
    <s v="Resolved"/>
    <s v="Oct-2025"/>
    <x v="4"/>
  </r>
  <r>
    <s v="TCK-000260"/>
    <s v="2025-10-03T12:50:24Z"/>
    <n v="1829"/>
    <s v="Email"/>
    <s v="Urgent"/>
    <s v="Export"/>
    <n v="2"/>
    <n v="98"/>
    <s v="closed"/>
    <n v="1"/>
    <d v="2025-10-03T00:00:00"/>
    <n v="1.6333333333333333"/>
    <n v="3.3333333333333333E-2"/>
    <s v="Within SLA"/>
    <s v="Dissatisfied"/>
    <s v="Resolved"/>
    <s v="Oct-2025"/>
    <x v="4"/>
  </r>
  <r>
    <s v="TCK-000261"/>
    <s v="2025-10-03T21:36:00Z"/>
    <n v="1609"/>
    <s v="Chat"/>
    <s v="Normal"/>
    <s v="Account"/>
    <n v="120"/>
    <n v="2836"/>
    <s v="closed"/>
    <m/>
    <d v="2025-10-03T00:00:00"/>
    <n v="47.266666666666666"/>
    <n v="2"/>
    <s v="Within SLA"/>
    <s v="No Rating"/>
    <s v="Resolved"/>
    <s v="Oct-2025"/>
    <x v="4"/>
  </r>
  <r>
    <s v="TCK-000262"/>
    <s v="2025-10-04T06:21:36Z"/>
    <n v="1992"/>
    <s v="Web form"/>
    <s v="Urgent"/>
    <s v="Export"/>
    <n v="12"/>
    <n v="393"/>
    <s v="closed"/>
    <n v="4"/>
    <d v="2025-10-04T00:00:00"/>
    <n v="6.55"/>
    <n v="0.2"/>
    <s v="Within SLA"/>
    <s v="Satisfied"/>
    <s v="Resolved"/>
    <s v="Oct-2025"/>
    <x v="4"/>
  </r>
  <r>
    <s v="TCK-000263"/>
    <s v="2025-10-04T15:07:12Z"/>
    <n v="1163"/>
    <s v="Social"/>
    <s v="Normal"/>
    <s v="Data import"/>
    <n v="83"/>
    <n v="1033"/>
    <s v="closed"/>
    <n v="3"/>
    <d v="2025-10-04T00:00:00"/>
    <n v="17.216666666666665"/>
    <n v="1.3833333333333333"/>
    <s v="Within SLA"/>
    <s v="Neutral"/>
    <s v="Resolved"/>
    <s v="Oct-2025"/>
    <x v="4"/>
  </r>
  <r>
    <s v="TCK-000264"/>
    <s v="2025-10-04T23:52:48Z"/>
    <n v="1379"/>
    <s v="Social"/>
    <s v="Normal"/>
    <s v="Performance"/>
    <n v="117"/>
    <n v="1127"/>
    <s v="resolved"/>
    <n v="3"/>
    <d v="2025-10-04T00:00:00"/>
    <n v="18.783333333333335"/>
    <n v="1.95"/>
    <s v="Within SLA"/>
    <s v="Neutral"/>
    <s v="Resolved"/>
    <s v="Oct-2025"/>
    <x v="4"/>
  </r>
  <r>
    <s v="TCK-000265"/>
    <s v="2025-10-05T08:38:24Z"/>
    <n v="1703"/>
    <s v="Chat"/>
    <s v="Normal"/>
    <s v="Performance"/>
    <n v="90"/>
    <n v="1696"/>
    <s v="closed"/>
    <n v="1"/>
    <d v="2025-10-05T00:00:00"/>
    <n v="28.266666666666666"/>
    <n v="1.5"/>
    <s v="Within SLA"/>
    <s v="Dissatisfied"/>
    <s v="Resolved"/>
    <s v="Oct-2025"/>
    <x v="4"/>
  </r>
  <r>
    <s v="TCK-000266"/>
    <s v="2025-10-05T17:24:00Z"/>
    <n v="1254"/>
    <s v="Social"/>
    <s v="High"/>
    <s v="Billing"/>
    <n v="9"/>
    <n v="809"/>
    <s v="closed"/>
    <n v="1"/>
    <d v="2025-10-05T00:00:00"/>
    <n v="13.483333333333333"/>
    <n v="0.15"/>
    <s v="Within SLA"/>
    <s v="Dissatisfied"/>
    <s v="Resolved"/>
    <s v="Oct-2025"/>
    <x v="4"/>
  </r>
  <r>
    <s v="TCK-000267"/>
    <s v="2025-10-06T02:09:36Z"/>
    <n v="1414"/>
    <s v="Phone"/>
    <s v="Urgent"/>
    <s v="Bug report"/>
    <n v="5"/>
    <n v="126"/>
    <s v="closed"/>
    <n v="3"/>
    <d v="2025-10-06T00:00:00"/>
    <n v="2.1"/>
    <n v="8.3333333333333329E-2"/>
    <s v="Within SLA"/>
    <s v="Neutral"/>
    <s v="Resolved"/>
    <s v="Oct-2025"/>
    <x v="4"/>
  </r>
  <r>
    <s v="TCK-000268"/>
    <s v="2025-10-06T10:55:12Z"/>
    <n v="1645"/>
    <s v="Social"/>
    <s v="Low"/>
    <s v="Account"/>
    <n v="389"/>
    <n v="3164"/>
    <s v="resolved"/>
    <n v="1"/>
    <d v="2025-10-06T00:00:00"/>
    <n v="52.733333333333334"/>
    <n v="6.4833333333333334"/>
    <s v="Within SLA"/>
    <s v="Dissatisfied"/>
    <s v="Resolved"/>
    <s v="Oct-2025"/>
    <x v="4"/>
  </r>
  <r>
    <s v="TCK-000269"/>
    <s v="2025-10-06T19:40:48Z"/>
    <n v="1656"/>
    <s v="Chat"/>
    <s v="Urgent"/>
    <s v="Feature request"/>
    <n v="9"/>
    <n v="318"/>
    <s v="closed"/>
    <m/>
    <d v="2025-10-06T00:00:00"/>
    <n v="5.3"/>
    <n v="0.15"/>
    <s v="Within SLA"/>
    <s v="No Rating"/>
    <s v="Resolved"/>
    <s v="Oct-2025"/>
    <x v="4"/>
  </r>
  <r>
    <s v="TCK-000270"/>
    <s v="2025-10-07T04:26:24Z"/>
    <n v="1727"/>
    <s v="Chat"/>
    <s v="Low"/>
    <s v="Bug report"/>
    <n v="256"/>
    <n v="5523"/>
    <s v="resolved"/>
    <n v="3"/>
    <d v="2025-10-07T00:00:00"/>
    <n v="92.05"/>
    <n v="4.2666666666666666"/>
    <s v="Breached"/>
    <s v="Neutral"/>
    <s v="Resolved"/>
    <s v="Oct-2025"/>
    <x v="4"/>
  </r>
  <r>
    <s v="TCK-000271"/>
    <s v="2025-10-07T13:12:00Z"/>
    <n v="1312"/>
    <s v="Email"/>
    <s v="High"/>
    <s v="Bug report"/>
    <n v="25"/>
    <m/>
    <s v="open"/>
    <m/>
    <d v="2025-10-07T00:00:00"/>
    <s v=""/>
    <n v="0.41666666666666669"/>
    <s v="Open"/>
    <s v="No Rating"/>
    <s v="Unresolved"/>
    <s v="Oct-2025"/>
    <x v="4"/>
  </r>
  <r>
    <s v="TCK-000272"/>
    <s v="2025-10-07T21:57:36Z"/>
    <n v="1006"/>
    <s v="Chat"/>
    <s v="Low"/>
    <s v="Bug report"/>
    <n v="400"/>
    <n v="7427"/>
    <s v="resolved"/>
    <n v="4"/>
    <d v="2025-10-07T00:00:00"/>
    <n v="123.78333333333333"/>
    <n v="6.666666666666667"/>
    <s v="Breached"/>
    <s v="Satisfied"/>
    <s v="Resolved"/>
    <s v="Oct-2025"/>
    <x v="4"/>
  </r>
  <r>
    <s v="TCK-000273"/>
    <s v="2025-10-08T06:43:12Z"/>
    <n v="1092"/>
    <s v="Phone"/>
    <s v="Low"/>
    <s v="Login"/>
    <n v="257"/>
    <n v="6666"/>
    <s v="resolved"/>
    <n v="3"/>
    <d v="2025-10-08T00:00:00"/>
    <n v="111.1"/>
    <n v="4.2833333333333332"/>
    <s v="Breached"/>
    <s v="Neutral"/>
    <s v="Resolved"/>
    <s v="Oct-2025"/>
    <x v="4"/>
  </r>
  <r>
    <s v="TCK-000274"/>
    <s v="2025-10-08T15:28:48Z"/>
    <n v="1005"/>
    <s v="Phone"/>
    <s v="Normal"/>
    <s v="Integration"/>
    <n v="142"/>
    <n v="2275"/>
    <s v="closed"/>
    <m/>
    <d v="2025-10-08T00:00:00"/>
    <n v="37.916666666666664"/>
    <n v="2.3666666666666667"/>
    <s v="Within SLA"/>
    <s v="No Rating"/>
    <s v="Resolved"/>
    <s v="Oct-2025"/>
    <x v="4"/>
  </r>
  <r>
    <s v="TCK-000275"/>
    <s v="2025-10-09T00:14:24Z"/>
    <n v="1492"/>
    <s v="Email"/>
    <s v="Normal"/>
    <s v="Integration"/>
    <n v="104"/>
    <n v="3255"/>
    <s v="closed"/>
    <n v="2"/>
    <d v="2025-10-09T00:00:00"/>
    <n v="54.25"/>
    <n v="1.7333333333333334"/>
    <s v="Breached"/>
    <s v="Dissatisfied"/>
    <s v="Resolved"/>
    <s v="Oct-2025"/>
    <x v="4"/>
  </r>
  <r>
    <s v="TCK-000276"/>
    <s v="2025-10-09T09:00:00Z"/>
    <n v="1278"/>
    <s v="Email"/>
    <s v="Urgent"/>
    <s v="Bug report"/>
    <n v="10"/>
    <n v="338"/>
    <s v="resolved"/>
    <n v="3"/>
    <d v="2025-10-09T00:00:00"/>
    <n v="5.6333333333333337"/>
    <n v="0.16666666666666666"/>
    <s v="Within SLA"/>
    <s v="Neutral"/>
    <s v="Resolved"/>
    <s v="Oct-2025"/>
    <x v="4"/>
  </r>
  <r>
    <s v="TCK-000277"/>
    <s v="2025-10-09T17:45:36Z"/>
    <n v="1069"/>
    <s v="Chat"/>
    <s v="Normal"/>
    <s v="Export"/>
    <n v="40"/>
    <n v="2227"/>
    <s v="resolved"/>
    <m/>
    <d v="2025-10-09T00:00:00"/>
    <n v="37.116666666666667"/>
    <n v="0.66666666666666663"/>
    <s v="Within SLA"/>
    <s v="No Rating"/>
    <s v="Resolved"/>
    <s v="Oct-2025"/>
    <x v="4"/>
  </r>
  <r>
    <s v="TCK-000278"/>
    <s v="2025-10-10T02:31:12Z"/>
    <n v="1216"/>
    <s v="Social"/>
    <s v="Urgent"/>
    <s v="Login"/>
    <n v="7"/>
    <n v="342"/>
    <s v="closed"/>
    <n v="2"/>
    <d v="2025-10-10T00:00:00"/>
    <n v="5.7"/>
    <n v="0.11666666666666667"/>
    <s v="Within SLA"/>
    <s v="Dissatisfied"/>
    <s v="Resolved"/>
    <s v="Oct-2025"/>
    <x v="4"/>
  </r>
  <r>
    <s v="TCK-000279"/>
    <s v="2025-10-10T11:16:48Z"/>
    <n v="1416"/>
    <s v="Email"/>
    <s v="Urgent"/>
    <s v="Billing"/>
    <n v="3"/>
    <n v="350"/>
    <s v="resolved"/>
    <m/>
    <d v="2025-10-10T00:00:00"/>
    <n v="5.833333333333333"/>
    <n v="0.05"/>
    <s v="Within SLA"/>
    <s v="No Rating"/>
    <s v="Resolved"/>
    <s v="Oct-2025"/>
    <x v="4"/>
  </r>
  <r>
    <s v="TCK-000280"/>
    <s v="2025-10-10T20:02:24Z"/>
    <n v="1602"/>
    <s v="Email"/>
    <s v="Normal"/>
    <s v="Performance"/>
    <n v="62"/>
    <n v="3627"/>
    <s v="resolved"/>
    <n v="5"/>
    <d v="2025-10-10T00:00:00"/>
    <n v="60.45"/>
    <n v="1.0333333333333334"/>
    <s v="Breached"/>
    <s v="Satisfied"/>
    <s v="Resolved"/>
    <s v="Oct-2025"/>
    <x v="4"/>
  </r>
  <r>
    <s v="TCK-000281"/>
    <s v="2025-10-11T04:48:00Z"/>
    <n v="1836"/>
    <s v="Social"/>
    <s v="Normal"/>
    <s v="Bug report"/>
    <n v="130"/>
    <n v="3088"/>
    <s v="closed"/>
    <n v="5"/>
    <d v="2025-10-11T00:00:00"/>
    <n v="51.466666666666669"/>
    <n v="2.1666666666666665"/>
    <s v="Breached"/>
    <s v="Satisfied"/>
    <s v="Resolved"/>
    <s v="Oct-2025"/>
    <x v="4"/>
  </r>
  <r>
    <s v="TCK-000282"/>
    <s v="2025-10-11T13:33:36Z"/>
    <n v="1126"/>
    <s v="Web form"/>
    <s v="Urgent"/>
    <s v="Billing"/>
    <n v="2"/>
    <m/>
    <s v="open"/>
    <m/>
    <d v="2025-10-11T00:00:00"/>
    <s v=""/>
    <n v="3.3333333333333333E-2"/>
    <s v="Open"/>
    <s v="No Rating"/>
    <s v="Unresolved"/>
    <s v="Oct-2025"/>
    <x v="4"/>
  </r>
  <r>
    <s v="TCK-000283"/>
    <s v="2025-10-11T22:19:12Z"/>
    <n v="1184"/>
    <s v="Email"/>
    <s v="High"/>
    <s v="Export"/>
    <n v="34"/>
    <n v="658"/>
    <s v="closed"/>
    <m/>
    <d v="2025-10-11T00:00:00"/>
    <n v="10.966666666666667"/>
    <n v="0.56666666666666665"/>
    <s v="Within SLA"/>
    <s v="No Rating"/>
    <s v="Resolved"/>
    <s v="Oct-2025"/>
    <x v="4"/>
  </r>
  <r>
    <s v="TCK-000284"/>
    <s v="2025-10-12T07:04:48Z"/>
    <n v="1100"/>
    <s v="Chat"/>
    <s v="Normal"/>
    <s v="Bug report"/>
    <n v="36"/>
    <n v="2924"/>
    <s v="resolved"/>
    <n v="5"/>
    <d v="2025-10-12T00:00:00"/>
    <n v="48.733333333333334"/>
    <n v="0.6"/>
    <s v="Breached"/>
    <s v="Satisfied"/>
    <s v="Resolved"/>
    <s v="Oct-2025"/>
    <x v="4"/>
  </r>
  <r>
    <s v="TCK-000285"/>
    <s v="2025-10-12T15:50:24Z"/>
    <n v="1371"/>
    <s v="Chat"/>
    <s v="Normal"/>
    <s v="Performance"/>
    <n v="87"/>
    <n v="685"/>
    <s v="closed"/>
    <m/>
    <d v="2025-10-12T00:00:00"/>
    <n v="11.416666666666666"/>
    <n v="1.45"/>
    <s v="Within SLA"/>
    <s v="No Rating"/>
    <s v="Resolved"/>
    <s v="Oct-2025"/>
    <x v="4"/>
  </r>
  <r>
    <s v="TCK-000286"/>
    <s v="2025-10-13T00:36:00Z"/>
    <n v="1199"/>
    <s v="Chat"/>
    <s v="Normal"/>
    <s v="Integration"/>
    <n v="156"/>
    <n v="1880"/>
    <s v="closed"/>
    <n v="2"/>
    <d v="2025-10-13T00:00:00"/>
    <n v="31.333333333333332"/>
    <n v="2.6"/>
    <s v="Within SLA"/>
    <s v="Dissatisfied"/>
    <s v="Resolved"/>
    <s v="Oct-2025"/>
    <x v="4"/>
  </r>
  <r>
    <s v="TCK-000287"/>
    <s v="2025-10-13T09:21:36Z"/>
    <n v="1110"/>
    <s v="Social"/>
    <s v="Urgent"/>
    <s v="Feature request"/>
    <n v="9"/>
    <n v="369"/>
    <s v="closed"/>
    <n v="1"/>
    <d v="2025-10-13T00:00:00"/>
    <n v="6.15"/>
    <n v="0.15"/>
    <s v="Within SLA"/>
    <s v="Dissatisfied"/>
    <s v="Resolved"/>
    <s v="Oct-2025"/>
    <x v="4"/>
  </r>
  <r>
    <s v="TCK-000288"/>
    <s v="2025-10-13T18:07:12Z"/>
    <n v="1543"/>
    <s v="Phone"/>
    <s v="Urgent"/>
    <s v="Performance"/>
    <n v="7"/>
    <n v="419"/>
    <s v="closed"/>
    <m/>
    <d v="2025-10-13T00:00:00"/>
    <n v="6.9833333333333334"/>
    <n v="0.11666666666666667"/>
    <s v="Within SLA"/>
    <s v="No Rating"/>
    <s v="Resolved"/>
    <s v="Oct-2025"/>
    <x v="4"/>
  </r>
  <r>
    <s v="TCK-000289"/>
    <s v="2025-10-14T02:52:48Z"/>
    <n v="1478"/>
    <s v="Web form"/>
    <s v="High"/>
    <s v="Bug report"/>
    <n v="25"/>
    <n v="976"/>
    <s v="closed"/>
    <n v="4"/>
    <d v="2025-10-14T00:00:00"/>
    <n v="16.266666666666666"/>
    <n v="0.41666666666666669"/>
    <s v="Within SLA"/>
    <s v="Satisfied"/>
    <s v="Resolved"/>
    <s v="Oct-2025"/>
    <x v="4"/>
  </r>
  <r>
    <s v="TCK-000290"/>
    <s v="2025-10-14T11:38:24Z"/>
    <n v="1264"/>
    <s v="Social"/>
    <s v="Normal"/>
    <s v="Integration"/>
    <n v="175"/>
    <n v="1266"/>
    <s v="closed"/>
    <n v="4"/>
    <d v="2025-10-14T00:00:00"/>
    <n v="21.1"/>
    <n v="2.9166666666666665"/>
    <s v="Within SLA"/>
    <s v="Satisfied"/>
    <s v="Resolved"/>
    <s v="Oct-2025"/>
    <x v="4"/>
  </r>
  <r>
    <s v="TCK-000291"/>
    <s v="2025-10-14T20:24:00Z"/>
    <n v="1742"/>
    <s v="Email"/>
    <s v="Normal"/>
    <s v="Data import"/>
    <n v="28"/>
    <m/>
    <s v="open"/>
    <m/>
    <d v="2025-10-14T00:00:00"/>
    <s v=""/>
    <n v="0.46666666666666667"/>
    <s v="Open"/>
    <s v="No Rating"/>
    <s v="Unresolved"/>
    <s v="Oct-2025"/>
    <x v="4"/>
  </r>
  <r>
    <s v="TCK-000292"/>
    <s v="2025-10-15T05:09:36Z"/>
    <n v="1431"/>
    <s v="Phone"/>
    <s v="Normal"/>
    <s v="Billing"/>
    <n v="88"/>
    <n v="1264"/>
    <s v="closed"/>
    <n v="2"/>
    <d v="2025-10-15T00:00:00"/>
    <n v="21.066666666666666"/>
    <n v="1.4666666666666666"/>
    <s v="Within SLA"/>
    <s v="Dissatisfied"/>
    <s v="Resolved"/>
    <s v="Oct-2025"/>
    <x v="4"/>
  </r>
  <r>
    <s v="TCK-000293"/>
    <s v="2025-10-15T13:55:12Z"/>
    <n v="1989"/>
    <s v="Social"/>
    <s v="Normal"/>
    <s v="Performance"/>
    <n v="165"/>
    <n v="3428"/>
    <s v="resolved"/>
    <n v="4"/>
    <d v="2025-10-15T00:00:00"/>
    <n v="57.133333333333333"/>
    <n v="2.75"/>
    <s v="Breached"/>
    <s v="Satisfied"/>
    <s v="Resolved"/>
    <s v="Oct-2025"/>
    <x v="4"/>
  </r>
  <r>
    <s v="TCK-000294"/>
    <s v="2025-10-15T22:40:48Z"/>
    <n v="1160"/>
    <s v="Phone"/>
    <s v="High"/>
    <s v="Data import"/>
    <n v="28"/>
    <n v="769"/>
    <s v="resolved"/>
    <m/>
    <d v="2025-10-15T00:00:00"/>
    <n v="12.816666666666666"/>
    <n v="0.46666666666666667"/>
    <s v="Within SLA"/>
    <s v="No Rating"/>
    <s v="Resolved"/>
    <s v="Oct-2025"/>
    <x v="4"/>
  </r>
  <r>
    <s v="TCK-000295"/>
    <s v="2025-10-16T07:26:24Z"/>
    <n v="1970"/>
    <s v="Social"/>
    <s v="Normal"/>
    <s v="Data import"/>
    <n v="151"/>
    <m/>
    <s v="open"/>
    <m/>
    <d v="2025-10-16T00:00:00"/>
    <s v=""/>
    <n v="2.5166666666666666"/>
    <s v="Open"/>
    <s v="No Rating"/>
    <s v="Unresolved"/>
    <s v="Oct-2025"/>
    <x v="4"/>
  </r>
  <r>
    <s v="TCK-000296"/>
    <s v="2025-10-16T16:12:00Z"/>
    <n v="1421"/>
    <s v="Phone"/>
    <s v="Low"/>
    <s v="Feature request"/>
    <n v="102"/>
    <n v="6020"/>
    <s v="closed"/>
    <n v="3"/>
    <d v="2025-10-16T00:00:00"/>
    <n v="100.33333333333333"/>
    <n v="1.7"/>
    <s v="Breached"/>
    <s v="Neutral"/>
    <s v="Resolved"/>
    <s v="Oct-2025"/>
    <x v="4"/>
  </r>
  <r>
    <s v="TCK-000297"/>
    <s v="2025-10-17T00:57:36Z"/>
    <n v="1816"/>
    <s v="Phone"/>
    <s v="High"/>
    <s v="Bug report"/>
    <n v="35"/>
    <n v="392"/>
    <s v="closed"/>
    <n v="4"/>
    <d v="2025-10-17T00:00:00"/>
    <n v="6.5333333333333332"/>
    <n v="0.58333333333333337"/>
    <s v="Within SLA"/>
    <s v="Satisfied"/>
    <s v="Resolved"/>
    <s v="Oct-2025"/>
    <x v="4"/>
  </r>
  <r>
    <s v="TCK-000298"/>
    <s v="2025-10-17T09:43:12Z"/>
    <n v="1036"/>
    <s v="Phone"/>
    <s v="Normal"/>
    <s v="Login"/>
    <n v="151"/>
    <n v="2104"/>
    <s v="closed"/>
    <n v="4"/>
    <d v="2025-10-17T00:00:00"/>
    <n v="35.06666666666667"/>
    <n v="2.5166666666666666"/>
    <s v="Within SLA"/>
    <s v="Satisfied"/>
    <s v="Resolved"/>
    <s v="Oct-2025"/>
    <x v="4"/>
  </r>
  <r>
    <s v="TCK-000299"/>
    <s v="2025-10-17T18:28:48Z"/>
    <n v="1182"/>
    <s v="Web form"/>
    <s v="Normal"/>
    <s v="Account"/>
    <n v="80"/>
    <n v="3117"/>
    <s v="closed"/>
    <n v="5"/>
    <d v="2025-10-17T00:00:00"/>
    <n v="51.95"/>
    <n v="1.3333333333333333"/>
    <s v="Breached"/>
    <s v="Satisfied"/>
    <s v="Resolved"/>
    <s v="Oct-2025"/>
    <x v="4"/>
  </r>
  <r>
    <s v="TCK-000300"/>
    <s v="2025-10-18T03:14:24Z"/>
    <n v="1587"/>
    <s v="Chat"/>
    <s v="Normal"/>
    <s v="Export"/>
    <n v="133"/>
    <n v="743"/>
    <s v="resolved"/>
    <n v="2"/>
    <d v="2025-10-18T00:00:00"/>
    <n v="12.383333333333333"/>
    <n v="2.2166666666666668"/>
    <s v="Within SLA"/>
    <s v="Dissatisfied"/>
    <s v="Resolved"/>
    <s v="Oct-2025"/>
    <x v="4"/>
  </r>
  <r>
    <s v="TCK-000301"/>
    <s v="2025-10-18T12:00:00Z"/>
    <n v="1887"/>
    <s v="Email"/>
    <s v="Normal"/>
    <s v="Integration"/>
    <n v="140"/>
    <n v="2112"/>
    <s v="closed"/>
    <m/>
    <d v="2025-10-18T00:00:00"/>
    <n v="35.200000000000003"/>
    <n v="2.3333333333333335"/>
    <s v="Within SLA"/>
    <s v="No Rating"/>
    <s v="Resolved"/>
    <s v="Oct-2025"/>
    <x v="4"/>
  </r>
  <r>
    <s v="TCK-000302"/>
    <s v="2025-10-18T20:45:36Z"/>
    <n v="1280"/>
    <s v="Phone"/>
    <s v="Normal"/>
    <s v="Login"/>
    <n v="141"/>
    <m/>
    <s v="open"/>
    <m/>
    <d v="2025-10-18T00:00:00"/>
    <s v=""/>
    <n v="2.35"/>
    <s v="Open"/>
    <s v="No Rating"/>
    <s v="Unresolved"/>
    <s v="Oct-2025"/>
    <x v="4"/>
  </r>
  <r>
    <s v="TCK-000303"/>
    <s v="2025-10-19T05:31:12Z"/>
    <n v="1733"/>
    <s v="Email"/>
    <s v="High"/>
    <s v="Performance"/>
    <n v="42"/>
    <n v="764"/>
    <s v="resolved"/>
    <n v="2"/>
    <d v="2025-10-19T00:00:00"/>
    <n v="12.733333333333333"/>
    <n v="0.7"/>
    <s v="Within SLA"/>
    <s v="Dissatisfied"/>
    <s v="Resolved"/>
    <s v="Oct-2025"/>
    <x v="4"/>
  </r>
  <r>
    <s v="TCK-000304"/>
    <s v="2025-10-19T14:16:48Z"/>
    <n v="1269"/>
    <s v="Chat"/>
    <s v="Normal"/>
    <s v="Data import"/>
    <n v="135"/>
    <n v="2759"/>
    <s v="resolved"/>
    <n v="5"/>
    <d v="2025-10-19T00:00:00"/>
    <n v="45.983333333333334"/>
    <n v="2.25"/>
    <s v="Within SLA"/>
    <s v="Satisfied"/>
    <s v="Resolved"/>
    <s v="Oct-2025"/>
    <x v="4"/>
  </r>
  <r>
    <s v="TCK-000305"/>
    <s v="2025-10-19T23:02:24Z"/>
    <n v="1059"/>
    <s v="Web form"/>
    <s v="Urgent"/>
    <s v="Feature request"/>
    <n v="10"/>
    <n v="346"/>
    <s v="closed"/>
    <m/>
    <d v="2025-10-19T00:00:00"/>
    <n v="5.7666666666666666"/>
    <n v="0.16666666666666666"/>
    <s v="Within SLA"/>
    <s v="No Rating"/>
    <s v="Resolved"/>
    <s v="Oct-2025"/>
    <x v="4"/>
  </r>
  <r>
    <s v="TCK-000306"/>
    <s v="2025-10-20T07:48:00Z"/>
    <n v="1510"/>
    <s v="Chat"/>
    <s v="Normal"/>
    <s v="Feature request"/>
    <n v="63"/>
    <n v="2006"/>
    <s v="closed"/>
    <m/>
    <d v="2025-10-20T00:00:00"/>
    <n v="33.43333333333333"/>
    <n v="1.05"/>
    <s v="Within SLA"/>
    <s v="No Rating"/>
    <s v="Resolved"/>
    <s v="Oct-2025"/>
    <x v="4"/>
  </r>
  <r>
    <s v="TCK-000307"/>
    <s v="2025-10-20T16:33:36Z"/>
    <n v="1556"/>
    <s v="Social"/>
    <s v="Low"/>
    <s v="Performance"/>
    <n v="355"/>
    <m/>
    <s v="open"/>
    <m/>
    <d v="2025-10-20T00:00:00"/>
    <s v=""/>
    <n v="5.916666666666667"/>
    <s v="Open"/>
    <s v="No Rating"/>
    <s v="Unresolved"/>
    <s v="Oct-2025"/>
    <x v="4"/>
  </r>
  <r>
    <s v="TCK-000308"/>
    <s v="2025-10-21T01:19:12Z"/>
    <n v="1744"/>
    <s v="Phone"/>
    <s v="Normal"/>
    <s v="Feature request"/>
    <n v="117"/>
    <m/>
    <s v="pending"/>
    <m/>
    <d v="2025-10-21T00:00:00"/>
    <s v=""/>
    <n v="1.95"/>
    <s v="Open"/>
    <s v="No Rating"/>
    <s v="Unresolved"/>
    <s v="Oct-2025"/>
    <x v="4"/>
  </r>
  <r>
    <s v="TCK-000309"/>
    <s v="2025-10-21T10:04:48Z"/>
    <n v="1578"/>
    <s v="Web form"/>
    <s v="Normal"/>
    <s v="Performance"/>
    <n v="86"/>
    <n v="3085"/>
    <s v="closed"/>
    <n v="1"/>
    <d v="2025-10-21T00:00:00"/>
    <n v="51.416666666666664"/>
    <n v="1.4333333333333333"/>
    <s v="Breached"/>
    <s v="Dissatisfied"/>
    <s v="Resolved"/>
    <s v="Oct-2025"/>
    <x v="4"/>
  </r>
  <r>
    <s v="TCK-000310"/>
    <s v="2025-10-21T18:50:24Z"/>
    <n v="1995"/>
    <s v="Email"/>
    <s v="Normal"/>
    <s v="Performance"/>
    <n v="173"/>
    <n v="1609"/>
    <s v="closed"/>
    <n v="2"/>
    <d v="2025-10-21T00:00:00"/>
    <n v="26.816666666666666"/>
    <n v="2.8833333333333333"/>
    <s v="Within SLA"/>
    <s v="Dissatisfied"/>
    <s v="Resolved"/>
    <s v="Oct-2025"/>
    <x v="4"/>
  </r>
  <r>
    <s v="TCK-000311"/>
    <s v="2025-10-22T03:36:00Z"/>
    <n v="1121"/>
    <s v="Chat"/>
    <s v="Normal"/>
    <s v="Performance"/>
    <n v="33"/>
    <n v="1448"/>
    <s v="resolved"/>
    <n v="3"/>
    <d v="2025-10-22T00:00:00"/>
    <n v="24.133333333333333"/>
    <n v="0.55000000000000004"/>
    <s v="Within SLA"/>
    <s v="Neutral"/>
    <s v="Resolved"/>
    <s v="Oct-2025"/>
    <x v="4"/>
  </r>
  <r>
    <s v="TCK-000312"/>
    <s v="2025-10-22T12:21:36Z"/>
    <n v="1507"/>
    <s v="Chat"/>
    <s v="Normal"/>
    <s v="Bug report"/>
    <n v="122"/>
    <m/>
    <s v="open"/>
    <m/>
    <d v="2025-10-22T00:00:00"/>
    <s v=""/>
    <n v="2.0333333333333332"/>
    <s v="Open"/>
    <s v="No Rating"/>
    <s v="Unresolved"/>
    <s v="Oct-2025"/>
    <x v="4"/>
  </r>
  <r>
    <s v="TCK-000313"/>
    <s v="2025-10-22T21:07:12Z"/>
    <n v="1404"/>
    <s v="Phone"/>
    <s v="Low"/>
    <s v="Billing"/>
    <n v="311"/>
    <n v="4267"/>
    <s v="closed"/>
    <n v="4"/>
    <d v="2025-10-22T00:00:00"/>
    <n v="71.11666666666666"/>
    <n v="5.1833333333333336"/>
    <s v="Within SLA"/>
    <s v="Satisfied"/>
    <s v="Resolved"/>
    <s v="Oct-2025"/>
    <x v="4"/>
  </r>
  <r>
    <s v="TCK-000314"/>
    <s v="2025-10-23T05:52:48Z"/>
    <n v="1598"/>
    <s v="Chat"/>
    <s v="Urgent"/>
    <s v="Login"/>
    <n v="5"/>
    <m/>
    <s v="open"/>
    <m/>
    <d v="2025-10-23T00:00:00"/>
    <s v=""/>
    <n v="8.3333333333333329E-2"/>
    <s v="Open"/>
    <s v="No Rating"/>
    <s v="Unresolved"/>
    <s v="Oct-2025"/>
    <x v="4"/>
  </r>
  <r>
    <s v="TCK-000315"/>
    <s v="2025-10-23T14:38:24Z"/>
    <n v="1794"/>
    <s v="Social"/>
    <s v="Normal"/>
    <s v="Performance"/>
    <n v="102"/>
    <m/>
    <s v="open"/>
    <m/>
    <d v="2025-10-23T00:00:00"/>
    <s v=""/>
    <n v="1.7"/>
    <s v="Open"/>
    <s v="No Rating"/>
    <s v="Unresolved"/>
    <s v="Oct-2025"/>
    <x v="4"/>
  </r>
  <r>
    <s v="TCK-000316"/>
    <s v="2025-10-23T23:24:00Z"/>
    <n v="1297"/>
    <s v="Social"/>
    <s v="Urgent"/>
    <s v="Data import"/>
    <n v="8"/>
    <n v="375"/>
    <s v="closed"/>
    <m/>
    <d v="2025-10-23T00:00:00"/>
    <n v="6.25"/>
    <n v="0.13333333333333333"/>
    <s v="Within SLA"/>
    <s v="No Rating"/>
    <s v="Resolved"/>
    <s v="Oct-2025"/>
    <x v="4"/>
  </r>
  <r>
    <s v="TCK-000317"/>
    <s v="2025-10-24T08:09:36Z"/>
    <n v="1631"/>
    <s v="Phone"/>
    <s v="High"/>
    <s v="Bug report"/>
    <n v="8"/>
    <n v="782"/>
    <s v="closed"/>
    <n v="4"/>
    <d v="2025-10-24T00:00:00"/>
    <n v="13.033333333333333"/>
    <n v="0.13333333333333333"/>
    <s v="Within SLA"/>
    <s v="Satisfied"/>
    <s v="Resolved"/>
    <s v="Oct-2025"/>
    <x v="4"/>
  </r>
  <r>
    <s v="TCK-000318"/>
    <s v="2025-10-24T16:55:12Z"/>
    <n v="1255"/>
    <s v="Web form"/>
    <s v="High"/>
    <s v="Login"/>
    <n v="31"/>
    <n v="456"/>
    <s v="closed"/>
    <m/>
    <d v="2025-10-24T00:00:00"/>
    <n v="7.6"/>
    <n v="0.51666666666666672"/>
    <s v="Within SLA"/>
    <s v="No Rating"/>
    <s v="Resolved"/>
    <s v="Oct-2025"/>
    <x v="4"/>
  </r>
  <r>
    <s v="TCK-000319"/>
    <s v="2025-10-25T01:40:48Z"/>
    <n v="1831"/>
    <s v="Web form"/>
    <s v="Low"/>
    <s v="Integration"/>
    <n v="224"/>
    <m/>
    <s v="pending"/>
    <m/>
    <d v="2025-10-25T00:00:00"/>
    <s v=""/>
    <n v="3.7333333333333334"/>
    <s v="Open"/>
    <s v="No Rating"/>
    <s v="Unresolved"/>
    <s v="Oct-2025"/>
    <x v="4"/>
  </r>
  <r>
    <s v="TCK-000320"/>
    <s v="2025-10-25T10:26:24Z"/>
    <n v="1045"/>
    <s v="Web form"/>
    <s v="Normal"/>
    <s v="Performance"/>
    <n v="111"/>
    <n v="1803"/>
    <s v="closed"/>
    <n v="3"/>
    <d v="2025-10-25T00:00:00"/>
    <n v="30.05"/>
    <n v="1.85"/>
    <s v="Within SLA"/>
    <s v="Neutral"/>
    <s v="Resolved"/>
    <s v="Oct-2025"/>
    <x v="4"/>
  </r>
  <r>
    <s v="TCK-000321"/>
    <s v="2025-10-25T19:12:00Z"/>
    <n v="1751"/>
    <s v="Web form"/>
    <s v="Normal"/>
    <s v="Feature request"/>
    <n v="164"/>
    <n v="1925"/>
    <s v="closed"/>
    <n v="3"/>
    <d v="2025-10-25T00:00:00"/>
    <n v="32.083333333333336"/>
    <n v="2.7333333333333334"/>
    <s v="Within SLA"/>
    <s v="Neutral"/>
    <s v="Resolved"/>
    <s v="Oct-2025"/>
    <x v="4"/>
  </r>
  <r>
    <s v="TCK-000322"/>
    <s v="2025-10-26T03:57:36Z"/>
    <n v="1208"/>
    <s v="Web form"/>
    <s v="High"/>
    <s v="Billing"/>
    <n v="17"/>
    <n v="1150"/>
    <s v="closed"/>
    <n v="1"/>
    <d v="2025-10-26T00:00:00"/>
    <n v="19.166666666666668"/>
    <n v="0.28333333333333333"/>
    <s v="Within SLA"/>
    <s v="Dissatisfied"/>
    <s v="Resolved"/>
    <s v="Oct-2025"/>
    <x v="4"/>
  </r>
  <r>
    <s v="TCK-000323"/>
    <s v="2025-10-26T12:43:12Z"/>
    <n v="1400"/>
    <s v="Social"/>
    <s v="Normal"/>
    <s v="Billing"/>
    <n v="56"/>
    <n v="2591"/>
    <s v="resolved"/>
    <n v="5"/>
    <d v="2025-10-26T00:00:00"/>
    <n v="43.18333333333333"/>
    <n v="0.93333333333333335"/>
    <s v="Within SLA"/>
    <s v="Satisfied"/>
    <s v="Resolved"/>
    <s v="Oct-2025"/>
    <x v="4"/>
  </r>
  <r>
    <s v="TCK-000324"/>
    <s v="2025-10-26T21:28:48Z"/>
    <n v="1850"/>
    <s v="Chat"/>
    <s v="Normal"/>
    <s v="Performance"/>
    <n v="75"/>
    <n v="1607"/>
    <s v="closed"/>
    <n v="1"/>
    <d v="2025-10-26T00:00:00"/>
    <n v="26.783333333333335"/>
    <n v="1.25"/>
    <s v="Within SLA"/>
    <s v="Dissatisfied"/>
    <s v="Resolved"/>
    <s v="Oct-2025"/>
    <x v="4"/>
  </r>
  <r>
    <s v="TCK-000325"/>
    <s v="2025-10-27T06:14:24Z"/>
    <n v="1664"/>
    <s v="Chat"/>
    <s v="Normal"/>
    <s v="Billing"/>
    <n v="35"/>
    <n v="3401"/>
    <s v="closed"/>
    <n v="5"/>
    <d v="2025-10-27T00:00:00"/>
    <n v="56.68333333333333"/>
    <n v="0.58333333333333337"/>
    <s v="Breached"/>
    <s v="Satisfied"/>
    <s v="Resolved"/>
    <s v="Oct-2025"/>
    <x v="4"/>
  </r>
  <r>
    <s v="TCK-000326"/>
    <s v="2025-10-27T15:00:00Z"/>
    <n v="1730"/>
    <s v="Web form"/>
    <s v="Low"/>
    <s v="Data import"/>
    <n v="212"/>
    <m/>
    <s v="open"/>
    <m/>
    <d v="2025-10-27T00:00:00"/>
    <s v=""/>
    <n v="3.5333333333333332"/>
    <s v="Open"/>
    <s v="No Rating"/>
    <s v="Unresolved"/>
    <s v="Oct-2025"/>
    <x v="4"/>
  </r>
  <r>
    <s v="TCK-000327"/>
    <s v="2025-10-27T23:45:36Z"/>
    <n v="1431"/>
    <s v="Email"/>
    <s v="Urgent"/>
    <s v="Account"/>
    <n v="9"/>
    <n v="68"/>
    <s v="closed"/>
    <n v="5"/>
    <d v="2025-10-27T00:00:00"/>
    <n v="1.1333333333333333"/>
    <n v="0.15"/>
    <s v="Within SLA"/>
    <s v="Satisfied"/>
    <s v="Resolved"/>
    <s v="Oct-2025"/>
    <x v="4"/>
  </r>
  <r>
    <s v="TCK-000328"/>
    <s v="2025-10-28T08:31:12Z"/>
    <n v="1879"/>
    <s v="Chat"/>
    <s v="High"/>
    <s v="Account"/>
    <n v="16"/>
    <n v="703"/>
    <s v="closed"/>
    <n v="2"/>
    <d v="2025-10-28T00:00:00"/>
    <n v="11.716666666666667"/>
    <n v="0.26666666666666666"/>
    <s v="Within SLA"/>
    <s v="Dissatisfied"/>
    <s v="Resolved"/>
    <s v="Oct-2025"/>
    <x v="4"/>
  </r>
  <r>
    <s v="TCK-000329"/>
    <s v="2025-10-28T17:16:48Z"/>
    <n v="1113"/>
    <s v="Chat"/>
    <s v="High"/>
    <s v="Performance"/>
    <n v="12"/>
    <n v="180"/>
    <s v="closed"/>
    <n v="2"/>
    <d v="2025-10-28T00:00:00"/>
    <n v="3"/>
    <n v="0.2"/>
    <s v="Within SLA"/>
    <s v="Dissatisfied"/>
    <s v="Resolved"/>
    <s v="Oct-2025"/>
    <x v="4"/>
  </r>
  <r>
    <s v="TCK-000330"/>
    <s v="2025-10-29T02:02:24Z"/>
    <n v="1535"/>
    <s v="Web form"/>
    <s v="Normal"/>
    <s v="Performance"/>
    <n v="126"/>
    <n v="2484"/>
    <s v="resolved"/>
    <n v="4"/>
    <d v="2025-10-29T00:00:00"/>
    <n v="41.4"/>
    <n v="2.1"/>
    <s v="Within SLA"/>
    <s v="Satisfied"/>
    <s v="Resolved"/>
    <s v="Oct-2025"/>
    <x v="4"/>
  </r>
  <r>
    <s v="TCK-000331"/>
    <s v="2025-10-29T10:48:00Z"/>
    <n v="1395"/>
    <s v="Phone"/>
    <s v="Urgent"/>
    <s v="Login"/>
    <n v="10"/>
    <n v="67"/>
    <s v="closed"/>
    <m/>
    <d v="2025-10-29T00:00:00"/>
    <n v="1.1166666666666667"/>
    <n v="0.16666666666666666"/>
    <s v="Within SLA"/>
    <s v="No Rating"/>
    <s v="Resolved"/>
    <s v="Oct-2025"/>
    <x v="4"/>
  </r>
  <r>
    <s v="TCK-000332"/>
    <s v="2025-10-29T19:33:36Z"/>
    <n v="1831"/>
    <s v="Chat"/>
    <s v="Urgent"/>
    <s v="Login"/>
    <n v="7"/>
    <m/>
    <s v="open"/>
    <m/>
    <d v="2025-10-29T00:00:00"/>
    <s v=""/>
    <n v="0.11666666666666667"/>
    <s v="Open"/>
    <s v="No Rating"/>
    <s v="Unresolved"/>
    <s v="Oct-2025"/>
    <x v="4"/>
  </r>
  <r>
    <s v="TCK-000333"/>
    <s v="2025-10-30T04:19:12Z"/>
    <n v="1737"/>
    <s v="Web form"/>
    <s v="Normal"/>
    <s v="Feature request"/>
    <n v="167"/>
    <n v="2970"/>
    <s v="closed"/>
    <n v="2"/>
    <d v="2025-10-30T00:00:00"/>
    <n v="49.5"/>
    <n v="2.7833333333333332"/>
    <s v="Breached"/>
    <s v="Dissatisfied"/>
    <s v="Resolved"/>
    <s v="Oct-2025"/>
    <x v="4"/>
  </r>
  <r>
    <s v="TCK-000334"/>
    <s v="2025-10-30T13:04:48Z"/>
    <n v="1430"/>
    <s v="Web form"/>
    <s v="High"/>
    <s v="Feature request"/>
    <n v="26"/>
    <n v="571"/>
    <s v="closed"/>
    <n v="3"/>
    <d v="2025-10-30T00:00:00"/>
    <n v="9.5166666666666675"/>
    <n v="0.43333333333333335"/>
    <s v="Within SLA"/>
    <s v="Neutral"/>
    <s v="Resolved"/>
    <s v="Oct-2025"/>
    <x v="4"/>
  </r>
  <r>
    <s v="TCK-000335"/>
    <s v="2025-10-30T21:50:24Z"/>
    <n v="1753"/>
    <s v="Chat"/>
    <s v="Normal"/>
    <s v="Integration"/>
    <n v="33"/>
    <n v="2486"/>
    <s v="resolved"/>
    <n v="2"/>
    <d v="2025-10-30T00:00:00"/>
    <n v="41.43333333333333"/>
    <n v="0.55000000000000004"/>
    <s v="Within SLA"/>
    <s v="Dissatisfied"/>
    <s v="Resolved"/>
    <s v="Oct-2025"/>
    <x v="4"/>
  </r>
  <r>
    <s v="TCK-000336"/>
    <s v="2025-10-31T06:36:00Z"/>
    <n v="1848"/>
    <s v="Phone"/>
    <s v="Urgent"/>
    <s v="Performance"/>
    <n v="3"/>
    <n v="123"/>
    <s v="closed"/>
    <n v="4"/>
    <d v="2025-10-31T00:00:00"/>
    <n v="2.0499999999999998"/>
    <n v="0.05"/>
    <s v="Within SLA"/>
    <s v="Satisfied"/>
    <s v="Resolved"/>
    <s v="Oct-2025"/>
    <x v="4"/>
  </r>
  <r>
    <s v="TCK-000337"/>
    <s v="2025-10-31T15:21:36Z"/>
    <n v="1865"/>
    <s v="Phone"/>
    <s v="Normal"/>
    <s v="Account"/>
    <n v="97"/>
    <n v="2001"/>
    <s v="resolved"/>
    <n v="4"/>
    <d v="2025-10-31T00:00:00"/>
    <n v="33.35"/>
    <n v="1.6166666666666667"/>
    <s v="Within SLA"/>
    <s v="Satisfied"/>
    <s v="Resolved"/>
    <s v="Oct-2025"/>
    <x v="4"/>
  </r>
  <r>
    <s v="TCK-000338"/>
    <s v="2025-11-01T00:07:12Z"/>
    <n v="1042"/>
    <s v="Email"/>
    <s v="Low"/>
    <s v="Billing"/>
    <n v="371"/>
    <n v="2214"/>
    <s v="resolved"/>
    <n v="1"/>
    <d v="2025-11-01T00:00:00"/>
    <n v="36.9"/>
    <n v="6.1833333333333336"/>
    <s v="Within SLA"/>
    <s v="Dissatisfied"/>
    <s v="Resolved"/>
    <s v="Nov-2025"/>
    <x v="5"/>
  </r>
  <r>
    <s v="TCK-000339"/>
    <s v="2025-11-01T08:52:48Z"/>
    <n v="1690"/>
    <s v="Web form"/>
    <s v="Normal"/>
    <s v="Billing"/>
    <n v="110"/>
    <n v="3565"/>
    <s v="resolved"/>
    <m/>
    <d v="2025-11-01T00:00:00"/>
    <n v="59.416666666666664"/>
    <n v="1.8333333333333333"/>
    <s v="Breached"/>
    <s v="No Rating"/>
    <s v="Resolved"/>
    <s v="Nov-2025"/>
    <x v="5"/>
  </r>
  <r>
    <s v="TCK-000340"/>
    <s v="2025-11-01T17:38:24Z"/>
    <n v="1966"/>
    <s v="Social"/>
    <s v="Normal"/>
    <s v="Performance"/>
    <n v="39"/>
    <n v="1717"/>
    <s v="closed"/>
    <m/>
    <d v="2025-11-01T00:00:00"/>
    <n v="28.616666666666667"/>
    <n v="0.65"/>
    <s v="Within SLA"/>
    <s v="No Rating"/>
    <s v="Resolved"/>
    <s v="Nov-2025"/>
    <x v="5"/>
  </r>
  <r>
    <s v="TCK-000341"/>
    <s v="2025-11-02T02:24:00Z"/>
    <n v="1074"/>
    <s v="Chat"/>
    <s v="High"/>
    <s v="Bug report"/>
    <n v="41"/>
    <n v="979"/>
    <s v="closed"/>
    <n v="1"/>
    <d v="2025-11-02T00:00:00"/>
    <n v="16.316666666666666"/>
    <n v="0.68333333333333335"/>
    <s v="Within SLA"/>
    <s v="Dissatisfied"/>
    <s v="Resolved"/>
    <s v="Nov-2025"/>
    <x v="5"/>
  </r>
  <r>
    <s v="TCK-000342"/>
    <s v="2025-11-02T11:09:36Z"/>
    <n v="1845"/>
    <s v="Web form"/>
    <s v="Normal"/>
    <s v="Bug report"/>
    <n v="42"/>
    <n v="1762"/>
    <s v="closed"/>
    <m/>
    <d v="2025-11-02T00:00:00"/>
    <n v="29.366666666666667"/>
    <n v="0.7"/>
    <s v="Within SLA"/>
    <s v="No Rating"/>
    <s v="Resolved"/>
    <s v="Nov-2025"/>
    <x v="5"/>
  </r>
  <r>
    <s v="TCK-000343"/>
    <s v="2025-11-02T19:55:12Z"/>
    <n v="1105"/>
    <s v="Chat"/>
    <s v="Normal"/>
    <s v="Account"/>
    <n v="141"/>
    <n v="1823"/>
    <s v="closed"/>
    <m/>
    <d v="2025-11-02T00:00:00"/>
    <n v="30.383333333333333"/>
    <n v="2.35"/>
    <s v="Within SLA"/>
    <s v="No Rating"/>
    <s v="Resolved"/>
    <s v="Nov-2025"/>
    <x v="5"/>
  </r>
  <r>
    <s v="TCK-000344"/>
    <s v="2025-11-03T04:40:48Z"/>
    <n v="1235"/>
    <s v="Phone"/>
    <s v="Normal"/>
    <s v="Performance"/>
    <n v="127"/>
    <n v="3261"/>
    <s v="closed"/>
    <n v="2"/>
    <d v="2025-11-03T00:00:00"/>
    <n v="54.35"/>
    <n v="2.1166666666666667"/>
    <s v="Breached"/>
    <s v="Dissatisfied"/>
    <s v="Resolved"/>
    <s v="Nov-2025"/>
    <x v="5"/>
  </r>
  <r>
    <s v="TCK-000345"/>
    <s v="2025-11-03T13:26:24Z"/>
    <n v="1845"/>
    <s v="Phone"/>
    <s v="Urgent"/>
    <s v="Integration"/>
    <n v="11"/>
    <n v="244"/>
    <s v="closed"/>
    <m/>
    <d v="2025-11-03T00:00:00"/>
    <n v="4.0666666666666664"/>
    <n v="0.18333333333333332"/>
    <s v="Within SLA"/>
    <s v="No Rating"/>
    <s v="Resolved"/>
    <s v="Nov-2025"/>
    <x v="5"/>
  </r>
  <r>
    <s v="TCK-000346"/>
    <s v="2025-11-03T22:12:00Z"/>
    <n v="1562"/>
    <s v="Email"/>
    <s v="Low"/>
    <s v="Bug report"/>
    <n v="314"/>
    <n v="6918"/>
    <s v="closed"/>
    <m/>
    <d v="2025-11-03T00:00:00"/>
    <n v="115.3"/>
    <n v="5.2333333333333334"/>
    <s v="Breached"/>
    <s v="No Rating"/>
    <s v="Resolved"/>
    <s v="Nov-2025"/>
    <x v="5"/>
  </r>
  <r>
    <s v="TCK-000347"/>
    <s v="2025-11-04T06:57:36Z"/>
    <n v="1460"/>
    <s v="Phone"/>
    <s v="High"/>
    <s v="Integration"/>
    <n v="28"/>
    <n v="1185"/>
    <s v="closed"/>
    <m/>
    <d v="2025-11-04T00:00:00"/>
    <n v="19.75"/>
    <n v="0.46666666666666667"/>
    <s v="Within SLA"/>
    <s v="No Rating"/>
    <s v="Resolved"/>
    <s v="Nov-2025"/>
    <x v="5"/>
  </r>
  <r>
    <s v="TCK-000348"/>
    <s v="2025-11-04T15:43:12Z"/>
    <n v="1028"/>
    <s v="Email"/>
    <s v="Normal"/>
    <s v="Account"/>
    <n v="29"/>
    <n v="463"/>
    <s v="closed"/>
    <n v="4"/>
    <d v="2025-11-04T00:00:00"/>
    <n v="7.7166666666666668"/>
    <n v="0.48333333333333334"/>
    <s v="Within SLA"/>
    <s v="Satisfied"/>
    <s v="Resolved"/>
    <s v="Nov-2025"/>
    <x v="5"/>
  </r>
  <r>
    <s v="TCK-000349"/>
    <s v="2025-11-05T00:28:48Z"/>
    <n v="1477"/>
    <s v="Chat"/>
    <s v="Low"/>
    <s v="Integration"/>
    <n v="220"/>
    <n v="4009"/>
    <s v="closed"/>
    <n v="1"/>
    <d v="2025-11-05T00:00:00"/>
    <n v="66.816666666666663"/>
    <n v="3.6666666666666665"/>
    <s v="Within SLA"/>
    <s v="Dissatisfied"/>
    <s v="Resolved"/>
    <s v="Nov-2025"/>
    <x v="5"/>
  </r>
  <r>
    <s v="TCK-000350"/>
    <s v="2025-11-05T09:14:24Z"/>
    <n v="1109"/>
    <s v="Email"/>
    <s v="Urgent"/>
    <s v="Feature request"/>
    <n v="10"/>
    <n v="223"/>
    <s v="closed"/>
    <m/>
    <d v="2025-11-05T00:00:00"/>
    <n v="3.7166666666666668"/>
    <n v="0.16666666666666666"/>
    <s v="Within SLA"/>
    <s v="No Rating"/>
    <s v="Resolved"/>
    <s v="Nov-2025"/>
    <x v="5"/>
  </r>
  <r>
    <s v="TCK-000351"/>
    <s v="2025-11-05T18:00:00Z"/>
    <n v="1986"/>
    <s v="Web form"/>
    <s v="Normal"/>
    <s v="Data import"/>
    <n v="160"/>
    <n v="1009"/>
    <s v="closed"/>
    <n v="5"/>
    <d v="2025-11-05T00:00:00"/>
    <n v="16.816666666666666"/>
    <n v="2.6666666666666665"/>
    <s v="Within SLA"/>
    <s v="Satisfied"/>
    <s v="Resolved"/>
    <s v="Nov-2025"/>
    <x v="5"/>
  </r>
  <r>
    <s v="TCK-000352"/>
    <s v="2025-11-06T02:45:36Z"/>
    <n v="1554"/>
    <s v="Phone"/>
    <s v="High"/>
    <s v="Data import"/>
    <n v="36"/>
    <n v="820"/>
    <s v="resolved"/>
    <m/>
    <d v="2025-11-06T00:00:00"/>
    <n v="13.666666666666666"/>
    <n v="0.6"/>
    <s v="Within SLA"/>
    <s v="No Rating"/>
    <s v="Resolved"/>
    <s v="Nov-2025"/>
    <x v="5"/>
  </r>
  <r>
    <s v="TCK-000353"/>
    <s v="2025-11-06T11:31:12Z"/>
    <n v="1817"/>
    <s v="Social"/>
    <s v="High"/>
    <s v="Billing"/>
    <n v="17"/>
    <n v="661"/>
    <s v="closed"/>
    <n v="1"/>
    <d v="2025-11-06T00:00:00"/>
    <n v="11.016666666666667"/>
    <n v="0.28333333333333333"/>
    <s v="Within SLA"/>
    <s v="Dissatisfied"/>
    <s v="Resolved"/>
    <s v="Nov-2025"/>
    <x v="5"/>
  </r>
  <r>
    <s v="TCK-000354"/>
    <s v="2025-11-06T20:16:48Z"/>
    <n v="1268"/>
    <s v="Chat"/>
    <s v="High"/>
    <s v="Account"/>
    <n v="22"/>
    <n v="826"/>
    <s v="resolved"/>
    <m/>
    <d v="2025-11-06T00:00:00"/>
    <n v="13.766666666666667"/>
    <n v="0.36666666666666664"/>
    <s v="Within SLA"/>
    <s v="No Rating"/>
    <s v="Resolved"/>
    <s v="Nov-2025"/>
    <x v="5"/>
  </r>
  <r>
    <s v="TCK-000355"/>
    <s v="2025-11-07T05:02:24Z"/>
    <n v="1123"/>
    <s v="Email"/>
    <s v="Normal"/>
    <s v="Bug report"/>
    <n v="109"/>
    <n v="2817"/>
    <s v="closed"/>
    <n v="3"/>
    <d v="2025-11-07T00:00:00"/>
    <n v="46.95"/>
    <n v="1.8166666666666667"/>
    <s v="Within SLA"/>
    <s v="Neutral"/>
    <s v="Resolved"/>
    <s v="Nov-2025"/>
    <x v="5"/>
  </r>
  <r>
    <s v="TCK-000356"/>
    <s v="2025-11-07T13:48:00Z"/>
    <n v="1900"/>
    <s v="Social"/>
    <s v="Urgent"/>
    <s v="Bug report"/>
    <n v="9"/>
    <n v="254"/>
    <s v="closed"/>
    <n v="5"/>
    <d v="2025-11-07T00:00:00"/>
    <n v="4.2333333333333334"/>
    <n v="0.15"/>
    <s v="Within SLA"/>
    <s v="Satisfied"/>
    <s v="Resolved"/>
    <s v="Nov-2025"/>
    <x v="5"/>
  </r>
  <r>
    <s v="TCK-000357"/>
    <s v="2025-11-07T22:33:36Z"/>
    <n v="1239"/>
    <s v="Social"/>
    <s v="Urgent"/>
    <s v="Performance"/>
    <n v="12"/>
    <n v="108"/>
    <s v="closed"/>
    <n v="5"/>
    <d v="2025-11-07T00:00:00"/>
    <n v="1.8"/>
    <n v="0.2"/>
    <s v="Within SLA"/>
    <s v="Satisfied"/>
    <s v="Resolved"/>
    <s v="Nov-2025"/>
    <x v="5"/>
  </r>
  <r>
    <s v="TCK-000358"/>
    <s v="2025-11-08T07:19:12Z"/>
    <n v="1253"/>
    <s v="Email"/>
    <s v="Low"/>
    <s v="Login"/>
    <n v="143"/>
    <n v="4015"/>
    <s v="closed"/>
    <n v="1"/>
    <d v="2025-11-08T00:00:00"/>
    <n v="66.916666666666671"/>
    <n v="2.3833333333333333"/>
    <s v="Within SLA"/>
    <s v="Dissatisfied"/>
    <s v="Resolved"/>
    <s v="Nov-2025"/>
    <x v="5"/>
  </r>
  <r>
    <s v="TCK-000359"/>
    <s v="2025-11-08T16:04:48Z"/>
    <n v="1098"/>
    <s v="Chat"/>
    <s v="Low"/>
    <s v="Bug report"/>
    <n v="382"/>
    <n v="2671"/>
    <s v="resolved"/>
    <n v="1"/>
    <d v="2025-11-08T00:00:00"/>
    <n v="44.516666666666666"/>
    <n v="6.3666666666666663"/>
    <s v="Within SLA"/>
    <s v="Dissatisfied"/>
    <s v="Resolved"/>
    <s v="Nov-2025"/>
    <x v="5"/>
  </r>
  <r>
    <s v="TCK-000360"/>
    <s v="2025-11-09T00:50:24Z"/>
    <n v="1192"/>
    <s v="Phone"/>
    <s v="Normal"/>
    <s v="Performance"/>
    <n v="70"/>
    <m/>
    <s v="open"/>
    <m/>
    <d v="2025-11-09T00:00:00"/>
    <s v=""/>
    <n v="1.1666666666666667"/>
    <s v="Open"/>
    <s v="No Rating"/>
    <s v="Unresolved"/>
    <s v="Nov-2025"/>
    <x v="5"/>
  </r>
  <r>
    <s v="TCK-000361"/>
    <s v="2025-11-09T09:36:00Z"/>
    <n v="1832"/>
    <s v="Email"/>
    <s v="Low"/>
    <s v="Login"/>
    <n v="437"/>
    <n v="7197"/>
    <s v="closed"/>
    <n v="1"/>
    <d v="2025-11-09T00:00:00"/>
    <n v="119.95"/>
    <n v="7.2833333333333332"/>
    <s v="Breached"/>
    <s v="Dissatisfied"/>
    <s v="Resolved"/>
    <s v="Nov-2025"/>
    <x v="5"/>
  </r>
  <r>
    <s v="TCK-000362"/>
    <s v="2025-11-09T18:21:36Z"/>
    <n v="1960"/>
    <s v="Social"/>
    <s v="High"/>
    <s v="Login"/>
    <n v="22"/>
    <n v="792"/>
    <s v="closed"/>
    <m/>
    <d v="2025-11-09T00:00:00"/>
    <n v="13.2"/>
    <n v="0.36666666666666664"/>
    <s v="Within SLA"/>
    <s v="No Rating"/>
    <s v="Resolved"/>
    <s v="Nov-2025"/>
    <x v="5"/>
  </r>
  <r>
    <s v="TCK-000363"/>
    <s v="2025-11-10T03:07:12Z"/>
    <n v="1171"/>
    <s v="Web form"/>
    <s v="Low"/>
    <s v="Account"/>
    <n v="203"/>
    <n v="1548"/>
    <s v="resolved"/>
    <n v="3"/>
    <d v="2025-11-10T00:00:00"/>
    <n v="25.8"/>
    <n v="3.3833333333333333"/>
    <s v="Within SLA"/>
    <s v="Neutral"/>
    <s v="Resolved"/>
    <s v="Nov-2025"/>
    <x v="5"/>
  </r>
  <r>
    <s v="TCK-000364"/>
    <s v="2025-11-10T11:52:48Z"/>
    <n v="1965"/>
    <s v="Social"/>
    <s v="Normal"/>
    <s v="Feature request"/>
    <n v="36"/>
    <n v="2348"/>
    <s v="closed"/>
    <m/>
    <d v="2025-11-10T00:00:00"/>
    <n v="39.133333333333333"/>
    <n v="0.6"/>
    <s v="Within SLA"/>
    <s v="No Rating"/>
    <s v="Resolved"/>
    <s v="Nov-2025"/>
    <x v="5"/>
  </r>
  <r>
    <s v="TCK-000365"/>
    <s v="2025-11-10T20:38:24Z"/>
    <n v="1194"/>
    <s v="Chat"/>
    <s v="Urgent"/>
    <s v="Login"/>
    <n v="6"/>
    <n v="302"/>
    <s v="resolved"/>
    <m/>
    <d v="2025-11-10T00:00:00"/>
    <n v="5.0333333333333332"/>
    <n v="0.1"/>
    <s v="Within SLA"/>
    <s v="No Rating"/>
    <s v="Resolved"/>
    <s v="Nov-2025"/>
    <x v="5"/>
  </r>
  <r>
    <s v="TCK-000366"/>
    <s v="2025-11-11T05:24:00Z"/>
    <n v="1212"/>
    <s v="Email"/>
    <s v="Normal"/>
    <s v="Feature request"/>
    <n v="129"/>
    <n v="2181"/>
    <s v="closed"/>
    <n v="5"/>
    <d v="2025-11-11T00:00:00"/>
    <n v="36.35"/>
    <n v="2.15"/>
    <s v="Within SLA"/>
    <s v="Satisfied"/>
    <s v="Resolved"/>
    <s v="Nov-2025"/>
    <x v="5"/>
  </r>
  <r>
    <s v="TCK-000367"/>
    <s v="2025-11-11T14:09:36Z"/>
    <n v="1253"/>
    <s v="Web form"/>
    <s v="High"/>
    <s v="Export"/>
    <n v="26"/>
    <n v="477"/>
    <s v="closed"/>
    <n v="1"/>
    <d v="2025-11-11T00:00:00"/>
    <n v="7.95"/>
    <n v="0.43333333333333335"/>
    <s v="Within SLA"/>
    <s v="Dissatisfied"/>
    <s v="Resolved"/>
    <s v="Nov-2025"/>
    <x v="5"/>
  </r>
  <r>
    <s v="TCK-000368"/>
    <s v="2025-11-11T22:55:12Z"/>
    <n v="1942"/>
    <s v="Phone"/>
    <s v="Normal"/>
    <s v="Integration"/>
    <n v="34"/>
    <n v="1315"/>
    <s v="resolved"/>
    <n v="2"/>
    <d v="2025-11-11T00:00:00"/>
    <n v="21.916666666666668"/>
    <n v="0.56666666666666665"/>
    <s v="Within SLA"/>
    <s v="Dissatisfied"/>
    <s v="Resolved"/>
    <s v="Nov-2025"/>
    <x v="5"/>
  </r>
  <r>
    <s v="TCK-000369"/>
    <s v="2025-11-12T07:40:48Z"/>
    <n v="1691"/>
    <s v="Social"/>
    <s v="Normal"/>
    <s v="Performance"/>
    <n v="53"/>
    <n v="1300"/>
    <s v="closed"/>
    <m/>
    <d v="2025-11-12T00:00:00"/>
    <n v="21.666666666666668"/>
    <n v="0.8833333333333333"/>
    <s v="Within SLA"/>
    <s v="No Rating"/>
    <s v="Resolved"/>
    <s v="Nov-2025"/>
    <x v="5"/>
  </r>
  <r>
    <s v="TCK-000370"/>
    <s v="2025-11-12T16:26:24Z"/>
    <n v="1867"/>
    <s v="Chat"/>
    <s v="High"/>
    <s v="Feature request"/>
    <n v="41"/>
    <n v="493"/>
    <s v="closed"/>
    <n v="5"/>
    <d v="2025-11-12T00:00:00"/>
    <n v="8.2166666666666668"/>
    <n v="0.68333333333333335"/>
    <s v="Within SLA"/>
    <s v="Satisfied"/>
    <s v="Resolved"/>
    <s v="Nov-2025"/>
    <x v="5"/>
  </r>
  <r>
    <s v="TCK-000371"/>
    <s v="2025-11-13T01:12:00Z"/>
    <n v="1504"/>
    <s v="Chat"/>
    <s v="High"/>
    <s v="Account"/>
    <n v="36"/>
    <n v="214"/>
    <s v="closed"/>
    <m/>
    <d v="2025-11-13T00:00:00"/>
    <n v="3.5666666666666669"/>
    <n v="0.6"/>
    <s v="Within SLA"/>
    <s v="No Rating"/>
    <s v="Resolved"/>
    <s v="Nov-2025"/>
    <x v="5"/>
  </r>
  <r>
    <s v="TCK-000372"/>
    <s v="2025-11-13T09:57:36Z"/>
    <n v="1921"/>
    <s v="Web form"/>
    <s v="High"/>
    <s v="Data import"/>
    <n v="11"/>
    <m/>
    <s v="pending"/>
    <m/>
    <d v="2025-11-13T00:00:00"/>
    <s v=""/>
    <n v="0.18333333333333332"/>
    <s v="Open"/>
    <s v="No Rating"/>
    <s v="Unresolved"/>
    <s v="Nov-2025"/>
    <x v="5"/>
  </r>
  <r>
    <s v="TCK-000373"/>
    <s v="2025-11-13T18:43:12Z"/>
    <n v="1652"/>
    <s v="Chat"/>
    <s v="Urgent"/>
    <s v="Account"/>
    <n v="7"/>
    <m/>
    <s v="pending"/>
    <m/>
    <d v="2025-11-13T00:00:00"/>
    <s v=""/>
    <n v="0.11666666666666667"/>
    <s v="Open"/>
    <s v="No Rating"/>
    <s v="Unresolved"/>
    <s v="Nov-2025"/>
    <x v="5"/>
  </r>
  <r>
    <s v="TCK-000374"/>
    <s v="2025-11-14T03:28:48Z"/>
    <n v="1197"/>
    <s v="Web form"/>
    <s v="Normal"/>
    <s v="Login"/>
    <n v="62"/>
    <n v="993"/>
    <s v="closed"/>
    <n v="1"/>
    <d v="2025-11-14T00:00:00"/>
    <n v="16.55"/>
    <n v="1.0333333333333334"/>
    <s v="Within SLA"/>
    <s v="Dissatisfied"/>
    <s v="Resolved"/>
    <s v="Nov-2025"/>
    <x v="5"/>
  </r>
  <r>
    <s v="TCK-000375"/>
    <s v="2025-11-14T12:14:24Z"/>
    <n v="1480"/>
    <s v="Phone"/>
    <s v="Normal"/>
    <s v="Billing"/>
    <n v="136"/>
    <n v="1801"/>
    <s v="closed"/>
    <n v="5"/>
    <d v="2025-11-14T00:00:00"/>
    <n v="30.016666666666666"/>
    <n v="2.2666666666666666"/>
    <s v="Within SLA"/>
    <s v="Satisfied"/>
    <s v="Resolved"/>
    <s v="Nov-2025"/>
    <x v="5"/>
  </r>
  <r>
    <s v="TCK-000376"/>
    <s v="2025-11-14T21:00:00Z"/>
    <n v="1338"/>
    <s v="Email"/>
    <s v="Low"/>
    <s v="Data import"/>
    <n v="270"/>
    <m/>
    <s v="pending"/>
    <m/>
    <d v="2025-11-14T00:00:00"/>
    <s v=""/>
    <n v="4.5"/>
    <s v="Open"/>
    <s v="No Rating"/>
    <s v="Unresolved"/>
    <s v="Nov-2025"/>
    <x v="5"/>
  </r>
  <r>
    <s v="TCK-000377"/>
    <s v="2025-11-15T05:45:36Z"/>
    <n v="1264"/>
    <s v="Social"/>
    <s v="High"/>
    <s v="Export"/>
    <n v="36"/>
    <n v="961"/>
    <s v="closed"/>
    <m/>
    <d v="2025-11-15T00:00:00"/>
    <n v="16.016666666666666"/>
    <n v="0.6"/>
    <s v="Within SLA"/>
    <s v="No Rating"/>
    <s v="Resolved"/>
    <s v="Nov-2025"/>
    <x v="5"/>
  </r>
  <r>
    <s v="TCK-000378"/>
    <s v="2025-11-15T14:31:12Z"/>
    <n v="1998"/>
    <s v="Chat"/>
    <s v="Urgent"/>
    <s v="Performance"/>
    <n v="9"/>
    <n v="369"/>
    <s v="resolved"/>
    <m/>
    <d v="2025-11-15T00:00:00"/>
    <n v="6.15"/>
    <n v="0.15"/>
    <s v="Within SLA"/>
    <s v="No Rating"/>
    <s v="Resolved"/>
    <s v="Nov-2025"/>
    <x v="5"/>
  </r>
  <r>
    <s v="TCK-000379"/>
    <s v="2025-11-15T23:16:48Z"/>
    <n v="1771"/>
    <s v="Chat"/>
    <s v="Low"/>
    <s v="Bug report"/>
    <n v="288"/>
    <n v="7945"/>
    <s v="resolved"/>
    <m/>
    <d v="2025-11-15T00:00:00"/>
    <n v="132.41666666666666"/>
    <n v="4.8"/>
    <s v="Breached"/>
    <s v="No Rating"/>
    <s v="Resolved"/>
    <s v="Nov-2025"/>
    <x v="5"/>
  </r>
  <r>
    <s v="TCK-000380"/>
    <s v="2025-11-16T08:02:24Z"/>
    <n v="1780"/>
    <s v="Social"/>
    <s v="Normal"/>
    <s v="Export"/>
    <n v="133"/>
    <n v="2986"/>
    <s v="resolved"/>
    <n v="2"/>
    <d v="2025-11-16T00:00:00"/>
    <n v="49.766666666666666"/>
    <n v="2.2166666666666668"/>
    <s v="Breached"/>
    <s v="Dissatisfied"/>
    <s v="Resolved"/>
    <s v="Nov-2025"/>
    <x v="5"/>
  </r>
  <r>
    <s v="TCK-000381"/>
    <s v="2025-11-16T16:48:00Z"/>
    <n v="2000"/>
    <s v="Social"/>
    <s v="Urgent"/>
    <s v="Billing"/>
    <n v="6"/>
    <n v="107"/>
    <s v="closed"/>
    <n v="2"/>
    <d v="2025-11-16T00:00:00"/>
    <n v="1.7833333333333334"/>
    <n v="0.1"/>
    <s v="Within SLA"/>
    <s v="Dissatisfied"/>
    <s v="Resolved"/>
    <s v="Nov-2025"/>
    <x v="5"/>
  </r>
  <r>
    <s v="TCK-000382"/>
    <s v="2025-11-17T01:33:36Z"/>
    <n v="2000"/>
    <s v="Web form"/>
    <s v="Normal"/>
    <s v="Feature request"/>
    <n v="108"/>
    <n v="3155"/>
    <s v="closed"/>
    <n v="1"/>
    <d v="2025-11-17T00:00:00"/>
    <n v="52.583333333333336"/>
    <n v="1.8"/>
    <s v="Breached"/>
    <s v="Dissatisfied"/>
    <s v="Resolved"/>
    <s v="Nov-2025"/>
    <x v="5"/>
  </r>
  <r>
    <s v="TCK-000383"/>
    <s v="2025-11-17T10:19:12Z"/>
    <n v="1877"/>
    <s v="Social"/>
    <s v="Normal"/>
    <s v="Login"/>
    <n v="33"/>
    <n v="1349"/>
    <s v="closed"/>
    <n v="4"/>
    <d v="2025-11-17T00:00:00"/>
    <n v="22.483333333333334"/>
    <n v="0.55000000000000004"/>
    <s v="Within SLA"/>
    <s v="Satisfied"/>
    <s v="Resolved"/>
    <s v="Nov-2025"/>
    <x v="5"/>
  </r>
  <r>
    <s v="TCK-000384"/>
    <s v="2025-11-17T19:04:48Z"/>
    <n v="1763"/>
    <s v="Chat"/>
    <s v="Urgent"/>
    <s v="Integration"/>
    <n v="12"/>
    <n v="429"/>
    <s v="resolved"/>
    <m/>
    <d v="2025-11-17T00:00:00"/>
    <n v="7.15"/>
    <n v="0.2"/>
    <s v="Within SLA"/>
    <s v="No Rating"/>
    <s v="Resolved"/>
    <s v="Nov-2025"/>
    <x v="5"/>
  </r>
  <r>
    <s v="TCK-000385"/>
    <s v="2025-11-18T03:50:24Z"/>
    <n v="1610"/>
    <s v="Social"/>
    <s v="Normal"/>
    <s v="Data import"/>
    <n v="73"/>
    <n v="616"/>
    <s v="closed"/>
    <n v="4"/>
    <d v="2025-11-18T00:00:00"/>
    <n v="10.266666666666667"/>
    <n v="1.2166666666666666"/>
    <s v="Within SLA"/>
    <s v="Satisfied"/>
    <s v="Resolved"/>
    <s v="Nov-2025"/>
    <x v="5"/>
  </r>
  <r>
    <s v="TCK-000386"/>
    <s v="2025-11-18T12:36:00Z"/>
    <n v="1624"/>
    <s v="Web form"/>
    <s v="Low"/>
    <s v="Data import"/>
    <n v="467"/>
    <n v="8679"/>
    <s v="closed"/>
    <n v="4"/>
    <d v="2025-11-18T00:00:00"/>
    <n v="144.65"/>
    <n v="7.7833333333333332"/>
    <s v="Breached"/>
    <s v="Satisfied"/>
    <s v="Resolved"/>
    <s v="Nov-2025"/>
    <x v="5"/>
  </r>
  <r>
    <s v="TCK-000387"/>
    <s v="2025-11-18T21:21:36Z"/>
    <n v="1481"/>
    <s v="Web form"/>
    <s v="Urgent"/>
    <s v="Integration"/>
    <n v="11"/>
    <n v="199"/>
    <s v="closed"/>
    <n v="2"/>
    <d v="2025-11-18T00:00:00"/>
    <n v="3.3166666666666669"/>
    <n v="0.18333333333333332"/>
    <s v="Within SLA"/>
    <s v="Dissatisfied"/>
    <s v="Resolved"/>
    <s v="Nov-2025"/>
    <x v="5"/>
  </r>
  <r>
    <s v="TCK-000388"/>
    <s v="2025-11-19T06:07:12Z"/>
    <n v="1416"/>
    <s v="Web form"/>
    <s v="Urgent"/>
    <s v="Data import"/>
    <n v="10"/>
    <n v="281"/>
    <s v="closed"/>
    <n v="1"/>
    <d v="2025-11-19T00:00:00"/>
    <n v="4.6833333333333336"/>
    <n v="0.16666666666666666"/>
    <s v="Within SLA"/>
    <s v="Dissatisfied"/>
    <s v="Resolved"/>
    <s v="Nov-2025"/>
    <x v="5"/>
  </r>
  <r>
    <s v="TCK-000389"/>
    <s v="2025-11-19T14:52:48Z"/>
    <n v="1531"/>
    <s v="Email"/>
    <s v="Urgent"/>
    <s v="Account"/>
    <n v="7"/>
    <n v="121"/>
    <s v="closed"/>
    <n v="1"/>
    <d v="2025-11-19T00:00:00"/>
    <n v="2.0166666666666666"/>
    <n v="0.11666666666666667"/>
    <s v="Within SLA"/>
    <s v="Dissatisfied"/>
    <s v="Resolved"/>
    <s v="Nov-2025"/>
    <x v="5"/>
  </r>
  <r>
    <s v="TCK-000390"/>
    <s v="2025-11-19T23:38:24Z"/>
    <n v="1595"/>
    <s v="Phone"/>
    <s v="Urgent"/>
    <s v="Export"/>
    <n v="7"/>
    <n v="207"/>
    <s v="closed"/>
    <n v="4"/>
    <d v="2025-11-19T00:00:00"/>
    <n v="3.45"/>
    <n v="0.11666666666666667"/>
    <s v="Within SLA"/>
    <s v="Satisfied"/>
    <s v="Resolved"/>
    <s v="Nov-2025"/>
    <x v="5"/>
  </r>
  <r>
    <s v="TCK-000391"/>
    <s v="2025-11-20T08:24:00Z"/>
    <n v="1959"/>
    <s v="Chat"/>
    <s v="Urgent"/>
    <s v="Login"/>
    <n v="4"/>
    <m/>
    <s v="open"/>
    <m/>
    <d v="2025-11-20T00:00:00"/>
    <s v=""/>
    <n v="6.6666666666666666E-2"/>
    <s v="Open"/>
    <s v="No Rating"/>
    <s v="Unresolved"/>
    <s v="Nov-2025"/>
    <x v="5"/>
  </r>
  <r>
    <s v="TCK-000392"/>
    <s v="2025-11-20T17:09:36Z"/>
    <n v="1336"/>
    <s v="Social"/>
    <s v="Urgent"/>
    <s v="Billing"/>
    <n v="2"/>
    <n v="322"/>
    <s v="closed"/>
    <m/>
    <d v="2025-11-20T00:00:00"/>
    <n v="5.3666666666666663"/>
    <n v="3.3333333333333333E-2"/>
    <s v="Within SLA"/>
    <s v="No Rating"/>
    <s v="Resolved"/>
    <s v="Nov-2025"/>
    <x v="5"/>
  </r>
  <r>
    <s v="TCK-000393"/>
    <s v="2025-11-21T01:55:12Z"/>
    <n v="1234"/>
    <s v="Phone"/>
    <s v="Normal"/>
    <s v="Performance"/>
    <n v="87"/>
    <n v="3654"/>
    <s v="closed"/>
    <m/>
    <d v="2025-11-21T00:00:00"/>
    <n v="60.9"/>
    <n v="1.45"/>
    <s v="Breached"/>
    <s v="No Rating"/>
    <s v="Resolved"/>
    <s v="Nov-2025"/>
    <x v="5"/>
  </r>
  <r>
    <s v="TCK-000394"/>
    <s v="2025-11-21T10:40:48Z"/>
    <n v="1573"/>
    <s v="Phone"/>
    <s v="Normal"/>
    <s v="Account"/>
    <n v="98"/>
    <n v="841"/>
    <s v="closed"/>
    <n v="5"/>
    <d v="2025-11-21T00:00:00"/>
    <n v="14.016666666666667"/>
    <n v="1.6333333333333333"/>
    <s v="Within SLA"/>
    <s v="Satisfied"/>
    <s v="Resolved"/>
    <s v="Nov-2025"/>
    <x v="5"/>
  </r>
  <r>
    <s v="TCK-000395"/>
    <s v="2025-11-21T19:26:24Z"/>
    <n v="1894"/>
    <s v="Email"/>
    <s v="Normal"/>
    <s v="Bug report"/>
    <n v="98"/>
    <n v="2458"/>
    <s v="closed"/>
    <m/>
    <d v="2025-11-21T00:00:00"/>
    <n v="40.966666666666669"/>
    <n v="1.6333333333333333"/>
    <s v="Within SLA"/>
    <s v="No Rating"/>
    <s v="Resolved"/>
    <s v="Nov-2025"/>
    <x v="5"/>
  </r>
  <r>
    <s v="TCK-000396"/>
    <s v="2025-11-22T04:12:00Z"/>
    <n v="1051"/>
    <s v="Phone"/>
    <s v="Normal"/>
    <s v="Data import"/>
    <n v="91"/>
    <n v="2010"/>
    <s v="closed"/>
    <n v="3"/>
    <d v="2025-11-22T00:00:00"/>
    <n v="33.5"/>
    <n v="1.5166666666666666"/>
    <s v="Within SLA"/>
    <s v="Neutral"/>
    <s v="Resolved"/>
    <s v="Nov-2025"/>
    <x v="5"/>
  </r>
  <r>
    <s v="TCK-000397"/>
    <s v="2025-11-22T12:57:36Z"/>
    <n v="1261"/>
    <s v="Social"/>
    <s v="Urgent"/>
    <s v="Billing"/>
    <n v="7"/>
    <n v="405"/>
    <s v="closed"/>
    <n v="5"/>
    <d v="2025-11-22T00:00:00"/>
    <n v="6.75"/>
    <n v="0.11666666666666667"/>
    <s v="Within SLA"/>
    <s v="Satisfied"/>
    <s v="Resolved"/>
    <s v="Nov-2025"/>
    <x v="5"/>
  </r>
  <r>
    <s v="TCK-000398"/>
    <s v="2025-11-22T21:43:12Z"/>
    <n v="1457"/>
    <s v="Phone"/>
    <s v="Low"/>
    <s v="Bug report"/>
    <n v="413"/>
    <n v="7260"/>
    <s v="closed"/>
    <n v="2"/>
    <d v="2025-11-22T00:00:00"/>
    <n v="121"/>
    <n v="6.8833333333333337"/>
    <s v="Breached"/>
    <s v="Dissatisfied"/>
    <s v="Resolved"/>
    <s v="Nov-2025"/>
    <x v="5"/>
  </r>
  <r>
    <s v="TCK-000399"/>
    <s v="2025-11-23T06:28:48Z"/>
    <n v="1936"/>
    <s v="Social"/>
    <s v="High"/>
    <s v="Bug report"/>
    <n v="45"/>
    <n v="721"/>
    <s v="closed"/>
    <n v="5"/>
    <d v="2025-11-23T00:00:00"/>
    <n v="12.016666666666667"/>
    <n v="0.75"/>
    <s v="Within SLA"/>
    <s v="Satisfied"/>
    <s v="Resolved"/>
    <s v="Nov-2025"/>
    <x v="5"/>
  </r>
  <r>
    <s v="TCK-000400"/>
    <s v="2025-11-23T15:14:24Z"/>
    <n v="1535"/>
    <s v="Social"/>
    <s v="Normal"/>
    <s v="Login"/>
    <n v="87"/>
    <n v="1227"/>
    <s v="closed"/>
    <n v="5"/>
    <d v="2025-11-23T00:00:00"/>
    <n v="20.45"/>
    <n v="1.45"/>
    <s v="Within SLA"/>
    <s v="Satisfied"/>
    <s v="Resolved"/>
    <s v="Nov-2025"/>
    <x v="5"/>
  </r>
  <r>
    <s v="TCK-000401"/>
    <s v="2025-11-24T00:00:00Z"/>
    <n v="1009"/>
    <s v="Email"/>
    <s v="Urgent"/>
    <s v="Billing"/>
    <n v="10"/>
    <n v="221"/>
    <s v="closed"/>
    <n v="1"/>
    <d v="2025-11-24T00:00:00"/>
    <n v="3.6833333333333331"/>
    <n v="0.16666666666666666"/>
    <s v="Within SLA"/>
    <s v="Dissatisfied"/>
    <s v="Resolved"/>
    <s v="Nov-2025"/>
    <x v="5"/>
  </r>
  <r>
    <s v="TCK-000402"/>
    <s v="2025-11-24T08:45:36Z"/>
    <n v="1904"/>
    <s v="Email"/>
    <s v="Normal"/>
    <s v="Performance"/>
    <n v="117"/>
    <n v="1592"/>
    <s v="resolved"/>
    <m/>
    <d v="2025-11-24T00:00:00"/>
    <n v="26.533333333333335"/>
    <n v="1.95"/>
    <s v="Within SLA"/>
    <s v="No Rating"/>
    <s v="Resolved"/>
    <s v="Nov-2025"/>
    <x v="5"/>
  </r>
  <r>
    <s v="TCK-000403"/>
    <s v="2025-11-24T17:31:12Z"/>
    <n v="1289"/>
    <s v="Web form"/>
    <s v="High"/>
    <s v="Bug report"/>
    <n v="26"/>
    <n v="938"/>
    <s v="closed"/>
    <m/>
    <d v="2025-11-24T00:00:00"/>
    <n v="15.633333333333333"/>
    <n v="0.43333333333333335"/>
    <s v="Within SLA"/>
    <s v="No Rating"/>
    <s v="Resolved"/>
    <s v="Nov-2025"/>
    <x v="5"/>
  </r>
  <r>
    <s v="TCK-000404"/>
    <s v="2025-11-25T02:16:48Z"/>
    <n v="1189"/>
    <s v="Chat"/>
    <s v="High"/>
    <s v="Account"/>
    <n v="18"/>
    <n v="1079"/>
    <s v="closed"/>
    <m/>
    <d v="2025-11-25T00:00:00"/>
    <n v="17.983333333333334"/>
    <n v="0.3"/>
    <s v="Within SLA"/>
    <s v="No Rating"/>
    <s v="Resolved"/>
    <s v="Nov-2025"/>
    <x v="5"/>
  </r>
  <r>
    <s v="TCK-000405"/>
    <s v="2025-11-25T11:02:24Z"/>
    <n v="1085"/>
    <s v="Web form"/>
    <s v="Low"/>
    <s v="Account"/>
    <n v="328"/>
    <n v="5267"/>
    <s v="closed"/>
    <n v="2"/>
    <d v="2025-11-25T00:00:00"/>
    <n v="87.783333333333331"/>
    <n v="5.4666666666666668"/>
    <s v="Breached"/>
    <s v="Dissatisfied"/>
    <s v="Resolved"/>
    <s v="Nov-2025"/>
    <x v="5"/>
  </r>
  <r>
    <s v="TCK-000406"/>
    <s v="2025-11-25T19:48:00Z"/>
    <n v="1517"/>
    <s v="Phone"/>
    <s v="Urgent"/>
    <s v="Performance"/>
    <n v="10"/>
    <m/>
    <s v="open"/>
    <m/>
    <d v="2025-11-25T00:00:00"/>
    <s v=""/>
    <n v="0.16666666666666666"/>
    <s v="Open"/>
    <s v="No Rating"/>
    <s v="Unresolved"/>
    <s v="Nov-2025"/>
    <x v="5"/>
  </r>
  <r>
    <s v="TCK-000407"/>
    <s v="2025-11-26T04:33:36Z"/>
    <n v="1387"/>
    <s v="Social"/>
    <s v="Normal"/>
    <s v="Integration"/>
    <n v="96"/>
    <n v="1367"/>
    <s v="closed"/>
    <n v="3"/>
    <d v="2025-11-26T00:00:00"/>
    <n v="22.783333333333335"/>
    <n v="1.6"/>
    <s v="Within SLA"/>
    <s v="Neutral"/>
    <s v="Resolved"/>
    <s v="Nov-2025"/>
    <x v="5"/>
  </r>
  <r>
    <s v="TCK-000408"/>
    <s v="2025-11-26T13:19:12Z"/>
    <n v="1219"/>
    <s v="Social"/>
    <s v="Normal"/>
    <s v="Feature request"/>
    <n v="153"/>
    <n v="3014"/>
    <s v="closed"/>
    <n v="1"/>
    <d v="2025-11-26T00:00:00"/>
    <n v="50.233333333333334"/>
    <n v="2.5499999999999998"/>
    <s v="Breached"/>
    <s v="Dissatisfied"/>
    <s v="Resolved"/>
    <s v="Nov-2025"/>
    <x v="5"/>
  </r>
  <r>
    <s v="TCK-000409"/>
    <s v="2025-11-26T22:04:48Z"/>
    <n v="1558"/>
    <s v="Email"/>
    <s v="Low"/>
    <s v="Bug report"/>
    <n v="464"/>
    <n v="8841"/>
    <s v="closed"/>
    <m/>
    <d v="2025-11-26T00:00:00"/>
    <n v="147.35"/>
    <n v="7.7333333333333334"/>
    <s v="Breached"/>
    <s v="No Rating"/>
    <s v="Resolved"/>
    <s v="Nov-2025"/>
    <x v="5"/>
  </r>
  <r>
    <s v="TCK-000410"/>
    <s v="2025-11-27T06:50:24Z"/>
    <n v="1656"/>
    <s v="Chat"/>
    <s v="High"/>
    <s v="Bug report"/>
    <n v="8"/>
    <m/>
    <s v="pending"/>
    <m/>
    <d v="2025-11-27T00:00:00"/>
    <s v=""/>
    <n v="0.13333333333333333"/>
    <s v="Open"/>
    <s v="No Rating"/>
    <s v="Unresolved"/>
    <s v="Nov-2025"/>
    <x v="5"/>
  </r>
  <r>
    <s v="TCK-000411"/>
    <s v="2025-11-27T15:36:00Z"/>
    <n v="1772"/>
    <s v="Web form"/>
    <s v="Low"/>
    <s v="Export"/>
    <n v="254"/>
    <n v="8660"/>
    <s v="closed"/>
    <n v="5"/>
    <d v="2025-11-27T00:00:00"/>
    <n v="144.33333333333334"/>
    <n v="4.2333333333333334"/>
    <s v="Breached"/>
    <s v="Satisfied"/>
    <s v="Resolved"/>
    <s v="Nov-2025"/>
    <x v="5"/>
  </r>
  <r>
    <s v="TCK-000412"/>
    <s v="2025-11-28T00:21:36Z"/>
    <n v="1602"/>
    <s v="Chat"/>
    <s v="Normal"/>
    <s v="Integration"/>
    <n v="120"/>
    <n v="3076"/>
    <s v="closed"/>
    <n v="1"/>
    <d v="2025-11-28T00:00:00"/>
    <n v="51.266666666666666"/>
    <n v="2"/>
    <s v="Breached"/>
    <s v="Dissatisfied"/>
    <s v="Resolved"/>
    <s v="Nov-2025"/>
    <x v="5"/>
  </r>
  <r>
    <s v="TCK-000413"/>
    <s v="2025-11-28T09:07:12Z"/>
    <n v="1994"/>
    <s v="Web form"/>
    <s v="Low"/>
    <s v="Login"/>
    <n v="75"/>
    <n v="6027"/>
    <s v="closed"/>
    <n v="3"/>
    <d v="2025-11-28T00:00:00"/>
    <n v="100.45"/>
    <n v="1.25"/>
    <s v="Breached"/>
    <s v="Neutral"/>
    <s v="Resolved"/>
    <s v="Nov-2025"/>
    <x v="5"/>
  </r>
  <r>
    <s v="TCK-000414"/>
    <s v="2025-11-28T17:52:48Z"/>
    <n v="1062"/>
    <s v="Social"/>
    <s v="High"/>
    <s v="Account"/>
    <n v="13"/>
    <n v="205"/>
    <s v="closed"/>
    <n v="2"/>
    <d v="2025-11-28T00:00:00"/>
    <n v="3.4166666666666665"/>
    <n v="0.21666666666666667"/>
    <s v="Within SLA"/>
    <s v="Dissatisfied"/>
    <s v="Resolved"/>
    <s v="Nov-2025"/>
    <x v="5"/>
  </r>
  <r>
    <s v="TCK-000415"/>
    <s v="2025-11-29T02:38:24Z"/>
    <n v="1332"/>
    <s v="Social"/>
    <s v="High"/>
    <s v="Login"/>
    <n v="41"/>
    <n v="507"/>
    <s v="closed"/>
    <n v="3"/>
    <d v="2025-11-29T00:00:00"/>
    <n v="8.4499999999999993"/>
    <n v="0.68333333333333335"/>
    <s v="Within SLA"/>
    <s v="Neutral"/>
    <s v="Resolved"/>
    <s v="Nov-2025"/>
    <x v="5"/>
  </r>
  <r>
    <s v="TCK-000416"/>
    <s v="2025-11-29T11:24:00Z"/>
    <n v="1392"/>
    <s v="Email"/>
    <s v="Normal"/>
    <s v="Export"/>
    <n v="121"/>
    <n v="720"/>
    <s v="resolved"/>
    <m/>
    <d v="2025-11-29T00:00:00"/>
    <n v="12"/>
    <n v="2.0166666666666666"/>
    <s v="Within SLA"/>
    <s v="No Rating"/>
    <s v="Resolved"/>
    <s v="Nov-2025"/>
    <x v="5"/>
  </r>
  <r>
    <s v="TCK-000417"/>
    <s v="2025-11-29T20:09:36Z"/>
    <n v="1470"/>
    <s v="Email"/>
    <s v="Urgent"/>
    <s v="Performance"/>
    <n v="2"/>
    <n v="269"/>
    <s v="resolved"/>
    <m/>
    <d v="2025-11-29T00:00:00"/>
    <n v="4.4833333333333334"/>
    <n v="3.3333333333333333E-2"/>
    <s v="Within SLA"/>
    <s v="No Rating"/>
    <s v="Resolved"/>
    <s v="Nov-2025"/>
    <x v="5"/>
  </r>
  <r>
    <s v="TCK-000418"/>
    <s v="2025-11-30T04:55:12Z"/>
    <n v="1569"/>
    <s v="Chat"/>
    <s v="High"/>
    <s v="Integration"/>
    <n v="13"/>
    <n v="1042"/>
    <s v="closed"/>
    <m/>
    <d v="2025-11-30T00:00:00"/>
    <n v="17.366666666666667"/>
    <n v="0.21666666666666667"/>
    <s v="Within SLA"/>
    <s v="No Rating"/>
    <s v="Resolved"/>
    <s v="Nov-2025"/>
    <x v="5"/>
  </r>
  <r>
    <s v="TCK-000419"/>
    <s v="2025-11-30T13:40:48Z"/>
    <n v="1114"/>
    <s v="Phone"/>
    <s v="Low"/>
    <s v="Account"/>
    <n v="297"/>
    <n v="8477"/>
    <s v="closed"/>
    <m/>
    <d v="2025-11-30T00:00:00"/>
    <n v="141.28333333333333"/>
    <n v="4.95"/>
    <s v="Breached"/>
    <s v="No Rating"/>
    <s v="Resolved"/>
    <s v="Nov-2025"/>
    <x v="5"/>
  </r>
  <r>
    <s v="TCK-000420"/>
    <s v="2025-11-30T22:26:24Z"/>
    <n v="1042"/>
    <s v="Chat"/>
    <s v="High"/>
    <s v="Export"/>
    <n v="11"/>
    <m/>
    <s v="open"/>
    <m/>
    <d v="2025-11-30T00:00:00"/>
    <s v=""/>
    <n v="0.18333333333333332"/>
    <s v="Open"/>
    <s v="No Rating"/>
    <s v="Unresolved"/>
    <s v="Nov-2025"/>
    <x v="5"/>
  </r>
  <r>
    <s v="TCK-000421"/>
    <s v="2025-12-01T07:12:00Z"/>
    <n v="1764"/>
    <s v="Phone"/>
    <s v="High"/>
    <s v="Performance"/>
    <n v="39"/>
    <m/>
    <s v="pending"/>
    <m/>
    <d v="2025-12-01T00:00:00"/>
    <s v=""/>
    <n v="0.65"/>
    <s v="Open"/>
    <s v="No Rating"/>
    <s v="Unresolved"/>
    <s v="Dec-2025"/>
    <x v="6"/>
  </r>
  <r>
    <s v="TCK-000422"/>
    <s v="2025-12-01T15:57:36Z"/>
    <n v="1569"/>
    <s v="Social"/>
    <s v="Low"/>
    <s v="Performance"/>
    <n v="243"/>
    <n v="1676"/>
    <s v="closed"/>
    <n v="2"/>
    <d v="2025-12-01T00:00:00"/>
    <n v="27.933333333333334"/>
    <n v="4.05"/>
    <s v="Within SLA"/>
    <s v="Dissatisfied"/>
    <s v="Resolved"/>
    <s v="Dec-2025"/>
    <x v="6"/>
  </r>
  <r>
    <s v="TCK-000423"/>
    <s v="2025-12-02T00:43:12Z"/>
    <n v="1004"/>
    <s v="Phone"/>
    <s v="Low"/>
    <s v="Bug report"/>
    <n v="204"/>
    <n v="2796"/>
    <s v="closed"/>
    <n v="4"/>
    <d v="2025-12-02T00:00:00"/>
    <n v="46.6"/>
    <n v="3.4"/>
    <s v="Within SLA"/>
    <s v="Satisfied"/>
    <s v="Resolved"/>
    <s v="Dec-2025"/>
    <x v="6"/>
  </r>
  <r>
    <s v="TCK-000424"/>
    <s v="2025-12-02T09:28:48Z"/>
    <n v="1948"/>
    <s v="Chat"/>
    <s v="Normal"/>
    <s v="Bug report"/>
    <n v="86"/>
    <n v="752"/>
    <s v="resolved"/>
    <m/>
    <d v="2025-12-02T00:00:00"/>
    <n v="12.533333333333333"/>
    <n v="1.4333333333333333"/>
    <s v="Within SLA"/>
    <s v="No Rating"/>
    <s v="Resolved"/>
    <s v="Dec-2025"/>
    <x v="6"/>
  </r>
  <r>
    <s v="TCK-000425"/>
    <s v="2025-12-02T18:14:24Z"/>
    <n v="1865"/>
    <s v="Social"/>
    <s v="Normal"/>
    <s v="Performance"/>
    <n v="155"/>
    <n v="1566"/>
    <s v="resolved"/>
    <n v="5"/>
    <d v="2025-12-02T00:00:00"/>
    <n v="26.1"/>
    <n v="2.5833333333333335"/>
    <s v="Within SLA"/>
    <s v="Satisfied"/>
    <s v="Resolved"/>
    <s v="Dec-2025"/>
    <x v="6"/>
  </r>
  <r>
    <s v="TCK-000426"/>
    <s v="2025-12-03T03:00:00Z"/>
    <n v="1438"/>
    <s v="Social"/>
    <s v="Normal"/>
    <s v="Integration"/>
    <n v="139"/>
    <n v="3444"/>
    <s v="closed"/>
    <n v="4"/>
    <d v="2025-12-03T00:00:00"/>
    <n v="57.4"/>
    <n v="2.3166666666666669"/>
    <s v="Breached"/>
    <s v="Satisfied"/>
    <s v="Resolved"/>
    <s v="Dec-2025"/>
    <x v="6"/>
  </r>
  <r>
    <s v="TCK-000427"/>
    <s v="2025-12-03T11:45:36Z"/>
    <n v="1557"/>
    <s v="Chat"/>
    <s v="Normal"/>
    <s v="Data import"/>
    <n v="101"/>
    <m/>
    <s v="pending"/>
    <m/>
    <d v="2025-12-03T00:00:00"/>
    <s v=""/>
    <n v="1.6833333333333333"/>
    <s v="Open"/>
    <s v="No Rating"/>
    <s v="Unresolved"/>
    <s v="Dec-2025"/>
    <x v="6"/>
  </r>
  <r>
    <s v="TCK-000428"/>
    <s v="2025-12-03T20:31:12Z"/>
    <n v="1332"/>
    <s v="Phone"/>
    <s v="Normal"/>
    <s v="Login"/>
    <n v="49"/>
    <n v="2029"/>
    <s v="closed"/>
    <n v="5"/>
    <d v="2025-12-03T00:00:00"/>
    <n v="33.81666666666667"/>
    <n v="0.81666666666666665"/>
    <s v="Within SLA"/>
    <s v="Satisfied"/>
    <s v="Resolved"/>
    <s v="Dec-2025"/>
    <x v="6"/>
  </r>
  <r>
    <s v="TCK-000429"/>
    <s v="2025-12-04T05:16:48Z"/>
    <n v="1608"/>
    <s v="Chat"/>
    <s v="Urgent"/>
    <s v="Bug report"/>
    <n v="9"/>
    <n v="209"/>
    <s v="resolved"/>
    <m/>
    <d v="2025-12-04T00:00:00"/>
    <n v="3.4833333333333334"/>
    <n v="0.15"/>
    <s v="Within SLA"/>
    <s v="No Rating"/>
    <s v="Resolved"/>
    <s v="Dec-2025"/>
    <x v="6"/>
  </r>
  <r>
    <s v="TCK-000430"/>
    <s v="2025-12-04T14:02:24Z"/>
    <n v="1307"/>
    <s v="Chat"/>
    <s v="High"/>
    <s v="Billing"/>
    <n v="14"/>
    <n v="701"/>
    <s v="closed"/>
    <n v="1"/>
    <d v="2025-12-04T00:00:00"/>
    <n v="11.683333333333334"/>
    <n v="0.23333333333333334"/>
    <s v="Within SLA"/>
    <s v="Dissatisfied"/>
    <s v="Resolved"/>
    <s v="Dec-2025"/>
    <x v="6"/>
  </r>
  <r>
    <s v="TCK-000431"/>
    <s v="2025-12-04T22:48:00Z"/>
    <n v="1168"/>
    <s v="Chat"/>
    <s v="Urgent"/>
    <s v="Performance"/>
    <n v="9"/>
    <n v="196"/>
    <s v="resolved"/>
    <n v="3"/>
    <d v="2025-12-04T00:00:00"/>
    <n v="3.2666666666666666"/>
    <n v="0.15"/>
    <s v="Within SLA"/>
    <s v="Neutral"/>
    <s v="Resolved"/>
    <s v="Dec-2025"/>
    <x v="6"/>
  </r>
  <r>
    <s v="TCK-000432"/>
    <s v="2025-12-05T07:33:36Z"/>
    <n v="1335"/>
    <s v="Chat"/>
    <s v="Normal"/>
    <s v="Billing"/>
    <n v="103"/>
    <n v="1763"/>
    <s v="resolved"/>
    <n v="2"/>
    <d v="2025-12-05T00:00:00"/>
    <n v="29.383333333333333"/>
    <n v="1.7166666666666666"/>
    <s v="Within SLA"/>
    <s v="Dissatisfied"/>
    <s v="Resolved"/>
    <s v="Dec-2025"/>
    <x v="6"/>
  </r>
  <r>
    <s v="TCK-000433"/>
    <s v="2025-12-05T16:19:12Z"/>
    <n v="1575"/>
    <s v="Chat"/>
    <s v="Normal"/>
    <s v="Bug report"/>
    <n v="35"/>
    <n v="3220"/>
    <s v="closed"/>
    <n v="2"/>
    <d v="2025-12-05T00:00:00"/>
    <n v="53.666666666666664"/>
    <n v="0.58333333333333337"/>
    <s v="Breached"/>
    <s v="Dissatisfied"/>
    <s v="Resolved"/>
    <s v="Dec-2025"/>
    <x v="6"/>
  </r>
  <r>
    <s v="TCK-000434"/>
    <s v="2025-12-06T01:04:48Z"/>
    <n v="1235"/>
    <s v="Social"/>
    <s v="Normal"/>
    <s v="Integration"/>
    <n v="83"/>
    <n v="2481"/>
    <s v="closed"/>
    <n v="3"/>
    <d v="2025-12-06T00:00:00"/>
    <n v="41.35"/>
    <n v="1.3833333333333333"/>
    <s v="Within SLA"/>
    <s v="Neutral"/>
    <s v="Resolved"/>
    <s v="Dec-2025"/>
    <x v="6"/>
  </r>
  <r>
    <s v="TCK-000435"/>
    <s v="2025-12-06T09:50:24Z"/>
    <n v="2000"/>
    <s v="Phone"/>
    <s v="High"/>
    <s v="Account"/>
    <n v="43"/>
    <n v="850"/>
    <s v="closed"/>
    <n v="2"/>
    <d v="2025-12-06T00:00:00"/>
    <n v="14.166666666666666"/>
    <n v="0.71666666666666667"/>
    <s v="Within SLA"/>
    <s v="Dissatisfied"/>
    <s v="Resolved"/>
    <s v="Dec-2025"/>
    <x v="6"/>
  </r>
  <r>
    <s v="TCK-000436"/>
    <s v="2025-12-06T18:36:00Z"/>
    <n v="1698"/>
    <s v="Email"/>
    <s v="High"/>
    <s v="Login"/>
    <n v="17"/>
    <n v="822"/>
    <s v="closed"/>
    <n v="3"/>
    <d v="2025-12-06T00:00:00"/>
    <n v="13.7"/>
    <n v="0.28333333333333333"/>
    <s v="Within SLA"/>
    <s v="Neutral"/>
    <s v="Resolved"/>
    <s v="Dec-2025"/>
    <x v="6"/>
  </r>
  <r>
    <s v="TCK-000437"/>
    <s v="2025-12-07T03:21:36Z"/>
    <n v="1716"/>
    <s v="Email"/>
    <s v="High"/>
    <s v="Data import"/>
    <n v="19"/>
    <n v="153"/>
    <s v="closed"/>
    <n v="1"/>
    <d v="2025-12-07T00:00:00"/>
    <n v="2.5499999999999998"/>
    <n v="0.31666666666666665"/>
    <s v="Within SLA"/>
    <s v="Dissatisfied"/>
    <s v="Resolved"/>
    <s v="Dec-2025"/>
    <x v="6"/>
  </r>
  <r>
    <s v="TCK-000438"/>
    <s v="2025-12-07T12:07:12Z"/>
    <n v="1308"/>
    <s v="Phone"/>
    <s v="Normal"/>
    <s v="Account"/>
    <n v="53"/>
    <n v="2233"/>
    <s v="closed"/>
    <n v="1"/>
    <d v="2025-12-07T00:00:00"/>
    <n v="37.216666666666669"/>
    <n v="0.8833333333333333"/>
    <s v="Within SLA"/>
    <s v="Dissatisfied"/>
    <s v="Resolved"/>
    <s v="Dec-2025"/>
    <x v="6"/>
  </r>
  <r>
    <s v="TCK-000439"/>
    <s v="2025-12-07T20:52:48Z"/>
    <n v="1425"/>
    <s v="Social"/>
    <s v="Normal"/>
    <s v="Account"/>
    <n v="137"/>
    <n v="2335"/>
    <s v="closed"/>
    <n v="1"/>
    <d v="2025-12-07T00:00:00"/>
    <n v="38.916666666666664"/>
    <n v="2.2833333333333332"/>
    <s v="Within SLA"/>
    <s v="Dissatisfied"/>
    <s v="Resolved"/>
    <s v="Dec-2025"/>
    <x v="6"/>
  </r>
  <r>
    <s v="TCK-000440"/>
    <s v="2025-12-08T05:38:24Z"/>
    <n v="1260"/>
    <s v="Email"/>
    <s v="Low"/>
    <s v="Data import"/>
    <n v="353"/>
    <n v="1501"/>
    <s v="closed"/>
    <m/>
    <d v="2025-12-08T00:00:00"/>
    <n v="25.016666666666666"/>
    <n v="5.8833333333333337"/>
    <s v="Within SLA"/>
    <s v="No Rating"/>
    <s v="Resolved"/>
    <s v="Dec-2025"/>
    <x v="6"/>
  </r>
  <r>
    <s v="TCK-000441"/>
    <s v="2025-12-08T14:24:00Z"/>
    <n v="1321"/>
    <s v="Phone"/>
    <s v="Low"/>
    <s v="Login"/>
    <n v="181"/>
    <m/>
    <s v="open"/>
    <m/>
    <d v="2025-12-08T00:00:00"/>
    <s v=""/>
    <n v="3.0166666666666666"/>
    <s v="Open"/>
    <s v="No Rating"/>
    <s v="Unresolved"/>
    <s v="Dec-2025"/>
    <x v="6"/>
  </r>
  <r>
    <s v="TCK-000442"/>
    <s v="2025-12-08T23:09:36Z"/>
    <n v="1759"/>
    <s v="Email"/>
    <s v="High"/>
    <s v="Integration"/>
    <n v="35"/>
    <n v="844"/>
    <s v="closed"/>
    <n v="5"/>
    <d v="2025-12-08T00:00:00"/>
    <n v="14.066666666666666"/>
    <n v="0.58333333333333337"/>
    <s v="Within SLA"/>
    <s v="Satisfied"/>
    <s v="Resolved"/>
    <s v="Dec-2025"/>
    <x v="6"/>
  </r>
  <r>
    <s v="TCK-000443"/>
    <s v="2025-12-09T07:55:12Z"/>
    <n v="1480"/>
    <s v="Phone"/>
    <s v="High"/>
    <s v="Login"/>
    <n v="17"/>
    <n v="192"/>
    <s v="closed"/>
    <n v="2"/>
    <d v="2025-12-09T00:00:00"/>
    <n v="3.2"/>
    <n v="0.28333333333333333"/>
    <s v="Within SLA"/>
    <s v="Dissatisfied"/>
    <s v="Resolved"/>
    <s v="Dec-2025"/>
    <x v="6"/>
  </r>
  <r>
    <s v="TCK-000444"/>
    <s v="2025-12-09T16:40:48Z"/>
    <n v="1094"/>
    <s v="Social"/>
    <s v="Low"/>
    <s v="Account"/>
    <n v="204"/>
    <n v="3054"/>
    <s v="resolved"/>
    <m/>
    <d v="2025-12-09T00:00:00"/>
    <n v="50.9"/>
    <n v="3.4"/>
    <s v="Within SLA"/>
    <s v="No Rating"/>
    <s v="Resolved"/>
    <s v="Dec-2025"/>
    <x v="6"/>
  </r>
  <r>
    <s v="TCK-000445"/>
    <s v="2025-12-10T01:26:24Z"/>
    <n v="1202"/>
    <s v="Social"/>
    <s v="High"/>
    <s v="Data import"/>
    <n v="31"/>
    <n v="997"/>
    <s v="closed"/>
    <m/>
    <d v="2025-12-10T00:00:00"/>
    <n v="16.616666666666667"/>
    <n v="0.51666666666666672"/>
    <s v="Within SLA"/>
    <s v="No Rating"/>
    <s v="Resolved"/>
    <s v="Dec-2025"/>
    <x v="6"/>
  </r>
  <r>
    <s v="TCK-000446"/>
    <s v="2025-12-10T10:12:00Z"/>
    <n v="1686"/>
    <s v="Social"/>
    <s v="Normal"/>
    <s v="Data import"/>
    <n v="99"/>
    <n v="2314"/>
    <s v="closed"/>
    <m/>
    <d v="2025-12-10T00:00:00"/>
    <n v="38.56666666666667"/>
    <n v="1.65"/>
    <s v="Within SLA"/>
    <s v="No Rating"/>
    <s v="Resolved"/>
    <s v="Dec-2025"/>
    <x v="6"/>
  </r>
  <r>
    <s v="TCK-000447"/>
    <s v="2025-12-10T18:57:36Z"/>
    <n v="1279"/>
    <s v="Phone"/>
    <s v="Urgent"/>
    <s v="Bug report"/>
    <n v="6"/>
    <n v="244"/>
    <s v="closed"/>
    <m/>
    <d v="2025-12-10T00:00:00"/>
    <n v="4.0666666666666664"/>
    <n v="0.1"/>
    <s v="Within SLA"/>
    <s v="No Rating"/>
    <s v="Resolved"/>
    <s v="Dec-2025"/>
    <x v="6"/>
  </r>
  <r>
    <s v="TCK-000448"/>
    <s v="2025-12-11T03:43:12Z"/>
    <n v="1098"/>
    <s v="Social"/>
    <s v="Normal"/>
    <s v="Export"/>
    <n v="55"/>
    <n v="1009"/>
    <s v="resolved"/>
    <n v="2"/>
    <d v="2025-12-11T00:00:00"/>
    <n v="16.816666666666666"/>
    <n v="0.91666666666666663"/>
    <s v="Within SLA"/>
    <s v="Dissatisfied"/>
    <s v="Resolved"/>
    <s v="Dec-2025"/>
    <x v="6"/>
  </r>
  <r>
    <s v="TCK-000449"/>
    <s v="2025-12-11T12:28:48Z"/>
    <n v="1315"/>
    <s v="Chat"/>
    <s v="Normal"/>
    <s v="Integration"/>
    <n v="93"/>
    <n v="995"/>
    <s v="closed"/>
    <m/>
    <d v="2025-12-11T00:00:00"/>
    <n v="16.583333333333332"/>
    <n v="1.55"/>
    <s v="Within SLA"/>
    <s v="No Rating"/>
    <s v="Resolved"/>
    <s v="Dec-2025"/>
    <x v="6"/>
  </r>
  <r>
    <s v="TCK-000450"/>
    <s v="2025-12-11T21:14:24Z"/>
    <n v="1330"/>
    <s v="Email"/>
    <s v="Normal"/>
    <s v="Feature request"/>
    <n v="110"/>
    <n v="3300"/>
    <s v="closed"/>
    <m/>
    <d v="2025-12-11T00:00:00"/>
    <n v="55"/>
    <n v="1.8333333333333333"/>
    <s v="Breached"/>
    <s v="No Rating"/>
    <s v="Resolved"/>
    <s v="Dec-2025"/>
    <x v="6"/>
  </r>
  <r>
    <s v="TCK-000451"/>
    <s v="2025-12-12T06:00:00Z"/>
    <n v="1961"/>
    <s v="Chat"/>
    <s v="Urgent"/>
    <s v="Performance"/>
    <n v="3"/>
    <n v="242"/>
    <s v="closed"/>
    <m/>
    <d v="2025-12-12T00:00:00"/>
    <n v="4.0333333333333332"/>
    <n v="0.05"/>
    <s v="Within SLA"/>
    <s v="No Rating"/>
    <s v="Resolved"/>
    <s v="Dec-2025"/>
    <x v="6"/>
  </r>
  <r>
    <s v="TCK-000452"/>
    <s v="2025-12-12T14:45:36Z"/>
    <n v="1768"/>
    <s v="Web form"/>
    <s v="Low"/>
    <s v="Export"/>
    <n v="302"/>
    <n v="3193"/>
    <s v="closed"/>
    <n v="2"/>
    <d v="2025-12-12T00:00:00"/>
    <n v="53.216666666666669"/>
    <n v="5.0333333333333332"/>
    <s v="Within SLA"/>
    <s v="Dissatisfied"/>
    <s v="Resolved"/>
    <s v="Dec-2025"/>
    <x v="6"/>
  </r>
  <r>
    <s v="TCK-000453"/>
    <s v="2025-12-12T23:31:12Z"/>
    <n v="1960"/>
    <s v="Chat"/>
    <s v="Normal"/>
    <s v="Login"/>
    <n v="157"/>
    <n v="3608"/>
    <s v="closed"/>
    <n v="4"/>
    <d v="2025-12-12T00:00:00"/>
    <n v="60.133333333333333"/>
    <n v="2.6166666666666667"/>
    <s v="Breached"/>
    <s v="Satisfied"/>
    <s v="Resolved"/>
    <s v="Dec-2025"/>
    <x v="6"/>
  </r>
  <r>
    <s v="TCK-000454"/>
    <s v="2025-12-13T08:16:48Z"/>
    <n v="1428"/>
    <s v="Social"/>
    <s v="Urgent"/>
    <s v="Performance"/>
    <n v="5"/>
    <n v="404"/>
    <s v="closed"/>
    <n v="2"/>
    <d v="2025-12-13T00:00:00"/>
    <n v="6.7333333333333334"/>
    <n v="8.3333333333333329E-2"/>
    <s v="Within SLA"/>
    <s v="Dissatisfied"/>
    <s v="Resolved"/>
    <s v="Dec-2025"/>
    <x v="6"/>
  </r>
  <r>
    <s v="TCK-000455"/>
    <s v="2025-12-13T17:02:24Z"/>
    <n v="1222"/>
    <s v="Email"/>
    <s v="High"/>
    <s v="Performance"/>
    <n v="21"/>
    <n v="772"/>
    <s v="closed"/>
    <n v="1"/>
    <d v="2025-12-13T00:00:00"/>
    <n v="12.866666666666667"/>
    <n v="0.35"/>
    <s v="Within SLA"/>
    <s v="Dissatisfied"/>
    <s v="Resolved"/>
    <s v="Dec-2025"/>
    <x v="6"/>
  </r>
  <r>
    <s v="TCK-000456"/>
    <s v="2025-12-14T01:48:00Z"/>
    <n v="1705"/>
    <s v="Web form"/>
    <s v="Normal"/>
    <s v="Login"/>
    <n v="55"/>
    <m/>
    <s v="open"/>
    <m/>
    <d v="2025-12-14T00:00:00"/>
    <s v=""/>
    <n v="0.91666666666666663"/>
    <s v="Open"/>
    <s v="No Rating"/>
    <s v="Unresolved"/>
    <s v="Dec-2025"/>
    <x v="6"/>
  </r>
  <r>
    <s v="TCK-000457"/>
    <s v="2025-12-14T10:33:36Z"/>
    <n v="1844"/>
    <s v="Web form"/>
    <s v="High"/>
    <s v="Feature request"/>
    <n v="18"/>
    <n v="1125"/>
    <s v="closed"/>
    <n v="3"/>
    <d v="2025-12-14T00:00:00"/>
    <n v="18.75"/>
    <n v="0.3"/>
    <s v="Within SLA"/>
    <s v="Neutral"/>
    <s v="Resolved"/>
    <s v="Dec-2025"/>
    <x v="6"/>
  </r>
  <r>
    <s v="TCK-000458"/>
    <s v="2025-12-14T19:19:12Z"/>
    <n v="1167"/>
    <s v="Email"/>
    <s v="Low"/>
    <s v="Bug report"/>
    <n v="464"/>
    <n v="1544"/>
    <s v="closed"/>
    <m/>
    <d v="2025-12-14T00:00:00"/>
    <n v="25.733333333333334"/>
    <n v="7.7333333333333334"/>
    <s v="Within SLA"/>
    <s v="No Rating"/>
    <s v="Resolved"/>
    <s v="Dec-2025"/>
    <x v="6"/>
  </r>
  <r>
    <s v="TCK-000459"/>
    <s v="2025-12-15T04:04:48Z"/>
    <n v="1059"/>
    <s v="Chat"/>
    <s v="Normal"/>
    <s v="Performance"/>
    <n v="33"/>
    <n v="2716"/>
    <s v="closed"/>
    <n v="5"/>
    <d v="2025-12-15T00:00:00"/>
    <n v="45.266666666666666"/>
    <n v="0.55000000000000004"/>
    <s v="Within SLA"/>
    <s v="Satisfied"/>
    <s v="Resolved"/>
    <s v="Dec-2025"/>
    <x v="6"/>
  </r>
  <r>
    <s v="TCK-000460"/>
    <s v="2025-12-15T12:50:24Z"/>
    <n v="1607"/>
    <s v="Web form"/>
    <s v="Urgent"/>
    <s v="Login"/>
    <n v="9"/>
    <m/>
    <s v="pending"/>
    <m/>
    <d v="2025-12-15T00:00:00"/>
    <s v=""/>
    <n v="0.15"/>
    <s v="Open"/>
    <s v="No Rating"/>
    <s v="Unresolved"/>
    <s v="Dec-2025"/>
    <x v="6"/>
  </r>
  <r>
    <s v="TCK-000461"/>
    <s v="2025-12-15T21:36:00Z"/>
    <n v="1914"/>
    <s v="Social"/>
    <s v="Normal"/>
    <s v="Export"/>
    <n v="78"/>
    <n v="3649"/>
    <s v="closed"/>
    <m/>
    <d v="2025-12-15T00:00:00"/>
    <n v="60.81666666666667"/>
    <n v="1.3"/>
    <s v="Breached"/>
    <s v="No Rating"/>
    <s v="Resolved"/>
    <s v="Dec-2025"/>
    <x v="6"/>
  </r>
  <r>
    <s v="TCK-000462"/>
    <s v="2025-12-16T06:21:36Z"/>
    <n v="1472"/>
    <s v="Phone"/>
    <s v="Urgent"/>
    <s v="Data import"/>
    <n v="6"/>
    <m/>
    <s v="pending"/>
    <m/>
    <d v="2025-12-16T00:00:00"/>
    <s v=""/>
    <n v="0.1"/>
    <s v="Open"/>
    <s v="No Rating"/>
    <s v="Unresolved"/>
    <s v="Dec-2025"/>
    <x v="6"/>
  </r>
  <r>
    <s v="TCK-000463"/>
    <s v="2025-12-16T15:07:12Z"/>
    <n v="1144"/>
    <s v="Email"/>
    <s v="High"/>
    <s v="Billing"/>
    <n v="28"/>
    <n v="225"/>
    <s v="closed"/>
    <n v="2"/>
    <d v="2025-12-16T00:00:00"/>
    <n v="3.75"/>
    <n v="0.46666666666666667"/>
    <s v="Within SLA"/>
    <s v="Dissatisfied"/>
    <s v="Resolved"/>
    <s v="Dec-2025"/>
    <x v="6"/>
  </r>
  <r>
    <s v="TCK-000464"/>
    <s v="2025-12-16T23:52:48Z"/>
    <n v="1226"/>
    <s v="Email"/>
    <s v="Normal"/>
    <s v="Integration"/>
    <n v="95"/>
    <n v="3085"/>
    <s v="resolved"/>
    <m/>
    <d v="2025-12-16T00:00:00"/>
    <n v="51.416666666666664"/>
    <n v="1.5833333333333333"/>
    <s v="Breached"/>
    <s v="No Rating"/>
    <s v="Resolved"/>
    <s v="Dec-2025"/>
    <x v="6"/>
  </r>
  <r>
    <s v="TCK-000465"/>
    <s v="2025-12-17T08:38:24Z"/>
    <n v="1966"/>
    <s v="Email"/>
    <s v="Normal"/>
    <s v="Feature request"/>
    <n v="101"/>
    <n v="894"/>
    <s v="closed"/>
    <n v="5"/>
    <d v="2025-12-17T00:00:00"/>
    <n v="14.9"/>
    <n v="1.6833333333333333"/>
    <s v="Within SLA"/>
    <s v="Satisfied"/>
    <s v="Resolved"/>
    <s v="Dec-2025"/>
    <x v="6"/>
  </r>
  <r>
    <s v="TCK-000466"/>
    <s v="2025-12-17T17:24:00Z"/>
    <n v="1188"/>
    <s v="Chat"/>
    <s v="Low"/>
    <s v="Billing"/>
    <n v="438"/>
    <n v="4865"/>
    <s v="closed"/>
    <n v="1"/>
    <d v="2025-12-17T00:00:00"/>
    <n v="81.083333333333329"/>
    <n v="7.3"/>
    <s v="Breached"/>
    <s v="Dissatisfied"/>
    <s v="Resolved"/>
    <s v="Dec-2025"/>
    <x v="6"/>
  </r>
  <r>
    <s v="TCK-000467"/>
    <s v="2025-12-18T02:09:36Z"/>
    <n v="1085"/>
    <s v="Web form"/>
    <s v="High"/>
    <s v="Data import"/>
    <n v="13"/>
    <n v="202"/>
    <s v="closed"/>
    <m/>
    <d v="2025-12-18T00:00:00"/>
    <n v="3.3666666666666667"/>
    <n v="0.21666666666666667"/>
    <s v="Within SLA"/>
    <s v="No Rating"/>
    <s v="Resolved"/>
    <s v="Dec-2025"/>
    <x v="6"/>
  </r>
  <r>
    <s v="TCK-000468"/>
    <s v="2025-12-18T10:55:12Z"/>
    <n v="1234"/>
    <s v="Social"/>
    <s v="High"/>
    <s v="Data import"/>
    <n v="27"/>
    <n v="681"/>
    <s v="closed"/>
    <n v="2"/>
    <d v="2025-12-18T00:00:00"/>
    <n v="11.35"/>
    <n v="0.45"/>
    <s v="Within SLA"/>
    <s v="Dissatisfied"/>
    <s v="Resolved"/>
    <s v="Dec-2025"/>
    <x v="6"/>
  </r>
  <r>
    <s v="TCK-000469"/>
    <s v="2025-12-18T19:40:48Z"/>
    <n v="1883"/>
    <s v="Chat"/>
    <s v="Low"/>
    <s v="Login"/>
    <n v="444"/>
    <n v="2739"/>
    <s v="resolved"/>
    <n v="2"/>
    <d v="2025-12-18T00:00:00"/>
    <n v="45.65"/>
    <n v="7.4"/>
    <s v="Within SLA"/>
    <s v="Dissatisfied"/>
    <s v="Resolved"/>
    <s v="Dec-2025"/>
    <x v="6"/>
  </r>
  <r>
    <s v="TCK-000470"/>
    <s v="2025-12-19T04:26:24Z"/>
    <n v="1554"/>
    <s v="Social"/>
    <s v="Normal"/>
    <s v="Feature request"/>
    <n v="179"/>
    <n v="695"/>
    <s v="closed"/>
    <n v="3"/>
    <d v="2025-12-19T00:00:00"/>
    <n v="11.583333333333334"/>
    <n v="2.9833333333333334"/>
    <s v="Within SLA"/>
    <s v="Neutral"/>
    <s v="Resolved"/>
    <s v="Dec-2025"/>
    <x v="6"/>
  </r>
  <r>
    <s v="TCK-000471"/>
    <s v="2025-12-19T13:12:00Z"/>
    <n v="1316"/>
    <s v="Web form"/>
    <s v="Normal"/>
    <s v="Integration"/>
    <n v="127"/>
    <n v="2128"/>
    <s v="closed"/>
    <m/>
    <d v="2025-12-19T00:00:00"/>
    <n v="35.466666666666669"/>
    <n v="2.1166666666666667"/>
    <s v="Within SLA"/>
    <s v="No Rating"/>
    <s v="Resolved"/>
    <s v="Dec-2025"/>
    <x v="6"/>
  </r>
  <r>
    <s v="TCK-000472"/>
    <s v="2025-12-19T21:57:36Z"/>
    <n v="1422"/>
    <s v="Web form"/>
    <s v="Urgent"/>
    <s v="Feature request"/>
    <n v="3"/>
    <n v="208"/>
    <s v="closed"/>
    <m/>
    <d v="2025-12-19T00:00:00"/>
    <n v="3.4666666666666668"/>
    <n v="0.05"/>
    <s v="Within SLA"/>
    <s v="No Rating"/>
    <s v="Resolved"/>
    <s v="Dec-2025"/>
    <x v="6"/>
  </r>
  <r>
    <s v="TCK-000473"/>
    <s v="2025-12-20T06:43:12Z"/>
    <n v="1601"/>
    <s v="Web form"/>
    <s v="Normal"/>
    <s v="Data import"/>
    <n v="138"/>
    <n v="2949"/>
    <s v="closed"/>
    <n v="5"/>
    <d v="2025-12-20T00:00:00"/>
    <n v="49.15"/>
    <n v="2.2999999999999998"/>
    <s v="Breached"/>
    <s v="Satisfied"/>
    <s v="Resolved"/>
    <s v="Dec-2025"/>
    <x v="6"/>
  </r>
  <r>
    <s v="TCK-000474"/>
    <s v="2025-12-20T15:28:48Z"/>
    <n v="1596"/>
    <s v="Phone"/>
    <s v="Low"/>
    <s v="Bug report"/>
    <n v="223"/>
    <n v="3884"/>
    <s v="closed"/>
    <n v="5"/>
    <d v="2025-12-20T00:00:00"/>
    <n v="64.733333333333334"/>
    <n v="3.7166666666666668"/>
    <s v="Within SLA"/>
    <s v="Satisfied"/>
    <s v="Resolved"/>
    <s v="Dec-2025"/>
    <x v="6"/>
  </r>
  <r>
    <s v="TCK-000475"/>
    <s v="2025-12-21T00:14:24Z"/>
    <n v="1830"/>
    <s v="Chat"/>
    <s v="Urgent"/>
    <s v="Account"/>
    <n v="9"/>
    <n v="278"/>
    <s v="closed"/>
    <n v="4"/>
    <d v="2025-12-21T00:00:00"/>
    <n v="4.6333333333333337"/>
    <n v="0.15"/>
    <s v="Within SLA"/>
    <s v="Satisfied"/>
    <s v="Resolved"/>
    <s v="Dec-2025"/>
    <x v="6"/>
  </r>
  <r>
    <s v="TCK-000476"/>
    <s v="2025-12-21T09:00:00Z"/>
    <n v="1811"/>
    <s v="Social"/>
    <s v="Normal"/>
    <s v="Account"/>
    <n v="116"/>
    <n v="1236"/>
    <s v="closed"/>
    <n v="3"/>
    <d v="2025-12-21T00:00:00"/>
    <n v="20.6"/>
    <n v="1.9333333333333333"/>
    <s v="Within SLA"/>
    <s v="Neutral"/>
    <s v="Resolved"/>
    <s v="Dec-2025"/>
    <x v="6"/>
  </r>
  <r>
    <s v="TCK-000477"/>
    <s v="2025-12-21T17:45:36Z"/>
    <n v="1464"/>
    <s v="Chat"/>
    <s v="Urgent"/>
    <s v="Feature request"/>
    <n v="3"/>
    <n v="256"/>
    <s v="resolved"/>
    <n v="1"/>
    <d v="2025-12-21T00:00:00"/>
    <n v="4.2666666666666666"/>
    <n v="0.05"/>
    <s v="Within SLA"/>
    <s v="Dissatisfied"/>
    <s v="Resolved"/>
    <s v="Dec-2025"/>
    <x v="6"/>
  </r>
  <r>
    <s v="TCK-000478"/>
    <s v="2025-12-22T02:31:12Z"/>
    <n v="1142"/>
    <s v="Web form"/>
    <s v="Normal"/>
    <s v="Export"/>
    <n v="155"/>
    <n v="2000"/>
    <s v="closed"/>
    <m/>
    <d v="2025-12-22T00:00:00"/>
    <n v="33.333333333333336"/>
    <n v="2.5833333333333335"/>
    <s v="Within SLA"/>
    <s v="No Rating"/>
    <s v="Resolved"/>
    <s v="Dec-2025"/>
    <x v="6"/>
  </r>
  <r>
    <s v="TCK-000479"/>
    <s v="2025-12-22T11:16:48Z"/>
    <n v="1388"/>
    <s v="Email"/>
    <s v="Low"/>
    <s v="Feature request"/>
    <n v="429"/>
    <n v="5382"/>
    <s v="closed"/>
    <m/>
    <d v="2025-12-22T00:00:00"/>
    <n v="89.7"/>
    <n v="7.15"/>
    <s v="Breached"/>
    <s v="No Rating"/>
    <s v="Resolved"/>
    <s v="Dec-2025"/>
    <x v="6"/>
  </r>
  <r>
    <s v="TCK-000480"/>
    <s v="2025-12-22T20:02:24Z"/>
    <n v="1011"/>
    <s v="Social"/>
    <s v="Urgent"/>
    <s v="Data import"/>
    <n v="3"/>
    <n v="399"/>
    <s v="resolved"/>
    <n v="4"/>
    <d v="2025-12-22T00:00:00"/>
    <n v="6.65"/>
    <n v="0.05"/>
    <s v="Within SLA"/>
    <s v="Satisfied"/>
    <s v="Resolved"/>
    <s v="Dec-2025"/>
    <x v="6"/>
  </r>
  <r>
    <s v="TCK-000481"/>
    <s v="2025-12-23T04:48:00Z"/>
    <n v="1195"/>
    <s v="Social"/>
    <s v="High"/>
    <s v="Feature request"/>
    <n v="33"/>
    <n v="461"/>
    <s v="closed"/>
    <m/>
    <d v="2025-12-23T00:00:00"/>
    <n v="7.6833333333333336"/>
    <n v="0.55000000000000004"/>
    <s v="Within SLA"/>
    <s v="No Rating"/>
    <s v="Resolved"/>
    <s v="Dec-2025"/>
    <x v="6"/>
  </r>
  <r>
    <s v="TCK-000482"/>
    <s v="2025-12-23T13:33:36Z"/>
    <n v="1163"/>
    <s v="Social"/>
    <s v="Urgent"/>
    <s v="Account"/>
    <n v="7"/>
    <n v="405"/>
    <s v="resolved"/>
    <n v="5"/>
    <d v="2025-12-23T00:00:00"/>
    <n v="6.75"/>
    <n v="0.11666666666666667"/>
    <s v="Within SLA"/>
    <s v="Satisfied"/>
    <s v="Resolved"/>
    <s v="Dec-2025"/>
    <x v="6"/>
  </r>
  <r>
    <s v="TCK-000483"/>
    <s v="2025-12-23T22:19:12Z"/>
    <n v="1966"/>
    <s v="Chat"/>
    <s v="Normal"/>
    <s v="Billing"/>
    <n v="174"/>
    <n v="919"/>
    <s v="closed"/>
    <n v="3"/>
    <d v="2025-12-23T00:00:00"/>
    <n v="15.316666666666666"/>
    <n v="2.9"/>
    <s v="Within SLA"/>
    <s v="Neutral"/>
    <s v="Resolved"/>
    <s v="Dec-2025"/>
    <x v="6"/>
  </r>
  <r>
    <s v="TCK-000484"/>
    <s v="2025-12-24T07:04:48Z"/>
    <n v="1443"/>
    <s v="Email"/>
    <s v="Normal"/>
    <s v="Login"/>
    <n v="131"/>
    <n v="2313"/>
    <s v="closed"/>
    <n v="2"/>
    <d v="2025-12-24T00:00:00"/>
    <n v="38.549999999999997"/>
    <n v="2.1833333333333331"/>
    <s v="Within SLA"/>
    <s v="Dissatisfied"/>
    <s v="Resolved"/>
    <s v="Dec-2025"/>
    <x v="6"/>
  </r>
  <r>
    <s v="TCK-000485"/>
    <s v="2025-12-24T15:50:24Z"/>
    <n v="1864"/>
    <s v="Web form"/>
    <s v="High"/>
    <s v="Feature request"/>
    <n v="50"/>
    <m/>
    <s v="pending"/>
    <m/>
    <d v="2025-12-24T00:00:00"/>
    <s v=""/>
    <n v="0.83333333333333337"/>
    <s v="Open"/>
    <s v="No Rating"/>
    <s v="Unresolved"/>
    <s v="Dec-2025"/>
    <x v="6"/>
  </r>
  <r>
    <s v="TCK-000486"/>
    <s v="2025-12-25T00:36:00Z"/>
    <n v="1959"/>
    <s v="Chat"/>
    <s v="Urgent"/>
    <s v="Data import"/>
    <n v="4"/>
    <n v="154"/>
    <s v="closed"/>
    <m/>
    <d v="2025-12-25T00:00:00"/>
    <n v="2.5666666666666669"/>
    <n v="6.6666666666666666E-2"/>
    <s v="Within SLA"/>
    <s v="No Rating"/>
    <s v="Resolved"/>
    <s v="Dec-2025"/>
    <x v="6"/>
  </r>
  <r>
    <s v="TCK-000487"/>
    <s v="2025-12-25T09:21:36Z"/>
    <n v="1704"/>
    <s v="Web form"/>
    <s v="Urgent"/>
    <s v="Integration"/>
    <n v="12"/>
    <n v="141"/>
    <s v="closed"/>
    <n v="3"/>
    <d v="2025-12-25T00:00:00"/>
    <n v="2.35"/>
    <n v="0.2"/>
    <s v="Within SLA"/>
    <s v="Neutral"/>
    <s v="Resolved"/>
    <s v="Dec-2025"/>
    <x v="6"/>
  </r>
  <r>
    <s v="TCK-000488"/>
    <s v="2025-12-25T18:07:12Z"/>
    <n v="1601"/>
    <s v="Chat"/>
    <s v="Urgent"/>
    <s v="Export"/>
    <n v="7"/>
    <n v="349"/>
    <s v="resolved"/>
    <m/>
    <d v="2025-12-25T00:00:00"/>
    <n v="5.8166666666666664"/>
    <n v="0.11666666666666667"/>
    <s v="Within SLA"/>
    <s v="No Rating"/>
    <s v="Resolved"/>
    <s v="Dec-2025"/>
    <x v="6"/>
  </r>
  <r>
    <s v="TCK-000489"/>
    <s v="2025-12-26T02:52:48Z"/>
    <n v="1868"/>
    <s v="Web form"/>
    <s v="Normal"/>
    <s v="Export"/>
    <n v="96"/>
    <n v="1007"/>
    <s v="closed"/>
    <n v="5"/>
    <d v="2025-12-26T00:00:00"/>
    <n v="16.783333333333335"/>
    <n v="1.6"/>
    <s v="Within SLA"/>
    <s v="Satisfied"/>
    <s v="Resolved"/>
    <s v="Dec-2025"/>
    <x v="6"/>
  </r>
  <r>
    <s v="TCK-000490"/>
    <s v="2025-12-26T11:38:24Z"/>
    <n v="1949"/>
    <s v="Web form"/>
    <s v="High"/>
    <s v="Integration"/>
    <n v="32"/>
    <m/>
    <s v="pending"/>
    <m/>
    <d v="2025-12-26T00:00:00"/>
    <s v=""/>
    <n v="0.53333333333333333"/>
    <s v="Open"/>
    <s v="No Rating"/>
    <s v="Unresolved"/>
    <s v="Dec-2025"/>
    <x v="6"/>
  </r>
  <r>
    <s v="TCK-000491"/>
    <s v="2025-12-26T20:24:00Z"/>
    <n v="1247"/>
    <s v="Phone"/>
    <s v="Normal"/>
    <s v="Login"/>
    <n v="77"/>
    <n v="665"/>
    <s v="closed"/>
    <n v="5"/>
    <d v="2025-12-26T00:00:00"/>
    <n v="11.083333333333334"/>
    <n v="1.2833333333333334"/>
    <s v="Within SLA"/>
    <s v="Satisfied"/>
    <s v="Resolved"/>
    <s v="Dec-2025"/>
    <x v="6"/>
  </r>
  <r>
    <s v="TCK-000492"/>
    <s v="2025-12-27T05:09:36Z"/>
    <n v="1394"/>
    <s v="Phone"/>
    <s v="Normal"/>
    <s v="Performance"/>
    <n v="40"/>
    <m/>
    <s v="pending"/>
    <m/>
    <d v="2025-12-27T00:00:00"/>
    <s v=""/>
    <n v="0.66666666666666663"/>
    <s v="Open"/>
    <s v="No Rating"/>
    <s v="Unresolved"/>
    <s v="Dec-2025"/>
    <x v="6"/>
  </r>
  <r>
    <s v="TCK-000493"/>
    <s v="2025-12-27T13:55:12Z"/>
    <n v="1658"/>
    <s v="Email"/>
    <s v="Urgent"/>
    <s v="Data import"/>
    <n v="3"/>
    <n v="57"/>
    <s v="closed"/>
    <n v="2"/>
    <d v="2025-12-27T00:00:00"/>
    <n v="0.95"/>
    <n v="0.05"/>
    <s v="Within SLA"/>
    <s v="Dissatisfied"/>
    <s v="Resolved"/>
    <s v="Dec-2025"/>
    <x v="6"/>
  </r>
  <r>
    <s v="TCK-000494"/>
    <s v="2025-12-27T22:40:48Z"/>
    <n v="1283"/>
    <s v="Chat"/>
    <s v="Urgent"/>
    <s v="Bug report"/>
    <n v="12"/>
    <n v="198"/>
    <s v="closed"/>
    <m/>
    <d v="2025-12-27T00:00:00"/>
    <n v="3.3"/>
    <n v="0.2"/>
    <s v="Within SLA"/>
    <s v="No Rating"/>
    <s v="Resolved"/>
    <s v="Dec-2025"/>
    <x v="6"/>
  </r>
  <r>
    <s v="TCK-000495"/>
    <s v="2025-12-28T07:26:24Z"/>
    <n v="1259"/>
    <s v="Phone"/>
    <s v="Low"/>
    <s v="Data import"/>
    <n v="302"/>
    <n v="5627"/>
    <s v="closed"/>
    <n v="3"/>
    <d v="2025-12-28T00:00:00"/>
    <n v="93.783333333333331"/>
    <n v="5.0333333333333332"/>
    <s v="Breached"/>
    <s v="Neutral"/>
    <s v="Resolved"/>
    <s v="Dec-2025"/>
    <x v="6"/>
  </r>
  <r>
    <s v="TCK-000496"/>
    <s v="2025-12-28T16:12:00Z"/>
    <n v="1258"/>
    <s v="Social"/>
    <s v="Low"/>
    <s v="Bug report"/>
    <n v="456"/>
    <n v="6595"/>
    <s v="closed"/>
    <m/>
    <d v="2025-12-28T00:00:00"/>
    <n v="109.91666666666667"/>
    <n v="7.6"/>
    <s v="Breached"/>
    <s v="No Rating"/>
    <s v="Resolved"/>
    <s v="Dec-2025"/>
    <x v="6"/>
  </r>
  <r>
    <s v="TCK-000497"/>
    <s v="2025-12-29T00:57:36Z"/>
    <n v="1267"/>
    <s v="Email"/>
    <s v="Normal"/>
    <s v="Bug report"/>
    <n v="144"/>
    <n v="510"/>
    <s v="closed"/>
    <n v="2"/>
    <d v="2025-12-29T00:00:00"/>
    <n v="8.5"/>
    <n v="2.4"/>
    <s v="Within SLA"/>
    <s v="Dissatisfied"/>
    <s v="Resolved"/>
    <s v="Dec-2025"/>
    <x v="6"/>
  </r>
  <r>
    <s v="TCK-000498"/>
    <s v="2025-12-29T09:43:12Z"/>
    <n v="1644"/>
    <s v="Web form"/>
    <s v="Urgent"/>
    <s v="Account"/>
    <n v="3"/>
    <m/>
    <s v="open"/>
    <m/>
    <d v="2025-12-29T00:00:00"/>
    <s v=""/>
    <n v="0.05"/>
    <s v="Open"/>
    <s v="No Rating"/>
    <s v="Unresolved"/>
    <s v="Dec-2025"/>
    <x v="6"/>
  </r>
  <r>
    <s v="TCK-000499"/>
    <s v="2025-12-29T18:28:48Z"/>
    <n v="1893"/>
    <s v="Chat"/>
    <s v="Normal"/>
    <s v="Bug report"/>
    <n v="109"/>
    <n v="1179"/>
    <s v="closed"/>
    <n v="5"/>
    <d v="2025-12-29T00:00:00"/>
    <n v="19.649999999999999"/>
    <n v="1.8166666666666667"/>
    <s v="Within SLA"/>
    <s v="Satisfied"/>
    <s v="Resolved"/>
    <s v="Dec-2025"/>
    <x v="6"/>
  </r>
  <r>
    <s v="TCK-000500"/>
    <s v="2025-12-30T03:14:24Z"/>
    <n v="1044"/>
    <s v="Email"/>
    <s v="Normal"/>
    <s v="Bug report"/>
    <n v="93"/>
    <n v="1017"/>
    <s v="resolved"/>
    <m/>
    <d v="2025-12-30T00:00:00"/>
    <n v="16.95"/>
    <n v="1.55"/>
    <s v="Within SLA"/>
    <s v="No Rating"/>
    <s v="Resolved"/>
    <s v="Dec-2025"/>
    <x v="6"/>
  </r>
  <r>
    <s v="TCK-000501"/>
    <s v="2025-12-30T12:00:00Z"/>
    <n v="1453"/>
    <s v="Web form"/>
    <s v="High"/>
    <s v="Integration"/>
    <n v="32"/>
    <n v="1247"/>
    <s v="closed"/>
    <n v="1"/>
    <d v="2025-12-30T00:00:00"/>
    <n v="20.783333333333335"/>
    <n v="0.53333333333333333"/>
    <s v="Within SLA"/>
    <s v="Dissatisfied"/>
    <s v="Resolved"/>
    <s v="Dec-2025"/>
    <x v="6"/>
  </r>
  <r>
    <s v="TCK-000502"/>
    <s v="2025-12-30T20:45:36Z"/>
    <n v="1560"/>
    <s v="Social"/>
    <s v="Normal"/>
    <s v="Feature request"/>
    <n v="78"/>
    <n v="1690"/>
    <s v="closed"/>
    <n v="4"/>
    <d v="2025-12-30T00:00:00"/>
    <n v="28.166666666666668"/>
    <n v="1.3"/>
    <s v="Within SLA"/>
    <s v="Satisfied"/>
    <s v="Resolved"/>
    <s v="Dec-2025"/>
    <x v="6"/>
  </r>
  <r>
    <s v="TCK-000503"/>
    <s v="2025-12-31T05:31:12Z"/>
    <n v="1766"/>
    <s v="Social"/>
    <s v="Normal"/>
    <s v="Bug report"/>
    <n v="49"/>
    <n v="2235"/>
    <s v="resolved"/>
    <m/>
    <d v="2025-12-31T00:00:00"/>
    <n v="37.25"/>
    <n v="0.81666666666666665"/>
    <s v="Within SLA"/>
    <s v="No Rating"/>
    <s v="Resolved"/>
    <s v="Dec-2025"/>
    <x v="6"/>
  </r>
  <r>
    <s v="TCK-000504"/>
    <s v="2025-12-31T14:16:48Z"/>
    <n v="1057"/>
    <s v="Email"/>
    <s v="High"/>
    <s v="Billing"/>
    <n v="28"/>
    <n v="724"/>
    <s v="closed"/>
    <m/>
    <d v="2025-12-31T00:00:00"/>
    <n v="12.066666666666666"/>
    <n v="0.46666666666666667"/>
    <s v="Within SLA"/>
    <s v="No Rating"/>
    <s v="Resolved"/>
    <s v="Dec-2025"/>
    <x v="6"/>
  </r>
  <r>
    <s v="TCK-000505"/>
    <s v="2025-12-31T23:02:24Z"/>
    <n v="1643"/>
    <s v="Social"/>
    <s v="High"/>
    <s v="Billing"/>
    <n v="36"/>
    <n v="966"/>
    <s v="resolved"/>
    <m/>
    <d v="2025-12-31T00:00:00"/>
    <n v="16.100000000000001"/>
    <n v="0.6"/>
    <s v="Within SLA"/>
    <s v="No Rating"/>
    <s v="Resolved"/>
    <s v="Dec-2025"/>
    <x v="6"/>
  </r>
  <r>
    <s v="TCK-000506"/>
    <s v="2026-01-01T07:48:00Z"/>
    <n v="1230"/>
    <s v="Web form"/>
    <s v="Low"/>
    <s v="Login"/>
    <n v="216"/>
    <n v="3528"/>
    <s v="closed"/>
    <n v="3"/>
    <d v="2026-01-01T00:00:00"/>
    <n v="58.8"/>
    <n v="3.6"/>
    <s v="Within SLA"/>
    <s v="Neutral"/>
    <s v="Resolved"/>
    <s v="Jan-2026"/>
    <x v="7"/>
  </r>
  <r>
    <s v="TCK-000507"/>
    <s v="2026-01-01T16:33:36Z"/>
    <n v="1981"/>
    <s v="Chat"/>
    <s v="Normal"/>
    <s v="Integration"/>
    <n v="141"/>
    <n v="2095"/>
    <s v="closed"/>
    <m/>
    <d v="2026-01-01T00:00:00"/>
    <n v="34.916666666666664"/>
    <n v="2.35"/>
    <s v="Within SLA"/>
    <s v="No Rating"/>
    <s v="Resolved"/>
    <s v="Jan-2026"/>
    <x v="7"/>
  </r>
  <r>
    <s v="TCK-000508"/>
    <s v="2026-01-02T01:19:12Z"/>
    <n v="1567"/>
    <s v="Social"/>
    <s v="Normal"/>
    <s v="Integration"/>
    <n v="107"/>
    <m/>
    <s v="pending"/>
    <m/>
    <d v="2026-01-02T00:00:00"/>
    <s v=""/>
    <n v="1.7833333333333334"/>
    <s v="Open"/>
    <s v="No Rating"/>
    <s v="Unresolved"/>
    <s v="Jan-2026"/>
    <x v="7"/>
  </r>
  <r>
    <s v="TCK-000509"/>
    <s v="2026-01-02T10:04:48Z"/>
    <n v="1723"/>
    <s v="Email"/>
    <s v="Normal"/>
    <s v="Integration"/>
    <n v="124"/>
    <n v="1438"/>
    <s v="closed"/>
    <n v="1"/>
    <d v="2026-01-02T00:00:00"/>
    <n v="23.966666666666665"/>
    <n v="2.0666666666666669"/>
    <s v="Within SLA"/>
    <s v="Dissatisfied"/>
    <s v="Resolved"/>
    <s v="Jan-2026"/>
    <x v="7"/>
  </r>
  <r>
    <s v="TCK-000510"/>
    <s v="2026-01-02T18:50:24Z"/>
    <n v="1803"/>
    <s v="Social"/>
    <s v="Normal"/>
    <s v="Export"/>
    <n v="112"/>
    <m/>
    <s v="open"/>
    <m/>
    <d v="2026-01-02T00:00:00"/>
    <s v=""/>
    <n v="1.8666666666666667"/>
    <s v="Open"/>
    <s v="No Rating"/>
    <s v="Unresolved"/>
    <s v="Jan-2026"/>
    <x v="7"/>
  </r>
  <r>
    <s v="TCK-000511"/>
    <s v="2026-01-03T03:36:00Z"/>
    <n v="1997"/>
    <s v="Chat"/>
    <s v="Normal"/>
    <s v="Performance"/>
    <n v="171"/>
    <m/>
    <s v="open"/>
    <m/>
    <d v="2026-01-03T00:00:00"/>
    <s v=""/>
    <n v="2.85"/>
    <s v="Open"/>
    <s v="No Rating"/>
    <s v="Unresolved"/>
    <s v="Jan-2026"/>
    <x v="7"/>
  </r>
  <r>
    <s v="TCK-000512"/>
    <s v="2026-01-03T12:21:36Z"/>
    <n v="1082"/>
    <s v="Email"/>
    <s v="Urgent"/>
    <s v="Account"/>
    <n v="6"/>
    <n v="83"/>
    <s v="closed"/>
    <m/>
    <d v="2026-01-03T00:00:00"/>
    <n v="1.3833333333333333"/>
    <n v="0.1"/>
    <s v="Within SLA"/>
    <s v="No Rating"/>
    <s v="Resolved"/>
    <s v="Jan-2026"/>
    <x v="7"/>
  </r>
  <r>
    <s v="TCK-000513"/>
    <s v="2026-01-03T21:07:12Z"/>
    <n v="1676"/>
    <s v="Phone"/>
    <s v="Normal"/>
    <s v="Performance"/>
    <n v="33"/>
    <n v="2990"/>
    <s v="closed"/>
    <n v="5"/>
    <d v="2026-01-03T00:00:00"/>
    <n v="49.833333333333336"/>
    <n v="0.55000000000000004"/>
    <s v="Breached"/>
    <s v="Satisfied"/>
    <s v="Resolved"/>
    <s v="Jan-2026"/>
    <x v="7"/>
  </r>
  <r>
    <s v="TCK-000514"/>
    <s v="2026-01-04T05:52:48Z"/>
    <n v="1463"/>
    <s v="Phone"/>
    <s v="Normal"/>
    <s v="Data import"/>
    <n v="39"/>
    <n v="1906"/>
    <s v="closed"/>
    <n v="4"/>
    <d v="2026-01-04T00:00:00"/>
    <n v="31.766666666666666"/>
    <n v="0.65"/>
    <s v="Within SLA"/>
    <s v="Satisfied"/>
    <s v="Resolved"/>
    <s v="Jan-2026"/>
    <x v="7"/>
  </r>
  <r>
    <s v="TCK-000515"/>
    <s v="2026-01-04T14:38:24Z"/>
    <n v="1430"/>
    <s v="Social"/>
    <s v="Normal"/>
    <s v="Data import"/>
    <n v="91"/>
    <n v="2611"/>
    <s v="resolved"/>
    <m/>
    <d v="2026-01-04T00:00:00"/>
    <n v="43.516666666666666"/>
    <n v="1.5166666666666666"/>
    <s v="Within SLA"/>
    <s v="No Rating"/>
    <s v="Resolved"/>
    <s v="Jan-2026"/>
    <x v="7"/>
  </r>
  <r>
    <s v="TCK-000516"/>
    <s v="2026-01-04T23:24:00Z"/>
    <n v="1963"/>
    <s v="Email"/>
    <s v="Normal"/>
    <s v="Bug report"/>
    <n v="69"/>
    <n v="1910"/>
    <s v="resolved"/>
    <m/>
    <d v="2026-01-04T00:00:00"/>
    <n v="31.833333333333332"/>
    <n v="1.1499999999999999"/>
    <s v="Within SLA"/>
    <s v="No Rating"/>
    <s v="Resolved"/>
    <s v="Jan-2026"/>
    <x v="7"/>
  </r>
  <r>
    <s v="TCK-000517"/>
    <s v="2026-01-05T08:09:36Z"/>
    <n v="1716"/>
    <s v="Social"/>
    <s v="Low"/>
    <s v="Billing"/>
    <n v="238"/>
    <n v="5374"/>
    <s v="closed"/>
    <n v="2"/>
    <d v="2026-01-05T00:00:00"/>
    <n v="89.566666666666663"/>
    <n v="3.9666666666666668"/>
    <s v="Breached"/>
    <s v="Dissatisfied"/>
    <s v="Resolved"/>
    <s v="Jan-2026"/>
    <x v="7"/>
  </r>
  <r>
    <s v="TCK-000518"/>
    <s v="2026-01-05T16:55:12Z"/>
    <n v="1123"/>
    <s v="Web form"/>
    <s v="Urgent"/>
    <s v="Performance"/>
    <n v="12"/>
    <n v="283"/>
    <s v="resolved"/>
    <m/>
    <d v="2026-01-05T00:00:00"/>
    <n v="4.7166666666666668"/>
    <n v="0.2"/>
    <s v="Within SLA"/>
    <s v="No Rating"/>
    <s v="Resolved"/>
    <s v="Jan-2026"/>
    <x v="7"/>
  </r>
  <r>
    <s v="TCK-000519"/>
    <s v="2026-01-06T01:40:48Z"/>
    <n v="1630"/>
    <s v="Phone"/>
    <s v="High"/>
    <s v="Billing"/>
    <n v="20"/>
    <n v="956"/>
    <s v="resolved"/>
    <n v="2"/>
    <d v="2026-01-06T00:00:00"/>
    <n v="15.933333333333334"/>
    <n v="0.33333333333333331"/>
    <s v="Within SLA"/>
    <s v="Dissatisfied"/>
    <s v="Resolved"/>
    <s v="Jan-2026"/>
    <x v="7"/>
  </r>
  <r>
    <s v="TCK-000520"/>
    <s v="2026-01-06T10:26:24Z"/>
    <n v="1233"/>
    <s v="Social"/>
    <s v="Low"/>
    <s v="Data import"/>
    <n v="117"/>
    <n v="6076"/>
    <s v="resolved"/>
    <n v="5"/>
    <d v="2026-01-06T00:00:00"/>
    <n v="101.26666666666667"/>
    <n v="1.95"/>
    <s v="Breached"/>
    <s v="Satisfied"/>
    <s v="Resolved"/>
    <s v="Jan-2026"/>
    <x v="7"/>
  </r>
  <r>
    <s v="TCK-000521"/>
    <s v="2026-01-06T19:12:00Z"/>
    <n v="1209"/>
    <s v="Email"/>
    <s v="High"/>
    <s v="Integration"/>
    <n v="30"/>
    <n v="430"/>
    <s v="closed"/>
    <m/>
    <d v="2026-01-06T00:00:00"/>
    <n v="7.166666666666667"/>
    <n v="0.5"/>
    <s v="Within SLA"/>
    <s v="No Rating"/>
    <s v="Resolved"/>
    <s v="Jan-2026"/>
    <x v="7"/>
  </r>
  <r>
    <s v="TCK-000522"/>
    <s v="2026-01-07T03:57:36Z"/>
    <n v="1320"/>
    <s v="Web form"/>
    <s v="High"/>
    <s v="Data import"/>
    <n v="17"/>
    <n v="944"/>
    <s v="closed"/>
    <m/>
    <d v="2026-01-07T00:00:00"/>
    <n v="15.733333333333333"/>
    <n v="0.28333333333333333"/>
    <s v="Within SLA"/>
    <s v="No Rating"/>
    <s v="Resolved"/>
    <s v="Jan-2026"/>
    <x v="7"/>
  </r>
  <r>
    <s v="TCK-000523"/>
    <s v="2026-01-07T12:43:12Z"/>
    <n v="1182"/>
    <s v="Chat"/>
    <s v="Low"/>
    <s v="Login"/>
    <n v="245"/>
    <m/>
    <s v="pending"/>
    <m/>
    <d v="2026-01-07T00:00:00"/>
    <s v=""/>
    <n v="4.083333333333333"/>
    <s v="Open"/>
    <s v="No Rating"/>
    <s v="Unresolved"/>
    <s v="Jan-2026"/>
    <x v="7"/>
  </r>
  <r>
    <s v="TCK-000524"/>
    <s v="2026-01-07T21:28:48Z"/>
    <n v="1917"/>
    <s v="Email"/>
    <s v="Normal"/>
    <s v="Feature request"/>
    <n v="105"/>
    <n v="1505"/>
    <s v="resolved"/>
    <n v="2"/>
    <d v="2026-01-07T00:00:00"/>
    <n v="25.083333333333332"/>
    <n v="1.75"/>
    <s v="Within SLA"/>
    <s v="Dissatisfied"/>
    <s v="Resolved"/>
    <s v="Jan-2026"/>
    <x v="7"/>
  </r>
  <r>
    <s v="TCK-000525"/>
    <s v="2026-01-08T06:14:24Z"/>
    <n v="1826"/>
    <s v="Social"/>
    <s v="Normal"/>
    <s v="Billing"/>
    <n v="40"/>
    <m/>
    <s v="open"/>
    <m/>
    <d v="2026-01-08T00:00:00"/>
    <s v=""/>
    <n v="0.66666666666666663"/>
    <s v="Open"/>
    <s v="No Rating"/>
    <s v="Unresolved"/>
    <s v="Jan-2026"/>
    <x v="7"/>
  </r>
  <r>
    <s v="TCK-000526"/>
    <s v="2026-01-08T15:00:00Z"/>
    <n v="1710"/>
    <s v="Phone"/>
    <s v="Urgent"/>
    <s v="Bug report"/>
    <n v="9"/>
    <n v="365"/>
    <s v="closed"/>
    <n v="2"/>
    <d v="2026-01-08T00:00:00"/>
    <n v="6.083333333333333"/>
    <n v="0.15"/>
    <s v="Within SLA"/>
    <s v="Dissatisfied"/>
    <s v="Resolved"/>
    <s v="Jan-2026"/>
    <x v="7"/>
  </r>
  <r>
    <s v="TCK-000527"/>
    <s v="2026-01-08T23:45:36Z"/>
    <n v="1696"/>
    <s v="Web form"/>
    <s v="Normal"/>
    <s v="Export"/>
    <n v="90"/>
    <n v="2966"/>
    <s v="closed"/>
    <m/>
    <d v="2026-01-08T00:00:00"/>
    <n v="49.43333333333333"/>
    <n v="1.5"/>
    <s v="Breached"/>
    <s v="No Rating"/>
    <s v="Resolved"/>
    <s v="Jan-2026"/>
    <x v="7"/>
  </r>
  <r>
    <s v="TCK-000528"/>
    <s v="2026-01-09T08:31:12Z"/>
    <n v="1029"/>
    <s v="Chat"/>
    <s v="Urgent"/>
    <s v="Integration"/>
    <n v="2"/>
    <n v="386"/>
    <s v="closed"/>
    <n v="1"/>
    <d v="2026-01-09T00:00:00"/>
    <n v="6.4333333333333336"/>
    <n v="3.3333333333333333E-2"/>
    <s v="Within SLA"/>
    <s v="Dissatisfied"/>
    <s v="Resolved"/>
    <s v="Jan-2026"/>
    <x v="7"/>
  </r>
  <r>
    <s v="TCK-000529"/>
    <s v="2026-01-09T17:16:48Z"/>
    <n v="1145"/>
    <s v="Email"/>
    <s v="Normal"/>
    <s v="Integration"/>
    <n v="114"/>
    <n v="1866"/>
    <s v="closed"/>
    <n v="3"/>
    <d v="2026-01-09T00:00:00"/>
    <n v="31.1"/>
    <n v="1.9"/>
    <s v="Within SLA"/>
    <s v="Neutral"/>
    <s v="Resolved"/>
    <s v="Jan-2026"/>
    <x v="7"/>
  </r>
  <r>
    <s v="TCK-000530"/>
    <s v="2026-01-10T02:02:24Z"/>
    <n v="1444"/>
    <s v="Phone"/>
    <s v="Urgent"/>
    <s v="Feature request"/>
    <n v="11"/>
    <n v="228"/>
    <s v="closed"/>
    <n v="4"/>
    <d v="2026-01-10T00:00:00"/>
    <n v="3.8"/>
    <n v="0.18333333333333332"/>
    <s v="Within SLA"/>
    <s v="Satisfied"/>
    <s v="Resolved"/>
    <s v="Jan-2026"/>
    <x v="7"/>
  </r>
  <r>
    <s v="TCK-000531"/>
    <s v="2026-01-10T10:48:00Z"/>
    <n v="1191"/>
    <s v="Social"/>
    <s v="Urgent"/>
    <s v="Login"/>
    <n v="10"/>
    <n v="339"/>
    <s v="closed"/>
    <n v="3"/>
    <d v="2026-01-10T00:00:00"/>
    <n v="5.65"/>
    <n v="0.16666666666666666"/>
    <s v="Within SLA"/>
    <s v="Neutral"/>
    <s v="Resolved"/>
    <s v="Jan-2026"/>
    <x v="7"/>
  </r>
  <r>
    <s v="TCK-000532"/>
    <s v="2026-01-10T19:33:36Z"/>
    <n v="1311"/>
    <s v="Email"/>
    <s v="High"/>
    <s v="Export"/>
    <n v="32"/>
    <n v="179"/>
    <s v="closed"/>
    <n v="3"/>
    <d v="2026-01-10T00:00:00"/>
    <n v="2.9833333333333334"/>
    <n v="0.53333333333333333"/>
    <s v="Within SLA"/>
    <s v="Neutral"/>
    <s v="Resolved"/>
    <s v="Jan-2026"/>
    <x v="7"/>
  </r>
  <r>
    <s v="TCK-000533"/>
    <s v="2026-01-11T04:19:12Z"/>
    <n v="1768"/>
    <s v="Email"/>
    <s v="Normal"/>
    <s v="Integration"/>
    <n v="104"/>
    <n v="1674"/>
    <s v="closed"/>
    <n v="3"/>
    <d v="2026-01-11T00:00:00"/>
    <n v="27.9"/>
    <n v="1.7333333333333334"/>
    <s v="Within SLA"/>
    <s v="Neutral"/>
    <s v="Resolved"/>
    <s v="Jan-2026"/>
    <x v="7"/>
  </r>
  <r>
    <s v="TCK-000534"/>
    <s v="2026-01-11T13:04:48Z"/>
    <n v="1457"/>
    <s v="Email"/>
    <s v="Normal"/>
    <s v="Data import"/>
    <n v="105"/>
    <m/>
    <s v="pending"/>
    <m/>
    <d v="2026-01-11T00:00:00"/>
    <s v=""/>
    <n v="1.75"/>
    <s v="Open"/>
    <s v="No Rating"/>
    <s v="Unresolved"/>
    <s v="Jan-2026"/>
    <x v="7"/>
  </r>
  <r>
    <s v="TCK-000535"/>
    <s v="2026-01-11T21:50:24Z"/>
    <n v="1768"/>
    <s v="Email"/>
    <s v="Low"/>
    <s v="Feature request"/>
    <n v="126"/>
    <n v="2622"/>
    <s v="closed"/>
    <n v="5"/>
    <d v="2026-01-11T00:00:00"/>
    <n v="43.7"/>
    <n v="2.1"/>
    <s v="Within SLA"/>
    <s v="Satisfied"/>
    <s v="Resolved"/>
    <s v="Jan-2026"/>
    <x v="7"/>
  </r>
  <r>
    <s v="TCK-000536"/>
    <s v="2026-01-12T06:36:00Z"/>
    <n v="1021"/>
    <s v="Web form"/>
    <s v="Urgent"/>
    <s v="Feature request"/>
    <n v="10"/>
    <n v="115"/>
    <s v="closed"/>
    <n v="2"/>
    <d v="2026-01-12T00:00:00"/>
    <n v="1.9166666666666667"/>
    <n v="0.16666666666666666"/>
    <s v="Within SLA"/>
    <s v="Dissatisfied"/>
    <s v="Resolved"/>
    <s v="Jan-2026"/>
    <x v="7"/>
  </r>
  <r>
    <s v="TCK-000537"/>
    <s v="2026-01-12T15:21:36Z"/>
    <n v="1770"/>
    <s v="Email"/>
    <s v="Low"/>
    <s v="Data import"/>
    <n v="219"/>
    <n v="5031"/>
    <s v="closed"/>
    <m/>
    <d v="2026-01-12T00:00:00"/>
    <n v="83.85"/>
    <n v="3.65"/>
    <s v="Breached"/>
    <s v="No Rating"/>
    <s v="Resolved"/>
    <s v="Jan-2026"/>
    <x v="7"/>
  </r>
  <r>
    <s v="TCK-000538"/>
    <s v="2026-01-13T00:07:12Z"/>
    <n v="1638"/>
    <s v="Social"/>
    <s v="Normal"/>
    <s v="Billing"/>
    <n v="70"/>
    <n v="704"/>
    <s v="closed"/>
    <m/>
    <d v="2026-01-13T00:00:00"/>
    <n v="11.733333333333333"/>
    <n v="1.1666666666666667"/>
    <s v="Within SLA"/>
    <s v="No Rating"/>
    <s v="Resolved"/>
    <s v="Jan-2026"/>
    <x v="7"/>
  </r>
  <r>
    <s v="TCK-000539"/>
    <s v="2026-01-13T08:52:48Z"/>
    <n v="1828"/>
    <s v="Phone"/>
    <s v="Low"/>
    <s v="Feature request"/>
    <n v="388"/>
    <n v="3583"/>
    <s v="closed"/>
    <n v="4"/>
    <d v="2026-01-13T00:00:00"/>
    <n v="59.716666666666669"/>
    <n v="6.4666666666666668"/>
    <s v="Within SLA"/>
    <s v="Satisfied"/>
    <s v="Resolved"/>
    <s v="Jan-2026"/>
    <x v="7"/>
  </r>
  <r>
    <s v="TCK-000540"/>
    <s v="2026-01-13T17:38:24Z"/>
    <n v="1323"/>
    <s v="Web form"/>
    <s v="Low"/>
    <s v="Feature request"/>
    <n v="254"/>
    <n v="6093"/>
    <s v="closed"/>
    <n v="4"/>
    <d v="2026-01-13T00:00:00"/>
    <n v="101.55"/>
    <n v="4.2333333333333334"/>
    <s v="Breached"/>
    <s v="Satisfied"/>
    <s v="Resolved"/>
    <s v="Jan-2026"/>
    <x v="7"/>
  </r>
  <r>
    <s v="TCK-000541"/>
    <s v="2026-01-14T02:24:00Z"/>
    <n v="1333"/>
    <s v="Social"/>
    <s v="Urgent"/>
    <s v="Integration"/>
    <n v="8"/>
    <n v="333"/>
    <s v="resolved"/>
    <m/>
    <d v="2026-01-14T00:00:00"/>
    <n v="5.55"/>
    <n v="0.13333333333333333"/>
    <s v="Within SLA"/>
    <s v="No Rating"/>
    <s v="Resolved"/>
    <s v="Jan-2026"/>
    <x v="7"/>
  </r>
  <r>
    <s v="TCK-000542"/>
    <s v="2026-01-14T11:09:36Z"/>
    <n v="1601"/>
    <s v="Phone"/>
    <s v="Low"/>
    <s v="Bug report"/>
    <n v="100"/>
    <m/>
    <s v="pending"/>
    <m/>
    <d v="2026-01-14T00:00:00"/>
    <s v=""/>
    <n v="1.6666666666666667"/>
    <s v="Open"/>
    <s v="No Rating"/>
    <s v="Unresolved"/>
    <s v="Jan-2026"/>
    <x v="7"/>
  </r>
  <r>
    <s v="TCK-000543"/>
    <s v="2026-01-14T19:55:12Z"/>
    <n v="1505"/>
    <s v="Social"/>
    <s v="High"/>
    <s v="Data import"/>
    <n v="32"/>
    <n v="453"/>
    <s v="closed"/>
    <m/>
    <d v="2026-01-14T00:00:00"/>
    <n v="7.55"/>
    <n v="0.53333333333333333"/>
    <s v="Within SLA"/>
    <s v="No Rating"/>
    <s v="Resolved"/>
    <s v="Jan-2026"/>
    <x v="7"/>
  </r>
  <r>
    <s v="TCK-000544"/>
    <s v="2026-01-15T04:40:48Z"/>
    <n v="1623"/>
    <s v="Email"/>
    <s v="Normal"/>
    <s v="Account"/>
    <n v="157"/>
    <n v="1930"/>
    <s v="resolved"/>
    <n v="4"/>
    <d v="2026-01-15T00:00:00"/>
    <n v="32.166666666666664"/>
    <n v="2.6166666666666667"/>
    <s v="Within SLA"/>
    <s v="Satisfied"/>
    <s v="Resolved"/>
    <s v="Jan-2026"/>
    <x v="7"/>
  </r>
  <r>
    <s v="TCK-000545"/>
    <s v="2026-01-15T13:26:24Z"/>
    <n v="1129"/>
    <s v="Web form"/>
    <s v="High"/>
    <s v="Integration"/>
    <n v="19"/>
    <n v="640"/>
    <s v="closed"/>
    <m/>
    <d v="2026-01-15T00:00:00"/>
    <n v="10.666666666666666"/>
    <n v="0.31666666666666665"/>
    <s v="Within SLA"/>
    <s v="No Rating"/>
    <s v="Resolved"/>
    <s v="Jan-2026"/>
    <x v="7"/>
  </r>
  <r>
    <s v="TCK-000546"/>
    <s v="2026-01-15T22:12:00Z"/>
    <n v="1216"/>
    <s v="Web form"/>
    <s v="Urgent"/>
    <s v="Billing"/>
    <n v="11"/>
    <n v="289"/>
    <s v="resolved"/>
    <m/>
    <d v="2026-01-15T00:00:00"/>
    <n v="4.8166666666666664"/>
    <n v="0.18333333333333332"/>
    <s v="Within SLA"/>
    <s v="No Rating"/>
    <s v="Resolved"/>
    <s v="Jan-2026"/>
    <x v="7"/>
  </r>
  <r>
    <s v="TCK-000547"/>
    <s v="2026-01-16T06:57:36Z"/>
    <n v="1642"/>
    <s v="Phone"/>
    <s v="Low"/>
    <s v="Data import"/>
    <n v="403"/>
    <n v="4788"/>
    <s v="resolved"/>
    <n v="5"/>
    <d v="2026-01-16T00:00:00"/>
    <n v="79.8"/>
    <n v="6.7166666666666668"/>
    <s v="Breached"/>
    <s v="Satisfied"/>
    <s v="Resolved"/>
    <s v="Jan-2026"/>
    <x v="7"/>
  </r>
  <r>
    <s v="TCK-000548"/>
    <s v="2026-01-16T15:43:12Z"/>
    <n v="1885"/>
    <s v="Chat"/>
    <s v="Low"/>
    <s v="Bug report"/>
    <n v="267"/>
    <n v="7853"/>
    <s v="resolved"/>
    <n v="2"/>
    <d v="2026-01-16T00:00:00"/>
    <n v="130.88333333333333"/>
    <n v="4.45"/>
    <s v="Breached"/>
    <s v="Dissatisfied"/>
    <s v="Resolved"/>
    <s v="Jan-2026"/>
    <x v="7"/>
  </r>
  <r>
    <s v="TCK-000549"/>
    <s v="2026-01-17T00:28:48Z"/>
    <n v="1075"/>
    <s v="Email"/>
    <s v="Normal"/>
    <s v="Billing"/>
    <n v="87"/>
    <n v="3406"/>
    <s v="closed"/>
    <m/>
    <d v="2026-01-17T00:00:00"/>
    <n v="56.766666666666666"/>
    <n v="1.45"/>
    <s v="Breached"/>
    <s v="No Rating"/>
    <s v="Resolved"/>
    <s v="Jan-2026"/>
    <x v="7"/>
  </r>
  <r>
    <s v="TCK-000550"/>
    <s v="2026-01-17T09:14:24Z"/>
    <n v="1028"/>
    <s v="Chat"/>
    <s v="Low"/>
    <s v="Data import"/>
    <n v="427"/>
    <n v="2874"/>
    <s v="resolved"/>
    <m/>
    <d v="2026-01-17T00:00:00"/>
    <n v="47.9"/>
    <n v="7.1166666666666663"/>
    <s v="Within SLA"/>
    <s v="No Rating"/>
    <s v="Resolved"/>
    <s v="Jan-2026"/>
    <x v="7"/>
  </r>
  <r>
    <s v="TCK-000551"/>
    <s v="2026-01-17T18:00:00Z"/>
    <n v="1246"/>
    <s v="Email"/>
    <s v="High"/>
    <s v="Account"/>
    <n v="24"/>
    <n v="297"/>
    <s v="closed"/>
    <n v="5"/>
    <d v="2026-01-17T00:00:00"/>
    <n v="4.95"/>
    <n v="0.4"/>
    <s v="Within SLA"/>
    <s v="Satisfied"/>
    <s v="Resolved"/>
    <s v="Jan-2026"/>
    <x v="7"/>
  </r>
  <r>
    <s v="TCK-000552"/>
    <s v="2026-01-18T02:45:36Z"/>
    <n v="1664"/>
    <s v="Email"/>
    <s v="Normal"/>
    <s v="Export"/>
    <n v="99"/>
    <n v="3110"/>
    <s v="closed"/>
    <m/>
    <d v="2026-01-18T00:00:00"/>
    <n v="51.833333333333336"/>
    <n v="1.65"/>
    <s v="Breached"/>
    <s v="No Rating"/>
    <s v="Resolved"/>
    <s v="Jan-2026"/>
    <x v="7"/>
  </r>
  <r>
    <s v="TCK-000553"/>
    <s v="2026-01-18T11:31:12Z"/>
    <n v="1194"/>
    <s v="Chat"/>
    <s v="Low"/>
    <s v="Data import"/>
    <n v="440"/>
    <n v="2492"/>
    <s v="closed"/>
    <n v="3"/>
    <d v="2026-01-18T00:00:00"/>
    <n v="41.533333333333331"/>
    <n v="7.333333333333333"/>
    <s v="Within SLA"/>
    <s v="Neutral"/>
    <s v="Resolved"/>
    <s v="Jan-2026"/>
    <x v="7"/>
  </r>
  <r>
    <s v="TCK-000554"/>
    <s v="2026-01-18T20:16:48Z"/>
    <n v="1308"/>
    <s v="Phone"/>
    <s v="Normal"/>
    <s v="Performance"/>
    <n v="164"/>
    <n v="2236"/>
    <s v="closed"/>
    <n v="3"/>
    <d v="2026-01-18T00:00:00"/>
    <n v="37.266666666666666"/>
    <n v="2.7333333333333334"/>
    <s v="Within SLA"/>
    <s v="Neutral"/>
    <s v="Resolved"/>
    <s v="Jan-2026"/>
    <x v="7"/>
  </r>
  <r>
    <s v="TCK-000555"/>
    <s v="2026-01-19T05:02:24Z"/>
    <n v="1298"/>
    <s v="Chat"/>
    <s v="Urgent"/>
    <s v="Integration"/>
    <n v="2"/>
    <m/>
    <s v="open"/>
    <m/>
    <d v="2026-01-19T00:00:00"/>
    <s v=""/>
    <n v="3.3333333333333333E-2"/>
    <s v="Open"/>
    <s v="No Rating"/>
    <s v="Unresolved"/>
    <s v="Jan-2026"/>
    <x v="7"/>
  </r>
  <r>
    <s v="TCK-000556"/>
    <s v="2026-01-19T13:48:00Z"/>
    <n v="1948"/>
    <s v="Email"/>
    <s v="Normal"/>
    <s v="Login"/>
    <n v="61"/>
    <n v="1097"/>
    <s v="closed"/>
    <n v="3"/>
    <d v="2026-01-19T00:00:00"/>
    <n v="18.283333333333335"/>
    <n v="1.0166666666666666"/>
    <s v="Within SLA"/>
    <s v="Neutral"/>
    <s v="Resolved"/>
    <s v="Jan-2026"/>
    <x v="7"/>
  </r>
  <r>
    <s v="TCK-000557"/>
    <s v="2026-01-19T22:33:36Z"/>
    <n v="1112"/>
    <s v="Social"/>
    <s v="Urgent"/>
    <s v="Login"/>
    <n v="3"/>
    <n v="161"/>
    <s v="closed"/>
    <m/>
    <d v="2026-01-19T00:00:00"/>
    <n v="2.6833333333333331"/>
    <n v="0.05"/>
    <s v="Within SLA"/>
    <s v="No Rating"/>
    <s v="Resolved"/>
    <s v="Jan-2026"/>
    <x v="7"/>
  </r>
  <r>
    <s v="TCK-000558"/>
    <s v="2026-01-20T07:19:12Z"/>
    <n v="1644"/>
    <s v="Social"/>
    <s v="Normal"/>
    <s v="Integration"/>
    <n v="155"/>
    <n v="1897"/>
    <s v="closed"/>
    <n v="3"/>
    <d v="2026-01-20T00:00:00"/>
    <n v="31.616666666666667"/>
    <n v="2.5833333333333335"/>
    <s v="Within SLA"/>
    <s v="Neutral"/>
    <s v="Resolved"/>
    <s v="Jan-2026"/>
    <x v="7"/>
  </r>
  <r>
    <s v="TCK-000559"/>
    <s v="2026-01-20T16:04:48Z"/>
    <n v="1295"/>
    <s v="Chat"/>
    <s v="High"/>
    <s v="Login"/>
    <n v="49"/>
    <n v="511"/>
    <s v="closed"/>
    <m/>
    <d v="2026-01-20T00:00:00"/>
    <n v="8.5166666666666675"/>
    <n v="0.81666666666666665"/>
    <s v="Within SLA"/>
    <s v="No Rating"/>
    <s v="Resolved"/>
    <s v="Jan-2026"/>
    <x v="7"/>
  </r>
  <r>
    <s v="TCK-000560"/>
    <s v="2026-01-21T00:50:24Z"/>
    <n v="1734"/>
    <s v="Chat"/>
    <s v="Low"/>
    <s v="Billing"/>
    <n v="404"/>
    <n v="2719"/>
    <s v="closed"/>
    <n v="3"/>
    <d v="2026-01-21T00:00:00"/>
    <n v="45.31666666666667"/>
    <n v="6.7333333333333334"/>
    <s v="Within SLA"/>
    <s v="Neutral"/>
    <s v="Resolved"/>
    <s v="Jan-2026"/>
    <x v="7"/>
  </r>
  <r>
    <s v="TCK-000561"/>
    <s v="2026-01-21T09:36:00Z"/>
    <n v="1251"/>
    <s v="Phone"/>
    <s v="Urgent"/>
    <s v="Login"/>
    <n v="6"/>
    <n v="425"/>
    <s v="closed"/>
    <m/>
    <d v="2026-01-21T00:00:00"/>
    <n v="7.083333333333333"/>
    <n v="0.1"/>
    <s v="Within SLA"/>
    <s v="No Rating"/>
    <s v="Resolved"/>
    <s v="Jan-2026"/>
    <x v="7"/>
  </r>
  <r>
    <s v="TCK-000562"/>
    <s v="2026-01-21T18:21:36Z"/>
    <n v="1126"/>
    <s v="Chat"/>
    <s v="Low"/>
    <s v="Login"/>
    <n v="276"/>
    <n v="6340"/>
    <s v="resolved"/>
    <n v="3"/>
    <d v="2026-01-21T00:00:00"/>
    <n v="105.66666666666667"/>
    <n v="4.5999999999999996"/>
    <s v="Breached"/>
    <s v="Neutral"/>
    <s v="Resolved"/>
    <s v="Jan-2026"/>
    <x v="7"/>
  </r>
  <r>
    <s v="TCK-000563"/>
    <s v="2026-01-22T03:07:12Z"/>
    <n v="1369"/>
    <s v="Web form"/>
    <s v="Normal"/>
    <s v="Integration"/>
    <n v="46"/>
    <n v="3468"/>
    <s v="resolved"/>
    <m/>
    <d v="2026-01-22T00:00:00"/>
    <n v="57.8"/>
    <n v="0.76666666666666672"/>
    <s v="Breached"/>
    <s v="No Rating"/>
    <s v="Resolved"/>
    <s v="Jan-2026"/>
    <x v="7"/>
  </r>
  <r>
    <s v="TCK-000564"/>
    <s v="2026-01-22T11:52:48Z"/>
    <n v="1439"/>
    <s v="Social"/>
    <s v="Low"/>
    <s v="Login"/>
    <n v="352"/>
    <n v="3138"/>
    <s v="resolved"/>
    <n v="3"/>
    <d v="2026-01-22T00:00:00"/>
    <n v="52.3"/>
    <n v="5.8666666666666663"/>
    <s v="Within SLA"/>
    <s v="Neutral"/>
    <s v="Resolved"/>
    <s v="Jan-2026"/>
    <x v="7"/>
  </r>
  <r>
    <s v="TCK-000565"/>
    <s v="2026-01-22T20:38:24Z"/>
    <n v="1947"/>
    <s v="Social"/>
    <s v="Low"/>
    <s v="Data import"/>
    <n v="259"/>
    <n v="7996"/>
    <s v="closed"/>
    <m/>
    <d v="2026-01-22T00:00:00"/>
    <n v="133.26666666666668"/>
    <n v="4.3166666666666664"/>
    <s v="Breached"/>
    <s v="No Rating"/>
    <s v="Resolved"/>
    <s v="Jan-2026"/>
    <x v="7"/>
  </r>
  <r>
    <s v="TCK-000566"/>
    <s v="2026-01-23T05:24:00Z"/>
    <n v="1041"/>
    <s v="Web form"/>
    <s v="High"/>
    <s v="Billing"/>
    <n v="11"/>
    <n v="519"/>
    <s v="resolved"/>
    <n v="4"/>
    <d v="2026-01-23T00:00:00"/>
    <n v="8.65"/>
    <n v="0.18333333333333332"/>
    <s v="Within SLA"/>
    <s v="Satisfied"/>
    <s v="Resolved"/>
    <s v="Jan-2026"/>
    <x v="7"/>
  </r>
  <r>
    <s v="TCK-000567"/>
    <s v="2026-01-23T14:09:36Z"/>
    <n v="1342"/>
    <s v="Email"/>
    <s v="Normal"/>
    <s v="Billing"/>
    <n v="28"/>
    <n v="2509"/>
    <s v="closed"/>
    <n v="2"/>
    <d v="2026-01-23T00:00:00"/>
    <n v="41.81666666666667"/>
    <n v="0.46666666666666667"/>
    <s v="Within SLA"/>
    <s v="Dissatisfied"/>
    <s v="Resolved"/>
    <s v="Jan-2026"/>
    <x v="7"/>
  </r>
  <r>
    <s v="TCK-000568"/>
    <s v="2026-01-23T22:55:12Z"/>
    <n v="1514"/>
    <s v="Web form"/>
    <s v="Normal"/>
    <s v="Export"/>
    <n v="72"/>
    <n v="945"/>
    <s v="closed"/>
    <m/>
    <d v="2026-01-23T00:00:00"/>
    <n v="15.75"/>
    <n v="1.2"/>
    <s v="Within SLA"/>
    <s v="No Rating"/>
    <s v="Resolved"/>
    <s v="Jan-2026"/>
    <x v="7"/>
  </r>
  <r>
    <s v="TCK-000569"/>
    <s v="2026-01-24T07:40:48Z"/>
    <n v="1261"/>
    <s v="Web form"/>
    <s v="Normal"/>
    <s v="Feature request"/>
    <n v="100"/>
    <n v="1426"/>
    <s v="closed"/>
    <m/>
    <d v="2026-01-24T00:00:00"/>
    <n v="23.766666666666666"/>
    <n v="1.6666666666666667"/>
    <s v="Within SLA"/>
    <s v="No Rating"/>
    <s v="Resolved"/>
    <s v="Jan-2026"/>
    <x v="7"/>
  </r>
  <r>
    <s v="TCK-000570"/>
    <s v="2026-01-24T16:26:24Z"/>
    <n v="1899"/>
    <s v="Phone"/>
    <s v="High"/>
    <s v="Data import"/>
    <n v="47"/>
    <n v="817"/>
    <s v="closed"/>
    <m/>
    <d v="2026-01-24T00:00:00"/>
    <n v="13.616666666666667"/>
    <n v="0.78333333333333333"/>
    <s v="Within SLA"/>
    <s v="No Rating"/>
    <s v="Resolved"/>
    <s v="Jan-2026"/>
    <x v="7"/>
  </r>
  <r>
    <s v="TCK-000571"/>
    <s v="2026-01-25T01:12:00Z"/>
    <n v="1331"/>
    <s v="Phone"/>
    <s v="Urgent"/>
    <s v="Bug report"/>
    <n v="3"/>
    <n v="352"/>
    <s v="closed"/>
    <n v="2"/>
    <d v="2026-01-25T00:00:00"/>
    <n v="5.8666666666666663"/>
    <n v="0.05"/>
    <s v="Within SLA"/>
    <s v="Dissatisfied"/>
    <s v="Resolved"/>
    <s v="Jan-2026"/>
    <x v="7"/>
  </r>
  <r>
    <s v="TCK-000572"/>
    <s v="2026-01-25T09:57:36Z"/>
    <n v="1411"/>
    <s v="Phone"/>
    <s v="High"/>
    <s v="Data import"/>
    <n v="40"/>
    <n v="852"/>
    <s v="closed"/>
    <n v="1"/>
    <d v="2026-01-25T00:00:00"/>
    <n v="14.2"/>
    <n v="0.66666666666666663"/>
    <s v="Within SLA"/>
    <s v="Dissatisfied"/>
    <s v="Resolved"/>
    <s v="Jan-2026"/>
    <x v="7"/>
  </r>
  <r>
    <s v="TCK-000573"/>
    <s v="2026-01-25T18:43:12Z"/>
    <n v="1804"/>
    <s v="Web form"/>
    <s v="High"/>
    <s v="Billing"/>
    <n v="17"/>
    <n v="1115"/>
    <s v="closed"/>
    <m/>
    <d v="2026-01-25T00:00:00"/>
    <n v="18.583333333333332"/>
    <n v="0.28333333333333333"/>
    <s v="Within SLA"/>
    <s v="No Rating"/>
    <s v="Resolved"/>
    <s v="Jan-2026"/>
    <x v="7"/>
  </r>
  <r>
    <s v="TCK-000574"/>
    <s v="2026-01-26T03:28:48Z"/>
    <n v="1582"/>
    <s v="Phone"/>
    <s v="Normal"/>
    <s v="Bug report"/>
    <n v="74"/>
    <m/>
    <s v="pending"/>
    <m/>
    <d v="2026-01-26T00:00:00"/>
    <s v=""/>
    <n v="1.2333333333333334"/>
    <s v="Open"/>
    <s v="No Rating"/>
    <s v="Unresolved"/>
    <s v="Jan-2026"/>
    <x v="7"/>
  </r>
  <r>
    <s v="TCK-000575"/>
    <s v="2026-01-26T12:14:24Z"/>
    <n v="1697"/>
    <s v="Phone"/>
    <s v="Normal"/>
    <s v="Account"/>
    <n v="43"/>
    <n v="866"/>
    <s v="closed"/>
    <n v="4"/>
    <d v="2026-01-26T00:00:00"/>
    <n v="14.433333333333334"/>
    <n v="0.71666666666666667"/>
    <s v="Within SLA"/>
    <s v="Satisfied"/>
    <s v="Resolved"/>
    <s v="Jan-2026"/>
    <x v="7"/>
  </r>
  <r>
    <s v="TCK-000576"/>
    <s v="2026-01-26T21:00:00Z"/>
    <n v="1330"/>
    <s v="Social"/>
    <s v="High"/>
    <s v="Data import"/>
    <n v="33"/>
    <n v="731"/>
    <s v="closed"/>
    <n v="3"/>
    <d v="2026-01-26T00:00:00"/>
    <n v="12.183333333333334"/>
    <n v="0.55000000000000004"/>
    <s v="Within SLA"/>
    <s v="Neutral"/>
    <s v="Resolved"/>
    <s v="Jan-2026"/>
    <x v="7"/>
  </r>
  <r>
    <s v="TCK-000577"/>
    <s v="2026-01-27T05:45:36Z"/>
    <n v="1423"/>
    <s v="Social"/>
    <s v="Urgent"/>
    <s v="Data import"/>
    <n v="10"/>
    <n v="166"/>
    <s v="closed"/>
    <n v="1"/>
    <d v="2026-01-27T00:00:00"/>
    <n v="2.7666666666666666"/>
    <n v="0.16666666666666666"/>
    <s v="Within SLA"/>
    <s v="Dissatisfied"/>
    <s v="Resolved"/>
    <s v="Jan-2026"/>
    <x v="7"/>
  </r>
  <r>
    <s v="TCK-000578"/>
    <s v="2026-01-27T14:31:12Z"/>
    <n v="1424"/>
    <s v="Chat"/>
    <s v="Low"/>
    <s v="Integration"/>
    <n v="243"/>
    <n v="5667"/>
    <s v="resolved"/>
    <m/>
    <d v="2026-01-27T00:00:00"/>
    <n v="94.45"/>
    <n v="4.05"/>
    <s v="Breached"/>
    <s v="No Rating"/>
    <s v="Resolved"/>
    <s v="Jan-2026"/>
    <x v="7"/>
  </r>
  <r>
    <s v="TCK-000579"/>
    <s v="2026-01-27T23:16:48Z"/>
    <n v="1710"/>
    <s v="Social"/>
    <s v="Normal"/>
    <s v="Billing"/>
    <n v="146"/>
    <n v="2682"/>
    <s v="closed"/>
    <m/>
    <d v="2026-01-27T00:00:00"/>
    <n v="44.7"/>
    <n v="2.4333333333333331"/>
    <s v="Within SLA"/>
    <s v="No Rating"/>
    <s v="Resolved"/>
    <s v="Jan-2026"/>
    <x v="7"/>
  </r>
  <r>
    <s v="TCK-000580"/>
    <s v="2026-01-28T08:02:24Z"/>
    <n v="1659"/>
    <s v="Web form"/>
    <s v="Normal"/>
    <s v="Bug report"/>
    <n v="121"/>
    <n v="3263"/>
    <s v="closed"/>
    <n v="1"/>
    <d v="2026-01-28T00:00:00"/>
    <n v="54.383333333333333"/>
    <n v="2.0166666666666666"/>
    <s v="Breached"/>
    <s v="Dissatisfied"/>
    <s v="Resolved"/>
    <s v="Jan-2026"/>
    <x v="7"/>
  </r>
  <r>
    <s v="TCK-000581"/>
    <s v="2026-01-28T16:48:00Z"/>
    <n v="1563"/>
    <s v="Email"/>
    <s v="Urgent"/>
    <s v="Bug report"/>
    <n v="8"/>
    <n v="172"/>
    <s v="closed"/>
    <m/>
    <d v="2026-01-28T00:00:00"/>
    <n v="2.8666666666666667"/>
    <n v="0.13333333333333333"/>
    <s v="Within SLA"/>
    <s v="No Rating"/>
    <s v="Resolved"/>
    <s v="Jan-2026"/>
    <x v="7"/>
  </r>
  <r>
    <s v="TCK-000582"/>
    <s v="2026-01-29T01:33:36Z"/>
    <n v="1875"/>
    <s v="Phone"/>
    <s v="Urgent"/>
    <s v="Bug report"/>
    <n v="3"/>
    <n v="121"/>
    <s v="resolved"/>
    <n v="4"/>
    <d v="2026-01-29T00:00:00"/>
    <n v="2.0166666666666666"/>
    <n v="0.05"/>
    <s v="Within SLA"/>
    <s v="Satisfied"/>
    <s v="Resolved"/>
    <s v="Jan-2026"/>
    <x v="7"/>
  </r>
  <r>
    <s v="TCK-000583"/>
    <s v="2026-01-29T10:19:12Z"/>
    <n v="1271"/>
    <s v="Chat"/>
    <s v="Urgent"/>
    <s v="Feature request"/>
    <n v="3"/>
    <n v="318"/>
    <s v="resolved"/>
    <n v="4"/>
    <d v="2026-01-29T00:00:00"/>
    <n v="5.3"/>
    <n v="0.05"/>
    <s v="Within SLA"/>
    <s v="Satisfied"/>
    <s v="Resolved"/>
    <s v="Jan-2026"/>
    <x v="7"/>
  </r>
  <r>
    <s v="TCK-000584"/>
    <s v="2026-01-29T19:04:48Z"/>
    <n v="1714"/>
    <s v="Chat"/>
    <s v="Normal"/>
    <s v="Billing"/>
    <n v="154"/>
    <n v="2234"/>
    <s v="closed"/>
    <n v="2"/>
    <d v="2026-01-29T00:00:00"/>
    <n v="37.233333333333334"/>
    <n v="2.5666666666666669"/>
    <s v="Within SLA"/>
    <s v="Dissatisfied"/>
    <s v="Resolved"/>
    <s v="Jan-2026"/>
    <x v="7"/>
  </r>
  <r>
    <s v="TCK-000585"/>
    <s v="2026-01-30T03:50:24Z"/>
    <n v="1189"/>
    <s v="Email"/>
    <s v="Normal"/>
    <s v="Login"/>
    <n v="125"/>
    <n v="3500"/>
    <s v="closed"/>
    <m/>
    <d v="2026-01-30T00:00:00"/>
    <n v="58.333333333333336"/>
    <n v="2.0833333333333335"/>
    <s v="Breached"/>
    <s v="No Rating"/>
    <s v="Resolved"/>
    <s v="Jan-2026"/>
    <x v="7"/>
  </r>
  <r>
    <s v="TCK-000586"/>
    <s v="2026-01-30T12:36:00Z"/>
    <n v="1297"/>
    <s v="Chat"/>
    <s v="Low"/>
    <s v="Integration"/>
    <n v="322"/>
    <n v="7765"/>
    <s v="closed"/>
    <n v="1"/>
    <d v="2026-01-30T00:00:00"/>
    <n v="129.41666666666666"/>
    <n v="5.3666666666666663"/>
    <s v="Breached"/>
    <s v="Dissatisfied"/>
    <s v="Resolved"/>
    <s v="Jan-2026"/>
    <x v="7"/>
  </r>
  <r>
    <s v="TCK-000587"/>
    <s v="2026-01-30T21:21:36Z"/>
    <n v="1007"/>
    <s v="Email"/>
    <s v="Low"/>
    <s v="Account"/>
    <n v="401"/>
    <m/>
    <s v="open"/>
    <m/>
    <d v="2026-01-30T00:00:00"/>
    <s v=""/>
    <n v="6.6833333333333336"/>
    <s v="Open"/>
    <s v="No Rating"/>
    <s v="Unresolved"/>
    <s v="Jan-2026"/>
    <x v="7"/>
  </r>
  <r>
    <s v="TCK-000588"/>
    <s v="2026-01-31T06:07:12Z"/>
    <n v="1710"/>
    <s v="Social"/>
    <s v="High"/>
    <s v="Bug report"/>
    <n v="30"/>
    <n v="364"/>
    <s v="resolved"/>
    <m/>
    <d v="2026-01-31T00:00:00"/>
    <n v="6.0666666666666664"/>
    <n v="0.5"/>
    <s v="Within SLA"/>
    <s v="No Rating"/>
    <s v="Resolved"/>
    <s v="Jan-2026"/>
    <x v="7"/>
  </r>
  <r>
    <s v="TCK-000589"/>
    <s v="2026-01-31T14:52:48Z"/>
    <n v="1525"/>
    <s v="Email"/>
    <s v="Low"/>
    <s v="Billing"/>
    <n v="187"/>
    <n v="7184"/>
    <s v="closed"/>
    <m/>
    <d v="2026-01-31T00:00:00"/>
    <n v="119.73333333333333"/>
    <n v="3.1166666666666667"/>
    <s v="Breached"/>
    <s v="No Rating"/>
    <s v="Resolved"/>
    <s v="Jan-2026"/>
    <x v="7"/>
  </r>
  <r>
    <s v="TCK-000590"/>
    <s v="2026-01-31T23:38:24Z"/>
    <n v="1870"/>
    <s v="Chat"/>
    <s v="Low"/>
    <s v="Billing"/>
    <n v="242"/>
    <n v="1799"/>
    <s v="resolved"/>
    <n v="3"/>
    <d v="2026-01-31T00:00:00"/>
    <n v="29.983333333333334"/>
    <n v="4.0333333333333332"/>
    <s v="Within SLA"/>
    <s v="Neutral"/>
    <s v="Resolved"/>
    <s v="Jan-2026"/>
    <x v="7"/>
  </r>
  <r>
    <s v="TCK-000591"/>
    <s v="2026-02-01T08:24:00Z"/>
    <n v="1722"/>
    <s v="Email"/>
    <s v="Normal"/>
    <s v="Feature request"/>
    <n v="60"/>
    <n v="1443"/>
    <s v="resolved"/>
    <n v="2"/>
    <d v="2026-02-01T00:00:00"/>
    <n v="24.05"/>
    <n v="1"/>
    <s v="Within SLA"/>
    <s v="Dissatisfied"/>
    <s v="Resolved"/>
    <s v="Feb-2026"/>
    <x v="8"/>
  </r>
  <r>
    <s v="TCK-000592"/>
    <s v="2026-02-01T17:09:36Z"/>
    <n v="1505"/>
    <s v="Phone"/>
    <s v="Low"/>
    <s v="Feature request"/>
    <n v="215"/>
    <n v="1807"/>
    <s v="closed"/>
    <m/>
    <d v="2026-02-01T00:00:00"/>
    <n v="30.116666666666667"/>
    <n v="3.5833333333333335"/>
    <s v="Within SLA"/>
    <s v="No Rating"/>
    <s v="Resolved"/>
    <s v="Feb-2026"/>
    <x v="8"/>
  </r>
  <r>
    <s v="TCK-000593"/>
    <s v="2026-02-02T01:55:12Z"/>
    <n v="1237"/>
    <s v="Phone"/>
    <s v="Normal"/>
    <s v="Bug report"/>
    <n v="126"/>
    <n v="3113"/>
    <s v="closed"/>
    <n v="2"/>
    <d v="2026-02-02T00:00:00"/>
    <n v="51.883333333333333"/>
    <n v="2.1"/>
    <s v="Breached"/>
    <s v="Dissatisfied"/>
    <s v="Resolved"/>
    <s v="Feb-2026"/>
    <x v="8"/>
  </r>
  <r>
    <s v="TCK-000594"/>
    <s v="2026-02-02T10:40:48Z"/>
    <n v="1131"/>
    <s v="Email"/>
    <s v="Urgent"/>
    <s v="Feature request"/>
    <n v="7"/>
    <m/>
    <s v="open"/>
    <m/>
    <d v="2026-02-02T00:00:00"/>
    <s v=""/>
    <n v="0.11666666666666667"/>
    <s v="Open"/>
    <s v="No Rating"/>
    <s v="Unresolved"/>
    <s v="Feb-2026"/>
    <x v="8"/>
  </r>
  <r>
    <s v="TCK-000595"/>
    <s v="2026-02-02T19:26:24Z"/>
    <n v="1093"/>
    <s v="Social"/>
    <s v="Low"/>
    <s v="Performance"/>
    <n v="364"/>
    <m/>
    <s v="pending"/>
    <m/>
    <d v="2026-02-02T00:00:00"/>
    <s v=""/>
    <n v="6.0666666666666664"/>
    <s v="Open"/>
    <s v="No Rating"/>
    <s v="Unresolved"/>
    <s v="Feb-2026"/>
    <x v="8"/>
  </r>
  <r>
    <s v="TCK-000596"/>
    <s v="2026-02-03T04:12:00Z"/>
    <n v="1730"/>
    <s v="Chat"/>
    <s v="Low"/>
    <s v="Bug report"/>
    <n v="147"/>
    <n v="2861"/>
    <s v="closed"/>
    <n v="3"/>
    <d v="2026-02-03T00:00:00"/>
    <n v="47.68333333333333"/>
    <n v="2.4500000000000002"/>
    <s v="Within SLA"/>
    <s v="Neutral"/>
    <s v="Resolved"/>
    <s v="Feb-2026"/>
    <x v="8"/>
  </r>
  <r>
    <s v="TCK-000597"/>
    <s v="2026-02-03T12:57:36Z"/>
    <n v="1073"/>
    <s v="Email"/>
    <s v="Low"/>
    <s v="Performance"/>
    <n v="141"/>
    <n v="6928"/>
    <s v="closed"/>
    <n v="5"/>
    <d v="2026-02-03T00:00:00"/>
    <n v="115.46666666666667"/>
    <n v="2.35"/>
    <s v="Breached"/>
    <s v="Satisfied"/>
    <s v="Resolved"/>
    <s v="Feb-2026"/>
    <x v="8"/>
  </r>
  <r>
    <s v="TCK-000598"/>
    <s v="2026-02-03T21:43:12Z"/>
    <n v="1631"/>
    <s v="Web form"/>
    <s v="High"/>
    <s v="Performance"/>
    <n v="12"/>
    <m/>
    <s v="open"/>
    <m/>
    <d v="2026-02-03T00:00:00"/>
    <s v=""/>
    <n v="0.2"/>
    <s v="Open"/>
    <s v="No Rating"/>
    <s v="Unresolved"/>
    <s v="Feb-2026"/>
    <x v="8"/>
  </r>
  <r>
    <s v="TCK-000599"/>
    <s v="2026-02-04T06:28:48Z"/>
    <n v="1011"/>
    <s v="Social"/>
    <s v="Normal"/>
    <s v="Data import"/>
    <n v="160"/>
    <m/>
    <s v="open"/>
    <m/>
    <d v="2026-02-04T00:00:00"/>
    <s v=""/>
    <n v="2.6666666666666665"/>
    <s v="Open"/>
    <s v="No Rating"/>
    <s v="Unresolved"/>
    <s v="Feb-2026"/>
    <x v="8"/>
  </r>
  <r>
    <s v="TCK-000600"/>
    <s v="2026-02-04T15:14:24Z"/>
    <n v="1066"/>
    <s v="Phone"/>
    <s v="Urgent"/>
    <s v="Performance"/>
    <n v="6"/>
    <m/>
    <s v="open"/>
    <m/>
    <d v="2026-02-04T00:00:00"/>
    <s v=""/>
    <n v="0.1"/>
    <s v="Open"/>
    <s v="No Rating"/>
    <s v="Unresolved"/>
    <s v="Feb-2026"/>
    <x v="8"/>
  </r>
  <r>
    <s v="TCK-000601"/>
    <s v="2026-02-05T00:00:00Z"/>
    <n v="1649"/>
    <s v="Web form"/>
    <s v="High"/>
    <s v="Account"/>
    <n v="19"/>
    <n v="861"/>
    <s v="closed"/>
    <n v="3"/>
    <d v="2026-02-05T00:00:00"/>
    <n v="14.35"/>
    <n v="0.31666666666666665"/>
    <s v="Within SLA"/>
    <s v="Neutral"/>
    <s v="Resolved"/>
    <s v="Feb-2026"/>
    <x v="8"/>
  </r>
  <r>
    <s v="TCK-000602"/>
    <s v="2026-02-05T08:45:36Z"/>
    <n v="1193"/>
    <s v="Email"/>
    <s v="Low"/>
    <s v="Data import"/>
    <n v="139"/>
    <m/>
    <s v="open"/>
    <m/>
    <d v="2026-02-05T00:00:00"/>
    <s v=""/>
    <n v="2.3166666666666669"/>
    <s v="Open"/>
    <s v="No Rating"/>
    <s v="Unresolved"/>
    <s v="Feb-2026"/>
    <x v="8"/>
  </r>
  <r>
    <s v="TCK-000603"/>
    <s v="2026-02-05T17:31:12Z"/>
    <n v="1304"/>
    <s v="Phone"/>
    <s v="High"/>
    <s v="Account"/>
    <n v="27"/>
    <n v="996"/>
    <s v="closed"/>
    <m/>
    <d v="2026-02-05T00:00:00"/>
    <n v="16.600000000000001"/>
    <n v="0.45"/>
    <s v="Within SLA"/>
    <s v="No Rating"/>
    <s v="Resolved"/>
    <s v="Feb-2026"/>
    <x v="8"/>
  </r>
  <r>
    <s v="TCK-000604"/>
    <s v="2026-02-06T02:16:48Z"/>
    <n v="1949"/>
    <s v="Social"/>
    <s v="Urgent"/>
    <s v="Export"/>
    <n v="7"/>
    <n v="97"/>
    <s v="resolved"/>
    <n v="3"/>
    <d v="2026-02-06T00:00:00"/>
    <n v="1.6166666666666667"/>
    <n v="0.11666666666666667"/>
    <s v="Within SLA"/>
    <s v="Neutral"/>
    <s v="Resolved"/>
    <s v="Feb-2026"/>
    <x v="8"/>
  </r>
  <r>
    <s v="TCK-000605"/>
    <s v="2026-02-06T11:02:24Z"/>
    <n v="1073"/>
    <s v="Email"/>
    <s v="Urgent"/>
    <s v="Performance"/>
    <n v="10"/>
    <n v="280"/>
    <s v="closed"/>
    <m/>
    <d v="2026-02-06T00:00:00"/>
    <n v="4.666666666666667"/>
    <n v="0.16666666666666666"/>
    <s v="Within SLA"/>
    <s v="No Rating"/>
    <s v="Resolved"/>
    <s v="Feb-2026"/>
    <x v="8"/>
  </r>
  <r>
    <s v="TCK-000606"/>
    <s v="2026-02-06T19:48:00Z"/>
    <n v="1759"/>
    <s v="Chat"/>
    <s v="Normal"/>
    <s v="Bug report"/>
    <n v="116"/>
    <n v="3200"/>
    <s v="closed"/>
    <n v="5"/>
    <d v="2026-02-06T00:00:00"/>
    <n v="53.333333333333336"/>
    <n v="1.9333333333333333"/>
    <s v="Breached"/>
    <s v="Satisfied"/>
    <s v="Resolved"/>
    <s v="Feb-2026"/>
    <x v="8"/>
  </r>
  <r>
    <s v="TCK-000607"/>
    <s v="2026-02-07T04:33:36Z"/>
    <n v="1742"/>
    <s v="Web form"/>
    <s v="Normal"/>
    <s v="Feature request"/>
    <n v="84"/>
    <m/>
    <s v="pending"/>
    <m/>
    <d v="2026-02-07T00:00:00"/>
    <s v=""/>
    <n v="1.4"/>
    <s v="Open"/>
    <s v="No Rating"/>
    <s v="Unresolved"/>
    <s v="Feb-2026"/>
    <x v="8"/>
  </r>
  <r>
    <s v="TCK-000608"/>
    <s v="2026-02-07T13:19:12Z"/>
    <n v="1960"/>
    <s v="Email"/>
    <s v="Urgent"/>
    <s v="Billing"/>
    <n v="3"/>
    <n v="229"/>
    <s v="closed"/>
    <n v="3"/>
    <d v="2026-02-07T00:00:00"/>
    <n v="3.8166666666666669"/>
    <n v="0.05"/>
    <s v="Within SLA"/>
    <s v="Neutral"/>
    <s v="Resolved"/>
    <s v="Feb-2026"/>
    <x v="8"/>
  </r>
  <r>
    <s v="TCK-000609"/>
    <s v="2026-02-07T22:04:48Z"/>
    <n v="1351"/>
    <s v="Web form"/>
    <s v="Low"/>
    <s v="Bug report"/>
    <n v="426"/>
    <m/>
    <s v="open"/>
    <m/>
    <d v="2026-02-07T00:00:00"/>
    <s v=""/>
    <n v="7.1"/>
    <s v="Open"/>
    <s v="No Rating"/>
    <s v="Unresolved"/>
    <s v="Feb-2026"/>
    <x v="8"/>
  </r>
  <r>
    <s v="TCK-000610"/>
    <s v="2026-02-08T06:50:24Z"/>
    <n v="1574"/>
    <s v="Web form"/>
    <s v="Normal"/>
    <s v="Export"/>
    <n v="108"/>
    <n v="1663"/>
    <s v="closed"/>
    <m/>
    <d v="2026-02-08T00:00:00"/>
    <n v="27.716666666666665"/>
    <n v="1.8"/>
    <s v="Within SLA"/>
    <s v="No Rating"/>
    <s v="Resolved"/>
    <s v="Feb-2026"/>
    <x v="8"/>
  </r>
  <r>
    <s v="TCK-000611"/>
    <s v="2026-02-08T15:36:00Z"/>
    <n v="1889"/>
    <s v="Social"/>
    <s v="Urgent"/>
    <s v="Integration"/>
    <n v="2"/>
    <n v="398"/>
    <s v="closed"/>
    <n v="1"/>
    <d v="2026-02-08T00:00:00"/>
    <n v="6.6333333333333337"/>
    <n v="3.3333333333333333E-2"/>
    <s v="Within SLA"/>
    <s v="Dissatisfied"/>
    <s v="Resolved"/>
    <s v="Feb-2026"/>
    <x v="8"/>
  </r>
  <r>
    <s v="TCK-000612"/>
    <s v="2026-02-09T00:21:36Z"/>
    <n v="1290"/>
    <s v="Social"/>
    <s v="Normal"/>
    <s v="Data import"/>
    <n v="88"/>
    <n v="2903"/>
    <s v="resolved"/>
    <m/>
    <d v="2026-02-09T00:00:00"/>
    <n v="48.383333333333333"/>
    <n v="1.4666666666666666"/>
    <s v="Breached"/>
    <s v="No Rating"/>
    <s v="Resolved"/>
    <s v="Feb-2026"/>
    <x v="8"/>
  </r>
  <r>
    <s v="TCK-000613"/>
    <s v="2026-02-09T09:07:12Z"/>
    <n v="1061"/>
    <s v="Social"/>
    <s v="Low"/>
    <s v="Integration"/>
    <n v="411"/>
    <n v="1441"/>
    <s v="closed"/>
    <m/>
    <d v="2026-02-09T00:00:00"/>
    <n v="24.016666666666666"/>
    <n v="6.85"/>
    <s v="Within SLA"/>
    <s v="No Rating"/>
    <s v="Resolved"/>
    <s v="Feb-2026"/>
    <x v="8"/>
  </r>
  <r>
    <s v="TCK-000614"/>
    <s v="2026-02-09T17:52:48Z"/>
    <n v="1133"/>
    <s v="Email"/>
    <s v="Normal"/>
    <s v="Export"/>
    <n v="162"/>
    <n v="2967"/>
    <s v="closed"/>
    <m/>
    <d v="2026-02-09T00:00:00"/>
    <n v="49.45"/>
    <n v="2.7"/>
    <s v="Breached"/>
    <s v="No Rating"/>
    <s v="Resolved"/>
    <s v="Feb-2026"/>
    <x v="8"/>
  </r>
  <r>
    <s v="TCK-000615"/>
    <s v="2026-02-10T02:38:24Z"/>
    <n v="1431"/>
    <s v="Chat"/>
    <s v="Urgent"/>
    <s v="Integration"/>
    <n v="8"/>
    <n v="149"/>
    <s v="closed"/>
    <n v="4"/>
    <d v="2026-02-10T00:00:00"/>
    <n v="2.4833333333333334"/>
    <n v="0.13333333333333333"/>
    <s v="Within SLA"/>
    <s v="Satisfied"/>
    <s v="Resolved"/>
    <s v="Feb-2026"/>
    <x v="8"/>
  </r>
  <r>
    <s v="TCK-000616"/>
    <s v="2026-02-10T11:24:00Z"/>
    <n v="1035"/>
    <s v="Email"/>
    <s v="High"/>
    <s v="Billing"/>
    <n v="35"/>
    <n v="311"/>
    <s v="closed"/>
    <m/>
    <d v="2026-02-10T00:00:00"/>
    <n v="5.1833333333333336"/>
    <n v="0.58333333333333337"/>
    <s v="Within SLA"/>
    <s v="No Rating"/>
    <s v="Resolved"/>
    <s v="Feb-2026"/>
    <x v="8"/>
  </r>
  <r>
    <s v="TCK-000617"/>
    <s v="2026-02-10T20:09:36Z"/>
    <n v="1246"/>
    <s v="Email"/>
    <s v="Low"/>
    <s v="Export"/>
    <n v="362"/>
    <n v="2694"/>
    <s v="closed"/>
    <n v="4"/>
    <d v="2026-02-10T00:00:00"/>
    <n v="44.9"/>
    <n v="6.0333333333333332"/>
    <s v="Within SLA"/>
    <s v="Satisfied"/>
    <s v="Resolved"/>
    <s v="Feb-2026"/>
    <x v="8"/>
  </r>
  <r>
    <s v="TCK-000618"/>
    <s v="2026-02-11T04:55:12Z"/>
    <n v="1808"/>
    <s v="Chat"/>
    <s v="Urgent"/>
    <s v="Integration"/>
    <n v="11"/>
    <n v="332"/>
    <s v="closed"/>
    <m/>
    <d v="2026-02-11T00:00:00"/>
    <n v="5.5333333333333332"/>
    <n v="0.18333333333333332"/>
    <s v="Within SLA"/>
    <s v="No Rating"/>
    <s v="Resolved"/>
    <s v="Feb-2026"/>
    <x v="8"/>
  </r>
  <r>
    <s v="TCK-000619"/>
    <s v="2026-02-11T13:40:48Z"/>
    <n v="1437"/>
    <s v="Chat"/>
    <s v="Normal"/>
    <s v="Export"/>
    <n v="179"/>
    <n v="1690"/>
    <s v="closed"/>
    <n v="3"/>
    <d v="2026-02-11T00:00:00"/>
    <n v="28.166666666666668"/>
    <n v="2.9833333333333334"/>
    <s v="Within SLA"/>
    <s v="Neutral"/>
    <s v="Resolved"/>
    <s v="Feb-2026"/>
    <x v="8"/>
  </r>
  <r>
    <s v="TCK-000620"/>
    <s v="2026-02-11T22:26:24Z"/>
    <n v="1584"/>
    <s v="Web form"/>
    <s v="Urgent"/>
    <s v="Login"/>
    <n v="8"/>
    <n v="364"/>
    <s v="closed"/>
    <n v="4"/>
    <d v="2026-02-11T00:00:00"/>
    <n v="6.0666666666666664"/>
    <n v="0.13333333333333333"/>
    <s v="Within SLA"/>
    <s v="Satisfied"/>
    <s v="Resolved"/>
    <s v="Feb-2026"/>
    <x v="8"/>
  </r>
  <r>
    <s v="TCK-000621"/>
    <s v="2026-02-12T07:12:00Z"/>
    <n v="1148"/>
    <s v="Phone"/>
    <s v="Low"/>
    <s v="Export"/>
    <n v="377"/>
    <n v="4931"/>
    <s v="resolved"/>
    <n v="5"/>
    <d v="2026-02-12T00:00:00"/>
    <n v="82.183333333333337"/>
    <n v="6.2833333333333332"/>
    <s v="Breached"/>
    <s v="Satisfied"/>
    <s v="Resolved"/>
    <s v="Feb-2026"/>
    <x v="8"/>
  </r>
  <r>
    <s v="TCK-000622"/>
    <s v="2026-02-12T15:57:36Z"/>
    <n v="1578"/>
    <s v="Social"/>
    <s v="Normal"/>
    <s v="Integration"/>
    <n v="74"/>
    <n v="1674"/>
    <s v="resolved"/>
    <n v="5"/>
    <d v="2026-02-12T00:00:00"/>
    <n v="27.9"/>
    <n v="1.2333333333333334"/>
    <s v="Within SLA"/>
    <s v="Satisfied"/>
    <s v="Resolved"/>
    <s v="Feb-2026"/>
    <x v="8"/>
  </r>
  <r>
    <s v="TCK-000623"/>
    <s v="2026-02-13T00:43:12Z"/>
    <n v="1891"/>
    <s v="Phone"/>
    <s v="Normal"/>
    <s v="Export"/>
    <n v="39"/>
    <n v="3594"/>
    <s v="closed"/>
    <n v="5"/>
    <d v="2026-02-13T00:00:00"/>
    <n v="59.9"/>
    <n v="0.65"/>
    <s v="Breached"/>
    <s v="Satisfied"/>
    <s v="Resolved"/>
    <s v="Feb-2026"/>
    <x v="8"/>
  </r>
  <r>
    <s v="TCK-000624"/>
    <s v="2026-02-13T09:28:48Z"/>
    <n v="1414"/>
    <s v="Phone"/>
    <s v="Normal"/>
    <s v="Data import"/>
    <n v="54"/>
    <n v="1980"/>
    <s v="closed"/>
    <m/>
    <d v="2026-02-13T00:00:00"/>
    <n v="33"/>
    <n v="0.9"/>
    <s v="Within SLA"/>
    <s v="No Rating"/>
    <s v="Resolved"/>
    <s v="Feb-2026"/>
    <x v="8"/>
  </r>
  <r>
    <s v="TCK-000625"/>
    <s v="2026-02-13T18:14:24Z"/>
    <n v="1335"/>
    <s v="Email"/>
    <s v="Low"/>
    <s v="Data import"/>
    <n v="295"/>
    <n v="1386"/>
    <s v="closed"/>
    <m/>
    <d v="2026-02-13T00:00:00"/>
    <n v="23.1"/>
    <n v="4.916666666666667"/>
    <s v="Within SLA"/>
    <s v="No Rating"/>
    <s v="Resolved"/>
    <s v="Feb-2026"/>
    <x v="8"/>
  </r>
  <r>
    <s v="TCK-000626"/>
    <s v="2026-02-14T03:00:00Z"/>
    <n v="1930"/>
    <s v="Web form"/>
    <s v="Normal"/>
    <s v="Integration"/>
    <n v="49"/>
    <n v="2942"/>
    <s v="closed"/>
    <n v="2"/>
    <d v="2026-02-14T00:00:00"/>
    <n v="49.033333333333331"/>
    <n v="0.81666666666666665"/>
    <s v="Breached"/>
    <s v="Dissatisfied"/>
    <s v="Resolved"/>
    <s v="Feb-2026"/>
    <x v="8"/>
  </r>
  <r>
    <s v="TCK-000627"/>
    <s v="2026-02-14T11:45:36Z"/>
    <n v="1493"/>
    <s v="Email"/>
    <s v="Low"/>
    <s v="Feature request"/>
    <n v="253"/>
    <n v="3860"/>
    <s v="closed"/>
    <m/>
    <d v="2026-02-14T00:00:00"/>
    <n v="64.333333333333329"/>
    <n v="4.2166666666666668"/>
    <s v="Within SLA"/>
    <s v="No Rating"/>
    <s v="Resolved"/>
    <s v="Feb-2026"/>
    <x v="8"/>
  </r>
  <r>
    <s v="TCK-000628"/>
    <s v="2026-02-14T20:31:12Z"/>
    <n v="1662"/>
    <s v="Phone"/>
    <s v="Urgent"/>
    <s v="Billing"/>
    <n v="10"/>
    <n v="240"/>
    <s v="closed"/>
    <n v="1"/>
    <d v="2026-02-14T00:00:00"/>
    <n v="4"/>
    <n v="0.16666666666666666"/>
    <s v="Within SLA"/>
    <s v="Dissatisfied"/>
    <s v="Resolved"/>
    <s v="Feb-2026"/>
    <x v="8"/>
  </r>
  <r>
    <s v="TCK-000629"/>
    <s v="2026-02-15T05:16:48Z"/>
    <n v="1680"/>
    <s v="Web form"/>
    <s v="Normal"/>
    <s v="Login"/>
    <n v="149"/>
    <n v="2265"/>
    <s v="resolved"/>
    <n v="5"/>
    <d v="2026-02-15T00:00:00"/>
    <n v="37.75"/>
    <n v="2.4833333333333334"/>
    <s v="Within SLA"/>
    <s v="Satisfied"/>
    <s v="Resolved"/>
    <s v="Feb-2026"/>
    <x v="8"/>
  </r>
  <r>
    <s v="TCK-000630"/>
    <s v="2026-02-15T14:02:24Z"/>
    <n v="1488"/>
    <s v="Email"/>
    <s v="Normal"/>
    <s v="Account"/>
    <n v="168"/>
    <n v="3494"/>
    <s v="closed"/>
    <n v="3"/>
    <d v="2026-02-15T00:00:00"/>
    <n v="58.233333333333334"/>
    <n v="2.8"/>
    <s v="Breached"/>
    <s v="Neutral"/>
    <s v="Resolved"/>
    <s v="Feb-2026"/>
    <x v="8"/>
  </r>
  <r>
    <s v="TCK-000631"/>
    <s v="2026-02-15T22:48:00Z"/>
    <n v="1440"/>
    <s v="Social"/>
    <s v="Normal"/>
    <s v="Billing"/>
    <n v="36"/>
    <n v="2697"/>
    <s v="closed"/>
    <n v="5"/>
    <d v="2026-02-15T00:00:00"/>
    <n v="44.95"/>
    <n v="0.6"/>
    <s v="Within SLA"/>
    <s v="Satisfied"/>
    <s v="Resolved"/>
    <s v="Feb-2026"/>
    <x v="8"/>
  </r>
  <r>
    <s v="TCK-000632"/>
    <s v="2026-02-16T07:33:36Z"/>
    <n v="1286"/>
    <s v="Email"/>
    <s v="Normal"/>
    <s v="Login"/>
    <n v="146"/>
    <n v="656"/>
    <s v="closed"/>
    <m/>
    <d v="2026-02-16T00:00:00"/>
    <n v="10.933333333333334"/>
    <n v="2.4333333333333331"/>
    <s v="Within SLA"/>
    <s v="No Rating"/>
    <s v="Resolved"/>
    <s v="Feb-2026"/>
    <x v="8"/>
  </r>
  <r>
    <s v="TCK-000633"/>
    <s v="2026-02-16T16:19:12Z"/>
    <n v="1050"/>
    <s v="Phone"/>
    <s v="Low"/>
    <s v="Account"/>
    <n v="353"/>
    <n v="8536"/>
    <s v="closed"/>
    <m/>
    <d v="2026-02-16T00:00:00"/>
    <n v="142.26666666666668"/>
    <n v="5.8833333333333337"/>
    <s v="Breached"/>
    <s v="No Rating"/>
    <s v="Resolved"/>
    <s v="Feb-2026"/>
    <x v="8"/>
  </r>
  <r>
    <s v="TCK-000634"/>
    <s v="2026-02-17T01:04:48Z"/>
    <n v="1500"/>
    <s v="Phone"/>
    <s v="Normal"/>
    <s v="Login"/>
    <n v="167"/>
    <m/>
    <s v="pending"/>
    <m/>
    <d v="2026-02-17T00:00:00"/>
    <s v=""/>
    <n v="2.7833333333333332"/>
    <s v="Open"/>
    <s v="No Rating"/>
    <s v="Unresolved"/>
    <s v="Feb-2026"/>
    <x v="8"/>
  </r>
  <r>
    <s v="TCK-000635"/>
    <s v="2026-02-17T09:50:24Z"/>
    <n v="1565"/>
    <s v="Email"/>
    <s v="High"/>
    <s v="Data import"/>
    <n v="42"/>
    <m/>
    <s v="open"/>
    <m/>
    <d v="2026-02-17T00:00:00"/>
    <s v=""/>
    <n v="0.7"/>
    <s v="Open"/>
    <s v="No Rating"/>
    <s v="Unresolved"/>
    <s v="Feb-2026"/>
    <x v="8"/>
  </r>
  <r>
    <s v="TCK-000636"/>
    <s v="2026-02-17T18:36:00Z"/>
    <n v="1717"/>
    <s v="Email"/>
    <s v="Normal"/>
    <s v="Login"/>
    <n v="88"/>
    <n v="973"/>
    <s v="resolved"/>
    <n v="2"/>
    <d v="2026-02-17T00:00:00"/>
    <n v="16.216666666666665"/>
    <n v="1.4666666666666666"/>
    <s v="Within SLA"/>
    <s v="Dissatisfied"/>
    <s v="Resolved"/>
    <s v="Feb-2026"/>
    <x v="8"/>
  </r>
  <r>
    <s v="TCK-000637"/>
    <s v="2026-02-18T03:21:36Z"/>
    <n v="1353"/>
    <s v="Phone"/>
    <s v="Urgent"/>
    <s v="Feature request"/>
    <n v="11"/>
    <n v="379"/>
    <s v="closed"/>
    <m/>
    <d v="2026-02-18T00:00:00"/>
    <n v="6.3166666666666664"/>
    <n v="0.18333333333333332"/>
    <s v="Within SLA"/>
    <s v="No Rating"/>
    <s v="Resolved"/>
    <s v="Feb-2026"/>
    <x v="8"/>
  </r>
  <r>
    <s v="TCK-000638"/>
    <s v="2026-02-18T12:07:12Z"/>
    <n v="1261"/>
    <s v="Web form"/>
    <s v="Normal"/>
    <s v="Bug report"/>
    <n v="54"/>
    <n v="2174"/>
    <s v="resolved"/>
    <n v="2"/>
    <d v="2026-02-18T00:00:00"/>
    <n v="36.233333333333334"/>
    <n v="0.9"/>
    <s v="Within SLA"/>
    <s v="Dissatisfied"/>
    <s v="Resolved"/>
    <s v="Feb-2026"/>
    <x v="8"/>
  </r>
  <r>
    <s v="TCK-000639"/>
    <s v="2026-02-18T20:52:48Z"/>
    <n v="1013"/>
    <s v="Web form"/>
    <s v="High"/>
    <s v="Bug report"/>
    <n v="40"/>
    <m/>
    <s v="pending"/>
    <m/>
    <d v="2026-02-18T00:00:00"/>
    <s v=""/>
    <n v="0.66666666666666663"/>
    <s v="Open"/>
    <s v="No Rating"/>
    <s v="Unresolved"/>
    <s v="Feb-2026"/>
    <x v="8"/>
  </r>
  <r>
    <s v="TCK-000640"/>
    <s v="2026-02-19T05:38:24Z"/>
    <n v="1047"/>
    <s v="Email"/>
    <s v="Normal"/>
    <s v="Billing"/>
    <n v="159"/>
    <n v="2632"/>
    <s v="closed"/>
    <m/>
    <d v="2026-02-19T00:00:00"/>
    <n v="43.866666666666667"/>
    <n v="2.65"/>
    <s v="Within SLA"/>
    <s v="No Rating"/>
    <s v="Resolved"/>
    <s v="Feb-2026"/>
    <x v="8"/>
  </r>
  <r>
    <s v="TCK-000641"/>
    <s v="2026-02-19T14:24:00Z"/>
    <n v="1531"/>
    <s v="Social"/>
    <s v="Normal"/>
    <s v="Feature request"/>
    <n v="81"/>
    <n v="2338"/>
    <s v="closed"/>
    <n v="5"/>
    <d v="2026-02-19T00:00:00"/>
    <n v="38.966666666666669"/>
    <n v="1.35"/>
    <s v="Within SLA"/>
    <s v="Satisfied"/>
    <s v="Resolved"/>
    <s v="Feb-2026"/>
    <x v="8"/>
  </r>
  <r>
    <s v="TCK-000642"/>
    <s v="2026-02-19T23:09:36Z"/>
    <n v="1509"/>
    <s v="Social"/>
    <s v="Normal"/>
    <s v="Login"/>
    <n v="94"/>
    <n v="3467"/>
    <s v="resolved"/>
    <n v="3"/>
    <d v="2026-02-19T00:00:00"/>
    <n v="57.783333333333331"/>
    <n v="1.5666666666666667"/>
    <s v="Breached"/>
    <s v="Neutral"/>
    <s v="Resolved"/>
    <s v="Feb-2026"/>
    <x v="8"/>
  </r>
  <r>
    <s v="TCK-000643"/>
    <s v="2026-02-20T07:55:12Z"/>
    <n v="1494"/>
    <s v="Web form"/>
    <s v="Urgent"/>
    <s v="Integration"/>
    <n v="4"/>
    <n v="383"/>
    <s v="closed"/>
    <n v="5"/>
    <d v="2026-02-20T00:00:00"/>
    <n v="6.3833333333333337"/>
    <n v="6.6666666666666666E-2"/>
    <s v="Within SLA"/>
    <s v="Satisfied"/>
    <s v="Resolved"/>
    <s v="Feb-2026"/>
    <x v="8"/>
  </r>
  <r>
    <s v="TCK-000644"/>
    <s v="2026-02-20T16:40:48Z"/>
    <n v="1394"/>
    <s v="Social"/>
    <s v="Normal"/>
    <s v="Billing"/>
    <n v="156"/>
    <n v="2280"/>
    <s v="closed"/>
    <m/>
    <d v="2026-02-20T00:00:00"/>
    <n v="38"/>
    <n v="2.6"/>
    <s v="Within SLA"/>
    <s v="No Rating"/>
    <s v="Resolved"/>
    <s v="Feb-2026"/>
    <x v="8"/>
  </r>
  <r>
    <s v="TCK-000645"/>
    <s v="2026-02-21T01:26:24Z"/>
    <n v="1469"/>
    <s v="Social"/>
    <s v="Normal"/>
    <s v="Performance"/>
    <n v="46"/>
    <n v="1821"/>
    <s v="closed"/>
    <m/>
    <d v="2026-02-21T00:00:00"/>
    <n v="30.35"/>
    <n v="0.76666666666666672"/>
    <s v="Within SLA"/>
    <s v="No Rating"/>
    <s v="Resolved"/>
    <s v="Feb-2026"/>
    <x v="8"/>
  </r>
  <r>
    <s v="TCK-000646"/>
    <s v="2026-02-21T10:12:00Z"/>
    <n v="1486"/>
    <s v="Web form"/>
    <s v="Low"/>
    <s v="Feature request"/>
    <n v="454"/>
    <n v="8997"/>
    <s v="closed"/>
    <n v="1"/>
    <d v="2026-02-21T00:00:00"/>
    <n v="149.94999999999999"/>
    <n v="7.5666666666666664"/>
    <s v="Breached"/>
    <s v="Dissatisfied"/>
    <s v="Resolved"/>
    <s v="Feb-2026"/>
    <x v="8"/>
  </r>
  <r>
    <s v="TCK-000647"/>
    <s v="2026-02-21T18:57:36Z"/>
    <n v="1733"/>
    <s v="Social"/>
    <s v="High"/>
    <s v="Login"/>
    <n v="21"/>
    <n v="294"/>
    <s v="closed"/>
    <m/>
    <d v="2026-02-21T00:00:00"/>
    <n v="4.9000000000000004"/>
    <n v="0.35"/>
    <s v="Within SLA"/>
    <s v="No Rating"/>
    <s v="Resolved"/>
    <s v="Feb-2026"/>
    <x v="8"/>
  </r>
  <r>
    <s v="TCK-000648"/>
    <s v="2026-02-22T03:43:12Z"/>
    <n v="1152"/>
    <s v="Phone"/>
    <s v="Urgent"/>
    <s v="Data import"/>
    <n v="3"/>
    <n v="356"/>
    <s v="closed"/>
    <m/>
    <d v="2026-02-22T00:00:00"/>
    <n v="5.9333333333333336"/>
    <n v="0.05"/>
    <s v="Within SLA"/>
    <s v="No Rating"/>
    <s v="Resolved"/>
    <s v="Feb-2026"/>
    <x v="8"/>
  </r>
  <r>
    <s v="TCK-000649"/>
    <s v="2026-02-22T12:28:48Z"/>
    <n v="1591"/>
    <s v="Chat"/>
    <s v="High"/>
    <s v="Integration"/>
    <n v="25"/>
    <n v="1229"/>
    <s v="closed"/>
    <m/>
    <d v="2026-02-22T00:00:00"/>
    <n v="20.483333333333334"/>
    <n v="0.41666666666666669"/>
    <s v="Within SLA"/>
    <s v="No Rating"/>
    <s v="Resolved"/>
    <s v="Feb-2026"/>
    <x v="8"/>
  </r>
  <r>
    <s v="TCK-000650"/>
    <s v="2026-02-22T21:14:24Z"/>
    <n v="1547"/>
    <s v="Web form"/>
    <s v="Low"/>
    <s v="Integration"/>
    <n v="218"/>
    <n v="8434"/>
    <s v="closed"/>
    <n v="5"/>
    <d v="2026-02-22T00:00:00"/>
    <n v="140.56666666666666"/>
    <n v="3.6333333333333333"/>
    <s v="Breached"/>
    <s v="Satisfied"/>
    <s v="Resolved"/>
    <s v="Feb-2026"/>
    <x v="8"/>
  </r>
  <r>
    <s v="TCK-000651"/>
    <s v="2026-02-23T06:00:00Z"/>
    <n v="1212"/>
    <s v="Email"/>
    <s v="High"/>
    <s v="Integration"/>
    <n v="46"/>
    <n v="1224"/>
    <s v="closed"/>
    <m/>
    <d v="2026-02-23T00:00:00"/>
    <n v="20.399999999999999"/>
    <n v="0.76666666666666672"/>
    <s v="Within SLA"/>
    <s v="No Rating"/>
    <s v="Resolved"/>
    <s v="Feb-2026"/>
    <x v="8"/>
  </r>
  <r>
    <s v="TCK-000652"/>
    <s v="2026-02-23T14:45:36Z"/>
    <n v="1843"/>
    <s v="Social"/>
    <s v="Low"/>
    <s v="Account"/>
    <n v="235"/>
    <m/>
    <s v="open"/>
    <m/>
    <d v="2026-02-23T00:00:00"/>
    <s v=""/>
    <n v="3.9166666666666665"/>
    <s v="Open"/>
    <s v="No Rating"/>
    <s v="Unresolved"/>
    <s v="Feb-2026"/>
    <x v="8"/>
  </r>
  <r>
    <s v="TCK-000653"/>
    <s v="2026-02-23T23:31:12Z"/>
    <n v="1170"/>
    <s v="Web form"/>
    <s v="Normal"/>
    <s v="Login"/>
    <n v="110"/>
    <n v="2815"/>
    <s v="resolved"/>
    <n v="4"/>
    <d v="2026-02-23T00:00:00"/>
    <n v="46.916666666666664"/>
    <n v="1.8333333333333333"/>
    <s v="Within SLA"/>
    <s v="Satisfied"/>
    <s v="Resolved"/>
    <s v="Feb-2026"/>
    <x v="8"/>
  </r>
  <r>
    <s v="TCK-000654"/>
    <s v="2026-02-24T08:16:48Z"/>
    <n v="1378"/>
    <s v="Social"/>
    <s v="Urgent"/>
    <s v="Integration"/>
    <n v="2"/>
    <n v="383"/>
    <s v="closed"/>
    <n v="3"/>
    <d v="2026-02-24T00:00:00"/>
    <n v="6.3833333333333337"/>
    <n v="3.3333333333333333E-2"/>
    <s v="Within SLA"/>
    <s v="Neutral"/>
    <s v="Resolved"/>
    <s v="Feb-2026"/>
    <x v="8"/>
  </r>
  <r>
    <s v="TCK-000655"/>
    <s v="2026-02-24T17:02:24Z"/>
    <n v="1504"/>
    <s v="Web form"/>
    <s v="Normal"/>
    <s v="Feature request"/>
    <n v="99"/>
    <n v="1790"/>
    <s v="closed"/>
    <m/>
    <d v="2026-02-24T00:00:00"/>
    <n v="29.833333333333332"/>
    <n v="1.65"/>
    <s v="Within SLA"/>
    <s v="No Rating"/>
    <s v="Resolved"/>
    <s v="Feb-2026"/>
    <x v="8"/>
  </r>
  <r>
    <s v="TCK-000656"/>
    <s v="2026-02-25T01:48:00Z"/>
    <n v="1888"/>
    <s v="Phone"/>
    <s v="Normal"/>
    <s v="Account"/>
    <n v="92"/>
    <n v="1594"/>
    <s v="closed"/>
    <m/>
    <d v="2026-02-25T00:00:00"/>
    <n v="26.566666666666666"/>
    <n v="1.5333333333333334"/>
    <s v="Within SLA"/>
    <s v="No Rating"/>
    <s v="Resolved"/>
    <s v="Feb-2026"/>
    <x v="8"/>
  </r>
  <r>
    <s v="TCK-000657"/>
    <s v="2026-02-25T10:33:36Z"/>
    <n v="1751"/>
    <s v="Email"/>
    <s v="Urgent"/>
    <s v="Performance"/>
    <n v="12"/>
    <n v="315"/>
    <s v="resolved"/>
    <m/>
    <d v="2026-02-25T00:00:00"/>
    <n v="5.25"/>
    <n v="0.2"/>
    <s v="Within SLA"/>
    <s v="No Rating"/>
    <s v="Resolved"/>
    <s v="Feb-2026"/>
    <x v="8"/>
  </r>
  <r>
    <s v="TCK-000658"/>
    <s v="2026-02-25T19:19:12Z"/>
    <n v="1979"/>
    <s v="Social"/>
    <s v="Low"/>
    <s v="Integration"/>
    <n v="141"/>
    <m/>
    <s v="open"/>
    <m/>
    <d v="2026-02-25T00:00:00"/>
    <s v=""/>
    <n v="2.35"/>
    <s v="Open"/>
    <s v="No Rating"/>
    <s v="Unresolved"/>
    <s v="Feb-2026"/>
    <x v="8"/>
  </r>
  <r>
    <s v="TCK-000659"/>
    <s v="2026-02-26T04:04:48Z"/>
    <n v="1432"/>
    <s v="Email"/>
    <s v="High"/>
    <s v="Bug report"/>
    <n v="27"/>
    <n v="1123"/>
    <s v="resolved"/>
    <n v="4"/>
    <d v="2026-02-26T00:00:00"/>
    <n v="18.716666666666665"/>
    <n v="0.45"/>
    <s v="Within SLA"/>
    <s v="Satisfied"/>
    <s v="Resolved"/>
    <s v="Feb-2026"/>
    <x v="8"/>
  </r>
  <r>
    <s v="TCK-000660"/>
    <s v="2026-02-26T12:50:24Z"/>
    <n v="1200"/>
    <s v="Web form"/>
    <s v="High"/>
    <s v="Bug report"/>
    <n v="39"/>
    <n v="839"/>
    <s v="resolved"/>
    <n v="5"/>
    <d v="2026-02-26T00:00:00"/>
    <n v="13.983333333333333"/>
    <n v="0.65"/>
    <s v="Within SLA"/>
    <s v="Satisfied"/>
    <s v="Resolved"/>
    <s v="Feb-2026"/>
    <x v="8"/>
  </r>
  <r>
    <s v="TCK-000661"/>
    <s v="2026-02-26T21:36:00Z"/>
    <n v="1284"/>
    <s v="Phone"/>
    <s v="Normal"/>
    <s v="Billing"/>
    <n v="40"/>
    <n v="2909"/>
    <s v="closed"/>
    <m/>
    <d v="2026-02-26T00:00:00"/>
    <n v="48.483333333333334"/>
    <n v="0.66666666666666663"/>
    <s v="Breached"/>
    <s v="No Rating"/>
    <s v="Resolved"/>
    <s v="Feb-2026"/>
    <x v="8"/>
  </r>
  <r>
    <s v="TCK-000662"/>
    <s v="2026-02-27T06:21:36Z"/>
    <n v="1838"/>
    <s v="Chat"/>
    <s v="Urgent"/>
    <s v="Bug report"/>
    <n v="11"/>
    <n v="419"/>
    <s v="closed"/>
    <n v="1"/>
    <d v="2026-02-27T00:00:00"/>
    <n v="6.9833333333333334"/>
    <n v="0.18333333333333332"/>
    <s v="Within SLA"/>
    <s v="Dissatisfied"/>
    <s v="Resolved"/>
    <s v="Feb-2026"/>
    <x v="8"/>
  </r>
  <r>
    <s v="TCK-000663"/>
    <s v="2026-02-27T15:07:12Z"/>
    <n v="1542"/>
    <s v="Chat"/>
    <s v="High"/>
    <s v="Export"/>
    <n v="33"/>
    <n v="506"/>
    <s v="closed"/>
    <n v="4"/>
    <d v="2026-02-27T00:00:00"/>
    <n v="8.4333333333333336"/>
    <n v="0.55000000000000004"/>
    <s v="Within SLA"/>
    <s v="Satisfied"/>
    <s v="Resolved"/>
    <s v="Feb-2026"/>
    <x v="8"/>
  </r>
  <r>
    <s v="TCK-000664"/>
    <s v="2026-02-27T23:52:48Z"/>
    <n v="1010"/>
    <s v="Email"/>
    <s v="Normal"/>
    <s v="Login"/>
    <n v="97"/>
    <n v="1607"/>
    <s v="closed"/>
    <n v="4"/>
    <d v="2026-02-27T00:00:00"/>
    <n v="26.783333333333335"/>
    <n v="1.6166666666666667"/>
    <s v="Within SLA"/>
    <s v="Satisfied"/>
    <s v="Resolved"/>
    <s v="Feb-2026"/>
    <x v="8"/>
  </r>
  <r>
    <s v="TCK-000665"/>
    <s v="2026-02-28T08:38:24Z"/>
    <n v="1014"/>
    <s v="Web form"/>
    <s v="Low"/>
    <s v="Data import"/>
    <n v="398"/>
    <n v="8694"/>
    <s v="closed"/>
    <m/>
    <d v="2026-02-28T00:00:00"/>
    <n v="144.9"/>
    <n v="6.6333333333333337"/>
    <s v="Breached"/>
    <s v="No Rating"/>
    <s v="Resolved"/>
    <s v="Feb-2026"/>
    <x v="8"/>
  </r>
  <r>
    <s v="TCK-000666"/>
    <s v="2026-02-28T17:24:00Z"/>
    <n v="1697"/>
    <s v="Email"/>
    <s v="Urgent"/>
    <s v="Export"/>
    <n v="2"/>
    <n v="288"/>
    <s v="resolved"/>
    <m/>
    <d v="2026-02-28T00:00:00"/>
    <n v="4.8"/>
    <n v="3.3333333333333333E-2"/>
    <s v="Within SLA"/>
    <s v="No Rating"/>
    <s v="Resolved"/>
    <s v="Feb-2026"/>
    <x v="8"/>
  </r>
  <r>
    <s v="TCK-000667"/>
    <s v="2026-03-01T02:09:36Z"/>
    <n v="1258"/>
    <s v="Phone"/>
    <s v="Normal"/>
    <s v="Login"/>
    <n v="82"/>
    <m/>
    <s v="pending"/>
    <m/>
    <d v="2026-03-01T00:00:00"/>
    <s v=""/>
    <n v="1.3666666666666667"/>
    <s v="Open"/>
    <s v="No Rating"/>
    <s v="Unresolved"/>
    <s v="Mar-2026"/>
    <x v="9"/>
  </r>
  <r>
    <s v="TCK-000668"/>
    <s v="2026-03-01T10:55:12Z"/>
    <n v="1314"/>
    <s v="Social"/>
    <s v="Urgent"/>
    <s v="Account"/>
    <n v="10"/>
    <n v="332"/>
    <s v="closed"/>
    <n v="1"/>
    <d v="2026-03-01T00:00:00"/>
    <n v="5.5333333333333332"/>
    <n v="0.16666666666666666"/>
    <s v="Within SLA"/>
    <s v="Dissatisfied"/>
    <s v="Resolved"/>
    <s v="Mar-2026"/>
    <x v="9"/>
  </r>
  <r>
    <s v="TCK-000669"/>
    <s v="2026-03-01T19:40:48Z"/>
    <n v="1546"/>
    <s v="Chat"/>
    <s v="High"/>
    <s v="Billing"/>
    <n v="17"/>
    <n v="965"/>
    <s v="resolved"/>
    <n v="1"/>
    <d v="2026-03-01T00:00:00"/>
    <n v="16.083333333333332"/>
    <n v="0.28333333333333333"/>
    <s v="Within SLA"/>
    <s v="Dissatisfied"/>
    <s v="Resolved"/>
    <s v="Mar-2026"/>
    <x v="9"/>
  </r>
  <r>
    <s v="TCK-000670"/>
    <s v="2026-03-02T04:26:24Z"/>
    <n v="1760"/>
    <s v="Chat"/>
    <s v="Low"/>
    <s v="Integration"/>
    <n v="353"/>
    <n v="5865"/>
    <s v="resolved"/>
    <n v="5"/>
    <d v="2026-03-02T00:00:00"/>
    <n v="97.75"/>
    <n v="5.8833333333333337"/>
    <s v="Breached"/>
    <s v="Satisfied"/>
    <s v="Resolved"/>
    <s v="Mar-2026"/>
    <x v="9"/>
  </r>
  <r>
    <s v="TCK-000671"/>
    <s v="2026-03-02T13:12:00Z"/>
    <n v="1788"/>
    <s v="Email"/>
    <s v="Normal"/>
    <s v="Bug report"/>
    <n v="101"/>
    <n v="1569"/>
    <s v="closed"/>
    <m/>
    <d v="2026-03-02T00:00:00"/>
    <n v="26.15"/>
    <n v="1.6833333333333333"/>
    <s v="Within SLA"/>
    <s v="No Rating"/>
    <s v="Resolved"/>
    <s v="Mar-2026"/>
    <x v="9"/>
  </r>
  <r>
    <s v="TCK-000672"/>
    <s v="2026-03-02T21:57:36Z"/>
    <n v="1671"/>
    <s v="Phone"/>
    <s v="Normal"/>
    <s v="Billing"/>
    <n v="177"/>
    <n v="602"/>
    <s v="resolved"/>
    <n v="1"/>
    <d v="2026-03-02T00:00:00"/>
    <n v="10.033333333333333"/>
    <n v="2.95"/>
    <s v="Within SLA"/>
    <s v="Dissatisfied"/>
    <s v="Resolved"/>
    <s v="Mar-2026"/>
    <x v="9"/>
  </r>
  <r>
    <s v="TCK-000673"/>
    <s v="2026-03-03T06:43:12Z"/>
    <n v="1431"/>
    <s v="Email"/>
    <s v="Low"/>
    <s v="Feature request"/>
    <n v="242"/>
    <n v="4345"/>
    <s v="resolved"/>
    <m/>
    <d v="2026-03-03T00:00:00"/>
    <n v="72.416666666666671"/>
    <n v="4.0333333333333332"/>
    <s v="Breached"/>
    <s v="No Rating"/>
    <s v="Resolved"/>
    <s v="Mar-2026"/>
    <x v="9"/>
  </r>
  <r>
    <s v="TCK-000674"/>
    <s v="2026-03-03T15:28:48Z"/>
    <n v="1367"/>
    <s v="Web form"/>
    <s v="High"/>
    <s v="Data import"/>
    <n v="11"/>
    <n v="861"/>
    <s v="closed"/>
    <n v="1"/>
    <d v="2026-03-03T00:00:00"/>
    <n v="14.35"/>
    <n v="0.18333333333333332"/>
    <s v="Within SLA"/>
    <s v="Dissatisfied"/>
    <s v="Resolved"/>
    <s v="Mar-2026"/>
    <x v="9"/>
  </r>
  <r>
    <s v="TCK-000675"/>
    <s v="2026-03-04T00:14:24Z"/>
    <n v="1481"/>
    <s v="Email"/>
    <s v="Urgent"/>
    <s v="Integration"/>
    <n v="4"/>
    <n v="418"/>
    <s v="closed"/>
    <m/>
    <d v="2026-03-04T00:00:00"/>
    <n v="6.9666666666666668"/>
    <n v="6.6666666666666666E-2"/>
    <s v="Within SLA"/>
    <s v="No Rating"/>
    <s v="Resolved"/>
    <s v="Mar-2026"/>
    <x v="9"/>
  </r>
  <r>
    <s v="TCK-000676"/>
    <s v="2026-03-04T09:00:00Z"/>
    <n v="1699"/>
    <s v="Chat"/>
    <s v="Normal"/>
    <s v="Data import"/>
    <n v="157"/>
    <n v="744"/>
    <s v="closed"/>
    <n v="2"/>
    <d v="2026-03-04T00:00:00"/>
    <n v="12.4"/>
    <n v="2.6166666666666667"/>
    <s v="Within SLA"/>
    <s v="Dissatisfied"/>
    <s v="Resolved"/>
    <s v="Mar-2026"/>
    <x v="9"/>
  </r>
  <r>
    <s v="TCK-000677"/>
    <s v="2026-03-04T17:45:36Z"/>
    <n v="1351"/>
    <s v="Web form"/>
    <s v="Low"/>
    <s v="Integration"/>
    <n v="295"/>
    <n v="3830"/>
    <s v="closed"/>
    <n v="5"/>
    <d v="2026-03-04T00:00:00"/>
    <n v="63.833333333333336"/>
    <n v="4.916666666666667"/>
    <s v="Within SLA"/>
    <s v="Satisfied"/>
    <s v="Resolved"/>
    <s v="Mar-2026"/>
    <x v="9"/>
  </r>
  <r>
    <s v="TCK-000678"/>
    <s v="2026-03-05T02:31:12Z"/>
    <n v="1578"/>
    <s v="Social"/>
    <s v="Normal"/>
    <s v="Account"/>
    <n v="143"/>
    <n v="3208"/>
    <s v="resolved"/>
    <n v="5"/>
    <d v="2026-03-05T00:00:00"/>
    <n v="53.466666666666669"/>
    <n v="2.3833333333333333"/>
    <s v="Breached"/>
    <s v="Satisfied"/>
    <s v="Resolved"/>
    <s v="Mar-2026"/>
    <x v="9"/>
  </r>
  <r>
    <s v="TCK-000679"/>
    <s v="2026-03-05T11:16:48Z"/>
    <n v="1749"/>
    <s v="Social"/>
    <s v="Normal"/>
    <s v="Feature request"/>
    <n v="96"/>
    <n v="2118"/>
    <s v="closed"/>
    <n v="2"/>
    <d v="2026-03-05T00:00:00"/>
    <n v="35.299999999999997"/>
    <n v="1.6"/>
    <s v="Within SLA"/>
    <s v="Dissatisfied"/>
    <s v="Resolved"/>
    <s v="Mar-2026"/>
    <x v="9"/>
  </r>
  <r>
    <s v="TCK-000680"/>
    <s v="2026-03-05T20:02:24Z"/>
    <n v="1062"/>
    <s v="Web form"/>
    <s v="Normal"/>
    <s v="Login"/>
    <n v="124"/>
    <n v="1281"/>
    <s v="closed"/>
    <m/>
    <d v="2026-03-05T00:00:00"/>
    <n v="21.35"/>
    <n v="2.0666666666666669"/>
    <s v="Within SLA"/>
    <s v="No Rating"/>
    <s v="Resolved"/>
    <s v="Mar-2026"/>
    <x v="9"/>
  </r>
  <r>
    <s v="TCK-000681"/>
    <s v="2026-03-06T04:48:00Z"/>
    <n v="1379"/>
    <s v="Chat"/>
    <s v="Normal"/>
    <s v="Bug report"/>
    <n v="166"/>
    <m/>
    <s v="open"/>
    <m/>
    <d v="2026-03-06T00:00:00"/>
    <s v=""/>
    <n v="2.7666666666666666"/>
    <s v="Open"/>
    <s v="No Rating"/>
    <s v="Unresolved"/>
    <s v="Mar-2026"/>
    <x v="9"/>
  </r>
  <r>
    <s v="TCK-000682"/>
    <s v="2026-03-06T13:33:36Z"/>
    <n v="1889"/>
    <s v="Social"/>
    <s v="Normal"/>
    <s v="Integration"/>
    <n v="83"/>
    <n v="792"/>
    <s v="resolved"/>
    <n v="2"/>
    <d v="2026-03-06T00:00:00"/>
    <n v="13.2"/>
    <n v="1.3833333333333333"/>
    <s v="Within SLA"/>
    <s v="Dissatisfied"/>
    <s v="Resolved"/>
    <s v="Mar-2026"/>
    <x v="9"/>
  </r>
  <r>
    <s v="TCK-000683"/>
    <s v="2026-03-06T22:19:12Z"/>
    <n v="1089"/>
    <s v="Social"/>
    <s v="Urgent"/>
    <s v="Integration"/>
    <n v="8"/>
    <n v="303"/>
    <s v="closed"/>
    <m/>
    <d v="2026-03-06T00:00:00"/>
    <n v="5.05"/>
    <n v="0.13333333333333333"/>
    <s v="Within SLA"/>
    <s v="No Rating"/>
    <s v="Resolved"/>
    <s v="Mar-2026"/>
    <x v="9"/>
  </r>
  <r>
    <s v="TCK-000684"/>
    <s v="2026-03-07T07:04:48Z"/>
    <n v="1218"/>
    <s v="Web form"/>
    <s v="Normal"/>
    <s v="Login"/>
    <n v="124"/>
    <n v="838"/>
    <s v="closed"/>
    <m/>
    <d v="2026-03-07T00:00:00"/>
    <n v="13.966666666666667"/>
    <n v="2.0666666666666669"/>
    <s v="Within SLA"/>
    <s v="No Rating"/>
    <s v="Resolved"/>
    <s v="Mar-2026"/>
    <x v="9"/>
  </r>
  <r>
    <s v="TCK-000685"/>
    <s v="2026-03-07T15:50:24Z"/>
    <n v="1792"/>
    <s v="Chat"/>
    <s v="Low"/>
    <s v="Integration"/>
    <n v="349"/>
    <n v="1431"/>
    <s v="resolved"/>
    <n v="5"/>
    <d v="2026-03-07T00:00:00"/>
    <n v="23.85"/>
    <n v="5.8166666666666664"/>
    <s v="Within SLA"/>
    <s v="Satisfied"/>
    <s v="Resolved"/>
    <s v="Mar-2026"/>
    <x v="9"/>
  </r>
  <r>
    <s v="TCK-000686"/>
    <s v="2026-03-08T00:36:00Z"/>
    <n v="1988"/>
    <s v="Web form"/>
    <s v="Normal"/>
    <s v="Performance"/>
    <n v="46"/>
    <n v="3363"/>
    <s v="resolved"/>
    <m/>
    <d v="2026-03-08T00:00:00"/>
    <n v="56.05"/>
    <n v="0.76666666666666672"/>
    <s v="Breached"/>
    <s v="No Rating"/>
    <s v="Resolved"/>
    <s v="Mar-2026"/>
    <x v="9"/>
  </r>
  <r>
    <s v="TCK-000687"/>
    <s v="2026-03-08T09:21:36Z"/>
    <n v="1909"/>
    <s v="Social"/>
    <s v="High"/>
    <s v="Bug report"/>
    <n v="12"/>
    <n v="819"/>
    <s v="closed"/>
    <n v="3"/>
    <d v="2026-03-08T00:00:00"/>
    <n v="13.65"/>
    <n v="0.2"/>
    <s v="Within SLA"/>
    <s v="Neutral"/>
    <s v="Resolved"/>
    <s v="Mar-2026"/>
    <x v="9"/>
  </r>
  <r>
    <s v="TCK-000688"/>
    <s v="2026-03-08T18:07:12Z"/>
    <n v="1730"/>
    <s v="Web form"/>
    <s v="Normal"/>
    <s v="Data import"/>
    <n v="71"/>
    <n v="1019"/>
    <s v="closed"/>
    <m/>
    <d v="2026-03-08T00:00:00"/>
    <n v="16.983333333333334"/>
    <n v="1.1833333333333333"/>
    <s v="Within SLA"/>
    <s v="No Rating"/>
    <s v="Resolved"/>
    <s v="Mar-2026"/>
    <x v="9"/>
  </r>
  <r>
    <s v="TCK-000689"/>
    <s v="2026-03-09T02:52:48Z"/>
    <n v="1630"/>
    <s v="Phone"/>
    <s v="Normal"/>
    <s v="Login"/>
    <n v="69"/>
    <n v="808"/>
    <s v="closed"/>
    <m/>
    <d v="2026-03-09T00:00:00"/>
    <n v="13.466666666666667"/>
    <n v="1.1499999999999999"/>
    <s v="Within SLA"/>
    <s v="No Rating"/>
    <s v="Resolved"/>
    <s v="Mar-2026"/>
    <x v="9"/>
  </r>
  <r>
    <s v="TCK-000690"/>
    <s v="2026-03-09T11:38:24Z"/>
    <n v="1287"/>
    <s v="Chat"/>
    <s v="Urgent"/>
    <s v="Export"/>
    <n v="9"/>
    <n v="341"/>
    <s v="resolved"/>
    <m/>
    <d v="2026-03-09T00:00:00"/>
    <n v="5.6833333333333336"/>
    <n v="0.15"/>
    <s v="Within SLA"/>
    <s v="No Rating"/>
    <s v="Resolved"/>
    <s v="Mar-2026"/>
    <x v="9"/>
  </r>
  <r>
    <s v="TCK-000691"/>
    <s v="2026-03-09T20:24:00Z"/>
    <n v="1129"/>
    <s v="Web form"/>
    <s v="Normal"/>
    <s v="Performance"/>
    <n v="83"/>
    <n v="1990"/>
    <s v="closed"/>
    <m/>
    <d v="2026-03-09T00:00:00"/>
    <n v="33.166666666666664"/>
    <n v="1.3833333333333333"/>
    <s v="Within SLA"/>
    <s v="No Rating"/>
    <s v="Resolved"/>
    <s v="Mar-2026"/>
    <x v="9"/>
  </r>
  <r>
    <s v="TCK-000692"/>
    <s v="2026-03-10T05:09:36Z"/>
    <n v="1320"/>
    <s v="Web form"/>
    <s v="Low"/>
    <s v="Login"/>
    <n v="223"/>
    <n v="1663"/>
    <s v="closed"/>
    <n v="3"/>
    <d v="2026-03-10T00:00:00"/>
    <n v="27.716666666666665"/>
    <n v="3.7166666666666668"/>
    <s v="Within SLA"/>
    <s v="Neutral"/>
    <s v="Resolved"/>
    <s v="Mar-2026"/>
    <x v="9"/>
  </r>
  <r>
    <s v="TCK-000693"/>
    <s v="2026-03-10T13:55:12Z"/>
    <n v="1082"/>
    <s v="Email"/>
    <s v="Normal"/>
    <s v="Billing"/>
    <n v="123"/>
    <n v="978"/>
    <s v="closed"/>
    <n v="2"/>
    <d v="2026-03-10T00:00:00"/>
    <n v="16.3"/>
    <n v="2.0499999999999998"/>
    <s v="Within SLA"/>
    <s v="Dissatisfied"/>
    <s v="Resolved"/>
    <s v="Mar-2026"/>
    <x v="9"/>
  </r>
  <r>
    <s v="TCK-000694"/>
    <s v="2026-03-10T22:40:48Z"/>
    <n v="1972"/>
    <s v="Phone"/>
    <s v="Normal"/>
    <s v="Login"/>
    <n v="36"/>
    <n v="3035"/>
    <s v="closed"/>
    <n v="4"/>
    <d v="2026-03-10T00:00:00"/>
    <n v="50.583333333333336"/>
    <n v="0.6"/>
    <s v="Breached"/>
    <s v="Satisfied"/>
    <s v="Resolved"/>
    <s v="Mar-2026"/>
    <x v="9"/>
  </r>
  <r>
    <s v="TCK-000695"/>
    <s v="2026-03-11T07:26:24Z"/>
    <n v="1350"/>
    <s v="Email"/>
    <s v="High"/>
    <s v="Bug report"/>
    <n v="22"/>
    <n v="952"/>
    <s v="closed"/>
    <n v="1"/>
    <d v="2026-03-11T00:00:00"/>
    <n v="15.866666666666667"/>
    <n v="0.36666666666666664"/>
    <s v="Within SLA"/>
    <s v="Dissatisfied"/>
    <s v="Resolved"/>
    <s v="Mar-2026"/>
    <x v="9"/>
  </r>
  <r>
    <s v="TCK-000696"/>
    <s v="2026-03-11T16:12:00Z"/>
    <n v="1591"/>
    <s v="Social"/>
    <s v="Normal"/>
    <s v="Login"/>
    <n v="71"/>
    <n v="2418"/>
    <s v="closed"/>
    <n v="1"/>
    <d v="2026-03-11T00:00:00"/>
    <n v="40.299999999999997"/>
    <n v="1.1833333333333333"/>
    <s v="Within SLA"/>
    <s v="Dissatisfied"/>
    <s v="Resolved"/>
    <s v="Mar-2026"/>
    <x v="9"/>
  </r>
  <r>
    <s v="TCK-000697"/>
    <s v="2026-03-12T00:57:36Z"/>
    <n v="1268"/>
    <s v="Chat"/>
    <s v="Normal"/>
    <s v="Account"/>
    <n v="148"/>
    <n v="3115"/>
    <s v="closed"/>
    <n v="4"/>
    <d v="2026-03-12T00:00:00"/>
    <n v="51.916666666666664"/>
    <n v="2.4666666666666668"/>
    <s v="Breached"/>
    <s v="Satisfied"/>
    <s v="Resolved"/>
    <s v="Mar-2026"/>
    <x v="9"/>
  </r>
  <r>
    <s v="TCK-000698"/>
    <s v="2026-03-12T09:43:12Z"/>
    <n v="1510"/>
    <s v="Web form"/>
    <s v="Normal"/>
    <s v="Performance"/>
    <n v="42"/>
    <n v="2853"/>
    <s v="closed"/>
    <n v="2"/>
    <d v="2026-03-12T00:00:00"/>
    <n v="47.55"/>
    <n v="0.7"/>
    <s v="Within SLA"/>
    <s v="Dissatisfied"/>
    <s v="Resolved"/>
    <s v="Mar-2026"/>
    <x v="9"/>
  </r>
  <r>
    <s v="TCK-000699"/>
    <s v="2026-03-12T18:28:48Z"/>
    <n v="1294"/>
    <s v="Phone"/>
    <s v="Low"/>
    <s v="Account"/>
    <n v="290"/>
    <m/>
    <s v="open"/>
    <m/>
    <d v="2026-03-12T00:00:00"/>
    <s v=""/>
    <n v="4.833333333333333"/>
    <s v="Open"/>
    <s v="No Rating"/>
    <s v="Unresolved"/>
    <s v="Mar-2026"/>
    <x v="9"/>
  </r>
  <r>
    <s v="TCK-000700"/>
    <s v="2026-03-13T03:14:24Z"/>
    <n v="1780"/>
    <s v="Social"/>
    <s v="Normal"/>
    <s v="Feature request"/>
    <n v="165"/>
    <n v="1094"/>
    <s v="closed"/>
    <n v="3"/>
    <d v="2026-03-13T00:00:00"/>
    <n v="18.233333333333334"/>
    <n v="2.75"/>
    <s v="Within SLA"/>
    <s v="Neutral"/>
    <s v="Resolved"/>
    <s v="Mar-2026"/>
    <x v="9"/>
  </r>
  <r>
    <s v="TCK-000701"/>
    <s v="2026-03-13T12:00:00Z"/>
    <n v="1977"/>
    <s v="Social"/>
    <s v="Normal"/>
    <s v="Billing"/>
    <n v="118"/>
    <n v="3299"/>
    <s v="closed"/>
    <n v="1"/>
    <d v="2026-03-13T00:00:00"/>
    <n v="54.983333333333334"/>
    <n v="1.9666666666666666"/>
    <s v="Breached"/>
    <s v="Dissatisfied"/>
    <s v="Resolved"/>
    <s v="Mar-2026"/>
    <x v="9"/>
  </r>
  <r>
    <s v="TCK-000702"/>
    <s v="2026-03-13T20:45:36Z"/>
    <n v="1515"/>
    <s v="Phone"/>
    <s v="Low"/>
    <s v="Integration"/>
    <n v="366"/>
    <n v="3468"/>
    <s v="closed"/>
    <n v="2"/>
    <d v="2026-03-13T00:00:00"/>
    <n v="57.8"/>
    <n v="6.1"/>
    <s v="Within SLA"/>
    <s v="Dissatisfied"/>
    <s v="Resolved"/>
    <s v="Mar-2026"/>
    <x v="9"/>
  </r>
  <r>
    <s v="TCK-000703"/>
    <s v="2026-03-14T05:31:12Z"/>
    <n v="1668"/>
    <s v="Phone"/>
    <s v="High"/>
    <s v="Bug report"/>
    <n v="45"/>
    <n v="605"/>
    <s v="closed"/>
    <n v="3"/>
    <d v="2026-03-14T00:00:00"/>
    <n v="10.083333333333334"/>
    <n v="0.75"/>
    <s v="Within SLA"/>
    <s v="Neutral"/>
    <s v="Resolved"/>
    <s v="Mar-2026"/>
    <x v="9"/>
  </r>
  <r>
    <s v="TCK-000704"/>
    <s v="2026-03-14T14:16:48Z"/>
    <n v="1128"/>
    <s v="Web form"/>
    <s v="Normal"/>
    <s v="Integration"/>
    <n v="75"/>
    <n v="492"/>
    <s v="resolved"/>
    <m/>
    <d v="2026-03-14T00:00:00"/>
    <n v="8.1999999999999993"/>
    <n v="1.25"/>
    <s v="Within SLA"/>
    <s v="No Rating"/>
    <s v="Resolved"/>
    <s v="Mar-2026"/>
    <x v="9"/>
  </r>
  <r>
    <s v="TCK-000705"/>
    <s v="2026-03-14T23:02:24Z"/>
    <n v="1201"/>
    <s v="Web form"/>
    <s v="Low"/>
    <s v="Account"/>
    <n v="134"/>
    <m/>
    <s v="pending"/>
    <m/>
    <d v="2026-03-14T00:00:00"/>
    <s v=""/>
    <n v="2.2333333333333334"/>
    <s v="Open"/>
    <s v="No Rating"/>
    <s v="Unresolved"/>
    <s v="Mar-2026"/>
    <x v="9"/>
  </r>
  <r>
    <s v="TCK-000706"/>
    <s v="2026-03-15T07:48:00Z"/>
    <n v="1369"/>
    <s v="Phone"/>
    <s v="Normal"/>
    <s v="Performance"/>
    <n v="167"/>
    <n v="2139"/>
    <s v="closed"/>
    <n v="2"/>
    <d v="2026-03-15T00:00:00"/>
    <n v="35.65"/>
    <n v="2.7833333333333332"/>
    <s v="Within SLA"/>
    <s v="Dissatisfied"/>
    <s v="Resolved"/>
    <s v="Mar-2026"/>
    <x v="9"/>
  </r>
  <r>
    <s v="TCK-000707"/>
    <s v="2026-03-15T16:33:36Z"/>
    <n v="1494"/>
    <s v="Chat"/>
    <s v="Low"/>
    <s v="Performance"/>
    <n v="248"/>
    <n v="5603"/>
    <s v="closed"/>
    <m/>
    <d v="2026-03-15T00:00:00"/>
    <n v="93.38333333333334"/>
    <n v="4.1333333333333337"/>
    <s v="Breached"/>
    <s v="No Rating"/>
    <s v="Resolved"/>
    <s v="Mar-2026"/>
    <x v="9"/>
  </r>
  <r>
    <s v="TCK-000708"/>
    <s v="2026-03-16T01:19:12Z"/>
    <n v="1920"/>
    <s v="Email"/>
    <s v="Urgent"/>
    <s v="Export"/>
    <n v="2"/>
    <n v="401"/>
    <s v="closed"/>
    <n v="1"/>
    <d v="2026-03-16T00:00:00"/>
    <n v="6.6833333333333336"/>
    <n v="3.3333333333333333E-2"/>
    <s v="Within SLA"/>
    <s v="Dissatisfied"/>
    <s v="Resolved"/>
    <s v="Mar-2026"/>
    <x v="9"/>
  </r>
  <r>
    <s v="TCK-000709"/>
    <s v="2026-03-16T10:04:48Z"/>
    <n v="1966"/>
    <s v="Social"/>
    <s v="Normal"/>
    <s v="Bug report"/>
    <n v="139"/>
    <n v="3327"/>
    <s v="resolved"/>
    <n v="1"/>
    <d v="2026-03-16T00:00:00"/>
    <n v="55.45"/>
    <n v="2.3166666666666669"/>
    <s v="Breached"/>
    <s v="Dissatisfied"/>
    <s v="Resolved"/>
    <s v="Mar-2026"/>
    <x v="9"/>
  </r>
  <r>
    <s v="TCK-000710"/>
    <s v="2026-03-16T18:50:24Z"/>
    <n v="1814"/>
    <s v="Email"/>
    <s v="Normal"/>
    <s v="Account"/>
    <n v="116"/>
    <n v="2373"/>
    <s v="closed"/>
    <n v="3"/>
    <d v="2026-03-16T00:00:00"/>
    <n v="39.549999999999997"/>
    <n v="1.9333333333333333"/>
    <s v="Within SLA"/>
    <s v="Neutral"/>
    <s v="Resolved"/>
    <s v="Mar-2026"/>
    <x v="9"/>
  </r>
  <r>
    <s v="TCK-000711"/>
    <s v="2026-03-17T03:36:00Z"/>
    <n v="1275"/>
    <s v="Social"/>
    <s v="High"/>
    <s v="Login"/>
    <n v="43"/>
    <n v="1070"/>
    <s v="resolved"/>
    <n v="2"/>
    <d v="2026-03-17T00:00:00"/>
    <n v="17.833333333333332"/>
    <n v="0.71666666666666667"/>
    <s v="Within SLA"/>
    <s v="Dissatisfied"/>
    <s v="Resolved"/>
    <s v="Mar-2026"/>
    <x v="9"/>
  </r>
  <r>
    <s v="TCK-000712"/>
    <s v="2026-03-17T12:21:36Z"/>
    <n v="1842"/>
    <s v="Web form"/>
    <s v="Low"/>
    <s v="Bug report"/>
    <n v="318"/>
    <m/>
    <s v="open"/>
    <m/>
    <d v="2026-03-17T00:00:00"/>
    <s v=""/>
    <n v="5.3"/>
    <s v="Open"/>
    <s v="No Rating"/>
    <s v="Unresolved"/>
    <s v="Mar-2026"/>
    <x v="9"/>
  </r>
  <r>
    <s v="TCK-000713"/>
    <s v="2026-03-17T21:07:12Z"/>
    <n v="1247"/>
    <s v="Email"/>
    <s v="Normal"/>
    <s v="Export"/>
    <n v="109"/>
    <n v="2862"/>
    <s v="closed"/>
    <m/>
    <d v="2026-03-17T00:00:00"/>
    <n v="47.7"/>
    <n v="1.8166666666666667"/>
    <s v="Within SLA"/>
    <s v="No Rating"/>
    <s v="Resolved"/>
    <s v="Mar-2026"/>
    <x v="9"/>
  </r>
  <r>
    <s v="TCK-000714"/>
    <s v="2026-03-18T05:52:48Z"/>
    <n v="1368"/>
    <s v="Social"/>
    <s v="Low"/>
    <s v="Integration"/>
    <n v="291"/>
    <n v="4183"/>
    <s v="resolved"/>
    <m/>
    <d v="2026-03-18T00:00:00"/>
    <n v="69.716666666666669"/>
    <n v="4.8499999999999996"/>
    <s v="Within SLA"/>
    <s v="No Rating"/>
    <s v="Resolved"/>
    <s v="Mar-2026"/>
    <x v="9"/>
  </r>
  <r>
    <s v="TCK-000715"/>
    <s v="2026-03-18T14:38:24Z"/>
    <n v="1660"/>
    <s v="Social"/>
    <s v="Normal"/>
    <s v="Bug report"/>
    <n v="42"/>
    <n v="2589"/>
    <s v="closed"/>
    <m/>
    <d v="2026-03-18T00:00:00"/>
    <n v="43.15"/>
    <n v="0.7"/>
    <s v="Within SLA"/>
    <s v="No Rating"/>
    <s v="Resolved"/>
    <s v="Mar-2026"/>
    <x v="9"/>
  </r>
  <r>
    <s v="TCK-000716"/>
    <s v="2026-03-18T23:24:00Z"/>
    <n v="1495"/>
    <s v="Email"/>
    <s v="Low"/>
    <s v="Feature request"/>
    <n v="330"/>
    <n v="5569"/>
    <s v="closed"/>
    <n v="1"/>
    <d v="2026-03-18T00:00:00"/>
    <n v="92.816666666666663"/>
    <n v="5.5"/>
    <s v="Breached"/>
    <s v="Dissatisfied"/>
    <s v="Resolved"/>
    <s v="Mar-2026"/>
    <x v="9"/>
  </r>
  <r>
    <s v="TCK-000717"/>
    <s v="2026-03-19T08:09:36Z"/>
    <n v="1987"/>
    <s v="Web form"/>
    <s v="Urgent"/>
    <s v="Export"/>
    <n v="9"/>
    <m/>
    <s v="open"/>
    <m/>
    <d v="2026-03-19T00:00:00"/>
    <s v=""/>
    <n v="0.15"/>
    <s v="Open"/>
    <s v="No Rating"/>
    <s v="Unresolved"/>
    <s v="Mar-2026"/>
    <x v="9"/>
  </r>
  <r>
    <s v="TCK-000718"/>
    <s v="2026-03-19T16:55:12Z"/>
    <n v="1199"/>
    <s v="Web form"/>
    <s v="High"/>
    <s v="Export"/>
    <n v="42"/>
    <n v="1097"/>
    <s v="closed"/>
    <m/>
    <d v="2026-03-19T00:00:00"/>
    <n v="18.283333333333335"/>
    <n v="0.7"/>
    <s v="Within SLA"/>
    <s v="No Rating"/>
    <s v="Resolved"/>
    <s v="Mar-2026"/>
    <x v="9"/>
  </r>
  <r>
    <s v="TCK-000719"/>
    <s v="2026-03-20T01:40:48Z"/>
    <n v="1714"/>
    <s v="Phone"/>
    <s v="Urgent"/>
    <s v="Data import"/>
    <n v="10"/>
    <n v="353"/>
    <s v="closed"/>
    <m/>
    <d v="2026-03-20T00:00:00"/>
    <n v="5.8833333333333337"/>
    <n v="0.16666666666666666"/>
    <s v="Within SLA"/>
    <s v="No Rating"/>
    <s v="Resolved"/>
    <s v="Mar-2026"/>
    <x v="9"/>
  </r>
  <r>
    <s v="TCK-000720"/>
    <s v="2026-03-20T10:26:24Z"/>
    <n v="1033"/>
    <s v="Email"/>
    <s v="Normal"/>
    <s v="Feature request"/>
    <n v="146"/>
    <m/>
    <s v="open"/>
    <m/>
    <d v="2026-03-20T00:00:00"/>
    <s v=""/>
    <n v="2.4333333333333331"/>
    <s v="Open"/>
    <s v="No Rating"/>
    <s v="Unresolved"/>
    <s v="Mar-2026"/>
    <x v="9"/>
  </r>
  <r>
    <s v="TCK-000721"/>
    <s v="2026-03-20T19:12:00Z"/>
    <n v="1062"/>
    <s v="Web form"/>
    <s v="Normal"/>
    <s v="Feature request"/>
    <n v="76"/>
    <n v="1285"/>
    <s v="closed"/>
    <m/>
    <d v="2026-03-20T00:00:00"/>
    <n v="21.416666666666668"/>
    <n v="1.2666666666666666"/>
    <s v="Within SLA"/>
    <s v="No Rating"/>
    <s v="Resolved"/>
    <s v="Mar-2026"/>
    <x v="9"/>
  </r>
  <r>
    <s v="TCK-000722"/>
    <s v="2026-03-21T03:57:36Z"/>
    <n v="1456"/>
    <s v="Phone"/>
    <s v="Low"/>
    <s v="Bug report"/>
    <n v="358"/>
    <n v="1877"/>
    <s v="closed"/>
    <m/>
    <d v="2026-03-21T00:00:00"/>
    <n v="31.283333333333335"/>
    <n v="5.9666666666666668"/>
    <s v="Within SLA"/>
    <s v="No Rating"/>
    <s v="Resolved"/>
    <s v="Mar-2026"/>
    <x v="9"/>
  </r>
  <r>
    <s v="TCK-000723"/>
    <s v="2026-03-21T12:43:12Z"/>
    <n v="1600"/>
    <s v="Email"/>
    <s v="Low"/>
    <s v="Integration"/>
    <n v="238"/>
    <n v="4425"/>
    <s v="resolved"/>
    <m/>
    <d v="2026-03-21T00:00:00"/>
    <n v="73.75"/>
    <n v="3.9666666666666668"/>
    <s v="Breached"/>
    <s v="No Rating"/>
    <s v="Resolved"/>
    <s v="Mar-2026"/>
    <x v="9"/>
  </r>
  <r>
    <s v="TCK-000724"/>
    <s v="2026-03-21T21:28:48Z"/>
    <n v="1248"/>
    <s v="Chat"/>
    <s v="Normal"/>
    <s v="Integration"/>
    <n v="91"/>
    <n v="889"/>
    <s v="closed"/>
    <n v="5"/>
    <d v="2026-03-21T00:00:00"/>
    <n v="14.816666666666666"/>
    <n v="1.5166666666666666"/>
    <s v="Within SLA"/>
    <s v="Satisfied"/>
    <s v="Resolved"/>
    <s v="Mar-2026"/>
    <x v="9"/>
  </r>
  <r>
    <s v="TCK-000725"/>
    <s v="2026-03-22T06:14:24Z"/>
    <n v="1651"/>
    <s v="Social"/>
    <s v="High"/>
    <s v="Account"/>
    <n v="36"/>
    <n v="1033"/>
    <s v="closed"/>
    <n v="4"/>
    <d v="2026-03-22T00:00:00"/>
    <n v="17.216666666666665"/>
    <n v="0.6"/>
    <s v="Within SLA"/>
    <s v="Satisfied"/>
    <s v="Resolved"/>
    <s v="Mar-2026"/>
    <x v="9"/>
  </r>
  <r>
    <s v="TCK-000726"/>
    <s v="2026-03-22T15:00:00Z"/>
    <n v="1079"/>
    <s v="Web form"/>
    <s v="Low"/>
    <s v="Performance"/>
    <n v="159"/>
    <m/>
    <s v="open"/>
    <m/>
    <d v="2026-03-22T00:00:00"/>
    <s v=""/>
    <n v="2.65"/>
    <s v="Open"/>
    <s v="No Rating"/>
    <s v="Unresolved"/>
    <s v="Mar-2026"/>
    <x v="9"/>
  </r>
  <r>
    <s v="TCK-000727"/>
    <s v="2026-03-22T23:45:36Z"/>
    <n v="1663"/>
    <s v="Phone"/>
    <s v="Low"/>
    <s v="Account"/>
    <n v="398"/>
    <m/>
    <s v="open"/>
    <m/>
    <d v="2026-03-22T00:00:00"/>
    <s v=""/>
    <n v="6.6333333333333337"/>
    <s v="Open"/>
    <s v="No Rating"/>
    <s v="Unresolved"/>
    <s v="Mar-2026"/>
    <x v="9"/>
  </r>
  <r>
    <s v="TCK-000728"/>
    <s v="2026-03-23T08:31:12Z"/>
    <n v="1447"/>
    <s v="Email"/>
    <s v="Low"/>
    <s v="Integration"/>
    <n v="406"/>
    <n v="1275"/>
    <s v="closed"/>
    <n v="4"/>
    <d v="2026-03-23T00:00:00"/>
    <n v="21.25"/>
    <n v="6.7666666666666666"/>
    <s v="Within SLA"/>
    <s v="Satisfied"/>
    <s v="Resolved"/>
    <s v="Mar-2026"/>
    <x v="9"/>
  </r>
  <r>
    <s v="TCK-000729"/>
    <s v="2026-03-23T17:16:48Z"/>
    <n v="1200"/>
    <s v="Phone"/>
    <s v="Urgent"/>
    <s v="Export"/>
    <n v="10"/>
    <n v="91"/>
    <s v="closed"/>
    <m/>
    <d v="2026-03-23T00:00:00"/>
    <n v="1.5166666666666666"/>
    <n v="0.16666666666666666"/>
    <s v="Within SLA"/>
    <s v="No Rating"/>
    <s v="Resolved"/>
    <s v="Mar-2026"/>
    <x v="9"/>
  </r>
  <r>
    <s v="TCK-000730"/>
    <s v="2026-03-24T02:02:24Z"/>
    <n v="1564"/>
    <s v="Web form"/>
    <s v="Normal"/>
    <s v="Bug report"/>
    <n v="64"/>
    <n v="1008"/>
    <s v="resolved"/>
    <n v="4"/>
    <d v="2026-03-24T00:00:00"/>
    <n v="16.8"/>
    <n v="1.0666666666666667"/>
    <s v="Within SLA"/>
    <s v="Satisfied"/>
    <s v="Resolved"/>
    <s v="Mar-2026"/>
    <x v="9"/>
  </r>
  <r>
    <s v="TCK-000731"/>
    <s v="2026-03-24T10:48:00Z"/>
    <n v="1679"/>
    <s v="Web form"/>
    <s v="Normal"/>
    <s v="Feature request"/>
    <n v="38"/>
    <n v="763"/>
    <s v="resolved"/>
    <m/>
    <d v="2026-03-24T00:00:00"/>
    <n v="12.716666666666667"/>
    <n v="0.6333333333333333"/>
    <s v="Within SLA"/>
    <s v="No Rating"/>
    <s v="Resolved"/>
    <s v="Mar-2026"/>
    <x v="9"/>
  </r>
  <r>
    <s v="TCK-000732"/>
    <s v="2026-03-24T19:33:36Z"/>
    <n v="1881"/>
    <s v="Phone"/>
    <s v="High"/>
    <s v="Feature request"/>
    <n v="49"/>
    <n v="1253"/>
    <s v="closed"/>
    <m/>
    <d v="2026-03-24T00:00:00"/>
    <n v="20.883333333333333"/>
    <n v="0.81666666666666665"/>
    <s v="Within SLA"/>
    <s v="No Rating"/>
    <s v="Resolved"/>
    <s v="Mar-2026"/>
    <x v="9"/>
  </r>
  <r>
    <s v="TCK-000733"/>
    <s v="2026-03-25T04:19:12Z"/>
    <n v="1803"/>
    <s v="Chat"/>
    <s v="Normal"/>
    <s v="Data import"/>
    <n v="165"/>
    <n v="1957"/>
    <s v="closed"/>
    <n v="2"/>
    <d v="2026-03-25T00:00:00"/>
    <n v="32.616666666666667"/>
    <n v="2.75"/>
    <s v="Within SLA"/>
    <s v="Dissatisfied"/>
    <s v="Resolved"/>
    <s v="Mar-2026"/>
    <x v="9"/>
  </r>
  <r>
    <s v="TCK-000734"/>
    <s v="2026-03-25T13:04:48Z"/>
    <n v="1319"/>
    <s v="Web form"/>
    <s v="Low"/>
    <s v="Integration"/>
    <n v="358"/>
    <n v="2234"/>
    <s v="closed"/>
    <n v="4"/>
    <d v="2026-03-25T00:00:00"/>
    <n v="37.233333333333334"/>
    <n v="5.9666666666666668"/>
    <s v="Within SLA"/>
    <s v="Satisfied"/>
    <s v="Resolved"/>
    <s v="Mar-2026"/>
    <x v="9"/>
  </r>
  <r>
    <s v="TCK-000735"/>
    <s v="2026-03-25T21:50:24Z"/>
    <n v="1570"/>
    <s v="Social"/>
    <s v="Normal"/>
    <s v="Account"/>
    <n v="93"/>
    <n v="582"/>
    <s v="closed"/>
    <n v="1"/>
    <d v="2026-03-25T00:00:00"/>
    <n v="9.6999999999999993"/>
    <n v="1.55"/>
    <s v="Within SLA"/>
    <s v="Dissatisfied"/>
    <s v="Resolved"/>
    <s v="Mar-2026"/>
    <x v="9"/>
  </r>
  <r>
    <s v="TCK-000736"/>
    <s v="2026-03-26T06:36:00Z"/>
    <n v="1583"/>
    <s v="Web form"/>
    <s v="Normal"/>
    <s v="Export"/>
    <n v="54"/>
    <n v="938"/>
    <s v="closed"/>
    <m/>
    <d v="2026-03-26T00:00:00"/>
    <n v="15.633333333333333"/>
    <n v="0.9"/>
    <s v="Within SLA"/>
    <s v="No Rating"/>
    <s v="Resolved"/>
    <s v="Mar-2026"/>
    <x v="9"/>
  </r>
  <r>
    <s v="TCK-000737"/>
    <s v="2026-03-26T15:21:36Z"/>
    <n v="1689"/>
    <s v="Social"/>
    <s v="Normal"/>
    <s v="Login"/>
    <n v="56"/>
    <n v="1785"/>
    <s v="closed"/>
    <m/>
    <d v="2026-03-26T00:00:00"/>
    <n v="29.75"/>
    <n v="0.93333333333333335"/>
    <s v="Within SLA"/>
    <s v="No Rating"/>
    <s v="Resolved"/>
    <s v="Mar-2026"/>
    <x v="9"/>
  </r>
  <r>
    <s v="TCK-000738"/>
    <s v="2026-03-27T00:07:12Z"/>
    <n v="1590"/>
    <s v="Social"/>
    <s v="Normal"/>
    <s v="Integration"/>
    <n v="128"/>
    <m/>
    <s v="open"/>
    <m/>
    <d v="2026-03-27T00:00:00"/>
    <s v=""/>
    <n v="2.1333333333333333"/>
    <s v="Open"/>
    <s v="No Rating"/>
    <s v="Unresolved"/>
    <s v="Mar-2026"/>
    <x v="9"/>
  </r>
  <r>
    <s v="TCK-000739"/>
    <s v="2026-03-27T08:52:48Z"/>
    <n v="1324"/>
    <s v="Email"/>
    <s v="Low"/>
    <s v="Data import"/>
    <n v="400"/>
    <n v="2399"/>
    <s v="closed"/>
    <m/>
    <d v="2026-03-27T00:00:00"/>
    <n v="39.983333333333334"/>
    <n v="6.666666666666667"/>
    <s v="Within SLA"/>
    <s v="No Rating"/>
    <s v="Resolved"/>
    <s v="Mar-2026"/>
    <x v="9"/>
  </r>
  <r>
    <s v="TCK-000740"/>
    <s v="2026-03-27T17:38:24Z"/>
    <n v="1679"/>
    <s v="Chat"/>
    <s v="Normal"/>
    <s v="Bug report"/>
    <n v="31"/>
    <n v="411"/>
    <s v="resolved"/>
    <n v="4"/>
    <d v="2026-03-27T00:00:00"/>
    <n v="6.85"/>
    <n v="0.51666666666666672"/>
    <s v="Within SLA"/>
    <s v="Satisfied"/>
    <s v="Resolved"/>
    <s v="Mar-2026"/>
    <x v="9"/>
  </r>
  <r>
    <s v="TCK-000741"/>
    <s v="2026-03-28T02:24:00Z"/>
    <n v="1888"/>
    <s v="Email"/>
    <s v="Low"/>
    <s v="Data import"/>
    <n v="235"/>
    <m/>
    <s v="pending"/>
    <m/>
    <d v="2026-03-28T00:00:00"/>
    <s v=""/>
    <n v="3.9166666666666665"/>
    <s v="Open"/>
    <s v="No Rating"/>
    <s v="Unresolved"/>
    <s v="Mar-2026"/>
    <x v="9"/>
  </r>
  <r>
    <s v="TCK-000742"/>
    <s v="2026-03-28T11:09:36Z"/>
    <n v="1330"/>
    <s v="Social"/>
    <s v="Low"/>
    <s v="Integration"/>
    <n v="459"/>
    <n v="1410"/>
    <s v="closed"/>
    <m/>
    <d v="2026-03-28T00:00:00"/>
    <n v="23.5"/>
    <n v="7.65"/>
    <s v="Within SLA"/>
    <s v="No Rating"/>
    <s v="Resolved"/>
    <s v="Mar-2026"/>
    <x v="9"/>
  </r>
  <r>
    <s v="TCK-000743"/>
    <s v="2026-03-28T19:55:12Z"/>
    <n v="1527"/>
    <s v="Chat"/>
    <s v="High"/>
    <s v="Data import"/>
    <n v="11"/>
    <n v="212"/>
    <s v="closed"/>
    <m/>
    <d v="2026-03-28T00:00:00"/>
    <n v="3.5333333333333332"/>
    <n v="0.18333333333333332"/>
    <s v="Within SLA"/>
    <s v="No Rating"/>
    <s v="Resolved"/>
    <s v="Mar-2026"/>
    <x v="9"/>
  </r>
  <r>
    <s v="TCK-000744"/>
    <s v="2026-03-29T04:40:48Z"/>
    <n v="1330"/>
    <s v="Phone"/>
    <s v="Normal"/>
    <s v="Account"/>
    <n v="56"/>
    <n v="1951"/>
    <s v="closed"/>
    <m/>
    <d v="2026-03-29T00:00:00"/>
    <n v="32.516666666666666"/>
    <n v="0.93333333333333335"/>
    <s v="Within SLA"/>
    <s v="No Rating"/>
    <s v="Resolved"/>
    <s v="Mar-2026"/>
    <x v="9"/>
  </r>
  <r>
    <s v="TCK-000745"/>
    <s v="2026-03-29T13:26:24Z"/>
    <n v="1748"/>
    <s v="Email"/>
    <s v="Low"/>
    <s v="Feature request"/>
    <n v="423"/>
    <n v="6143"/>
    <s v="resolved"/>
    <m/>
    <d v="2026-03-29T00:00:00"/>
    <n v="102.38333333333334"/>
    <n v="7.05"/>
    <s v="Breached"/>
    <s v="No Rating"/>
    <s v="Resolved"/>
    <s v="Mar-2026"/>
    <x v="9"/>
  </r>
  <r>
    <s v="TCK-000746"/>
    <s v="2026-03-29T22:12:00Z"/>
    <n v="1287"/>
    <s v="Chat"/>
    <s v="Normal"/>
    <s v="Integration"/>
    <n v="99"/>
    <n v="1220"/>
    <s v="closed"/>
    <m/>
    <d v="2026-03-29T00:00:00"/>
    <n v="20.333333333333332"/>
    <n v="1.65"/>
    <s v="Within SLA"/>
    <s v="No Rating"/>
    <s v="Resolved"/>
    <s v="Mar-2026"/>
    <x v="9"/>
  </r>
  <r>
    <s v="TCK-000747"/>
    <s v="2026-03-30T06:57:36Z"/>
    <n v="1366"/>
    <s v="Web form"/>
    <s v="Normal"/>
    <s v="Data import"/>
    <n v="106"/>
    <n v="1601"/>
    <s v="resolved"/>
    <n v="2"/>
    <d v="2026-03-30T00:00:00"/>
    <n v="26.683333333333334"/>
    <n v="1.7666666666666666"/>
    <s v="Within SLA"/>
    <s v="Dissatisfied"/>
    <s v="Resolved"/>
    <s v="Mar-2026"/>
    <x v="9"/>
  </r>
  <r>
    <s v="TCK-000748"/>
    <s v="2026-03-30T15:43:12Z"/>
    <n v="1615"/>
    <s v="Social"/>
    <s v="Normal"/>
    <s v="Bug report"/>
    <n v="100"/>
    <n v="593"/>
    <s v="resolved"/>
    <m/>
    <d v="2026-03-30T00:00:00"/>
    <n v="9.8833333333333329"/>
    <n v="1.6666666666666667"/>
    <s v="Within SLA"/>
    <s v="No Rating"/>
    <s v="Resolved"/>
    <s v="Mar-2026"/>
    <x v="9"/>
  </r>
  <r>
    <s v="TCK-000749"/>
    <s v="2026-03-31T00:28:48Z"/>
    <n v="1926"/>
    <s v="Phone"/>
    <s v="Normal"/>
    <s v="Integration"/>
    <n v="152"/>
    <n v="1692"/>
    <s v="resolved"/>
    <n v="2"/>
    <d v="2026-03-31T00:00:00"/>
    <n v="28.2"/>
    <n v="2.5333333333333332"/>
    <s v="Within SLA"/>
    <s v="Dissatisfied"/>
    <s v="Resolved"/>
    <s v="Mar-2026"/>
    <x v="9"/>
  </r>
  <r>
    <s v="TCK-000750"/>
    <s v="2026-03-31T09:14:24Z"/>
    <n v="1250"/>
    <s v="Social"/>
    <s v="Low"/>
    <s v="Export"/>
    <n v="76"/>
    <n v="5527"/>
    <s v="resolved"/>
    <n v="4"/>
    <d v="2026-03-31T00:00:00"/>
    <n v="92.11666666666666"/>
    <n v="1.2666666666666666"/>
    <s v="Breached"/>
    <s v="Satisfied"/>
    <s v="Resolved"/>
    <s v="Mar-2026"/>
    <x v="9"/>
  </r>
  <r>
    <s v="TCK-000751"/>
    <s v="2026-03-31T18:00:00Z"/>
    <n v="1631"/>
    <s v="Web form"/>
    <s v="Normal"/>
    <s v="Export"/>
    <n v="67"/>
    <n v="2669"/>
    <s v="closed"/>
    <n v="2"/>
    <d v="2026-03-31T00:00:00"/>
    <n v="44.483333333333334"/>
    <n v="1.1166666666666667"/>
    <s v="Within SLA"/>
    <s v="Dissatisfied"/>
    <s v="Resolved"/>
    <s v="Mar-2026"/>
    <x v="9"/>
  </r>
  <r>
    <s v="TCK-000752"/>
    <s v="2026-04-01T02:45:36Z"/>
    <n v="1610"/>
    <s v="Phone"/>
    <s v="Low"/>
    <s v="Billing"/>
    <n v="406"/>
    <n v="8492"/>
    <s v="closed"/>
    <n v="4"/>
    <d v="2026-04-01T00:00:00"/>
    <n v="141.53333333333333"/>
    <n v="6.7666666666666666"/>
    <s v="Breached"/>
    <s v="Satisfied"/>
    <s v="Resolved"/>
    <s v="Apr-2026"/>
    <x v="10"/>
  </r>
  <r>
    <s v="TCK-000753"/>
    <s v="2026-04-01T11:31:12Z"/>
    <n v="1217"/>
    <s v="Phone"/>
    <s v="Normal"/>
    <s v="Data import"/>
    <n v="97"/>
    <n v="1152"/>
    <s v="closed"/>
    <n v="1"/>
    <d v="2026-04-01T00:00:00"/>
    <n v="19.2"/>
    <n v="1.6166666666666667"/>
    <s v="Within SLA"/>
    <s v="Dissatisfied"/>
    <s v="Resolved"/>
    <s v="Apr-2026"/>
    <x v="10"/>
  </r>
  <r>
    <s v="TCK-000754"/>
    <s v="2026-04-01T20:16:48Z"/>
    <n v="1724"/>
    <s v="Phone"/>
    <s v="Normal"/>
    <s v="Bug report"/>
    <n v="74"/>
    <m/>
    <s v="open"/>
    <m/>
    <d v="2026-04-01T00:00:00"/>
    <s v=""/>
    <n v="1.2333333333333334"/>
    <s v="Open"/>
    <s v="No Rating"/>
    <s v="Unresolved"/>
    <s v="Apr-2026"/>
    <x v="10"/>
  </r>
  <r>
    <s v="TCK-000755"/>
    <s v="2026-04-02T05:02:24Z"/>
    <n v="1494"/>
    <s v="Chat"/>
    <s v="Normal"/>
    <s v="Export"/>
    <n v="101"/>
    <n v="1924"/>
    <s v="closed"/>
    <n v="4"/>
    <d v="2026-04-02T00:00:00"/>
    <n v="32.06666666666667"/>
    <n v="1.6833333333333333"/>
    <s v="Within SLA"/>
    <s v="Satisfied"/>
    <s v="Resolved"/>
    <s v="Apr-2026"/>
    <x v="10"/>
  </r>
  <r>
    <s v="TCK-000756"/>
    <s v="2026-04-02T13:48:00Z"/>
    <n v="1605"/>
    <s v="Email"/>
    <s v="Urgent"/>
    <s v="Export"/>
    <n v="6"/>
    <n v="196"/>
    <s v="closed"/>
    <n v="5"/>
    <d v="2026-04-02T00:00:00"/>
    <n v="3.2666666666666666"/>
    <n v="0.1"/>
    <s v="Within SLA"/>
    <s v="Satisfied"/>
    <s v="Resolved"/>
    <s v="Apr-2026"/>
    <x v="10"/>
  </r>
  <r>
    <s v="TCK-000757"/>
    <s v="2026-04-02T22:33:36Z"/>
    <n v="1038"/>
    <s v="Phone"/>
    <s v="High"/>
    <s v="Login"/>
    <n v="46"/>
    <n v="416"/>
    <s v="resolved"/>
    <n v="1"/>
    <d v="2026-04-02T00:00:00"/>
    <n v="6.9333333333333336"/>
    <n v="0.76666666666666672"/>
    <s v="Within SLA"/>
    <s v="Dissatisfied"/>
    <s v="Resolved"/>
    <s v="Apr-2026"/>
    <x v="10"/>
  </r>
  <r>
    <s v="TCK-000758"/>
    <s v="2026-04-03T07:19:12Z"/>
    <n v="1504"/>
    <s v="Phone"/>
    <s v="Normal"/>
    <s v="Data import"/>
    <n v="177"/>
    <n v="3178"/>
    <s v="resolved"/>
    <n v="3"/>
    <d v="2026-04-03T00:00:00"/>
    <n v="52.966666666666669"/>
    <n v="2.95"/>
    <s v="Breached"/>
    <s v="Neutral"/>
    <s v="Resolved"/>
    <s v="Apr-2026"/>
    <x v="10"/>
  </r>
  <r>
    <s v="TCK-000759"/>
    <s v="2026-04-03T16:04:48Z"/>
    <n v="1053"/>
    <s v="Chat"/>
    <s v="Normal"/>
    <s v="Data import"/>
    <n v="135"/>
    <n v="2758"/>
    <s v="resolved"/>
    <n v="5"/>
    <d v="2026-04-03T00:00:00"/>
    <n v="45.966666666666669"/>
    <n v="2.25"/>
    <s v="Within SLA"/>
    <s v="Satisfied"/>
    <s v="Resolved"/>
    <s v="Apr-2026"/>
    <x v="10"/>
  </r>
  <r>
    <s v="TCK-000760"/>
    <s v="2026-04-04T00:50:24Z"/>
    <n v="1331"/>
    <s v="Web form"/>
    <s v="Normal"/>
    <s v="Feature request"/>
    <n v="126"/>
    <n v="2874"/>
    <s v="closed"/>
    <n v="4"/>
    <d v="2026-04-04T00:00:00"/>
    <n v="47.9"/>
    <n v="2.1"/>
    <s v="Within SLA"/>
    <s v="Satisfied"/>
    <s v="Resolved"/>
    <s v="Apr-2026"/>
    <x v="10"/>
  </r>
  <r>
    <s v="TCK-000761"/>
    <s v="2026-04-04T09:36:00Z"/>
    <n v="1593"/>
    <s v="Chat"/>
    <s v="High"/>
    <s v="Performance"/>
    <n v="33"/>
    <m/>
    <s v="pending"/>
    <m/>
    <d v="2026-04-04T00:00:00"/>
    <s v=""/>
    <n v="0.55000000000000004"/>
    <s v="Open"/>
    <s v="No Rating"/>
    <s v="Unresolved"/>
    <s v="Apr-2026"/>
    <x v="10"/>
  </r>
  <r>
    <s v="TCK-000762"/>
    <s v="2026-04-04T18:21:36Z"/>
    <n v="1397"/>
    <s v="Phone"/>
    <s v="Urgent"/>
    <s v="Billing"/>
    <n v="7"/>
    <n v="98"/>
    <s v="closed"/>
    <n v="2"/>
    <d v="2026-04-04T00:00:00"/>
    <n v="1.6333333333333333"/>
    <n v="0.11666666666666667"/>
    <s v="Within SLA"/>
    <s v="Dissatisfied"/>
    <s v="Resolved"/>
    <s v="Apr-2026"/>
    <x v="10"/>
  </r>
  <r>
    <s v="TCK-000763"/>
    <s v="2026-04-05T03:07:12Z"/>
    <n v="1796"/>
    <s v="Web form"/>
    <s v="Normal"/>
    <s v="Bug report"/>
    <n v="80"/>
    <m/>
    <s v="open"/>
    <m/>
    <d v="2026-04-05T00:00:00"/>
    <s v=""/>
    <n v="1.3333333333333333"/>
    <s v="Open"/>
    <s v="No Rating"/>
    <s v="Unresolved"/>
    <s v="Apr-2026"/>
    <x v="10"/>
  </r>
  <r>
    <s v="TCK-000764"/>
    <s v="2026-04-05T11:52:48Z"/>
    <n v="1203"/>
    <s v="Social"/>
    <s v="High"/>
    <s v="Login"/>
    <n v="22"/>
    <m/>
    <s v="open"/>
    <m/>
    <d v="2026-04-05T00:00:00"/>
    <s v=""/>
    <n v="0.36666666666666664"/>
    <s v="Open"/>
    <s v="No Rating"/>
    <s v="Unresolved"/>
    <s v="Apr-2026"/>
    <x v="10"/>
  </r>
  <r>
    <s v="TCK-000765"/>
    <s v="2026-04-05T20:38:24Z"/>
    <n v="1075"/>
    <s v="Social"/>
    <s v="High"/>
    <s v="Login"/>
    <n v="26"/>
    <m/>
    <s v="pending"/>
    <m/>
    <d v="2026-04-05T00:00:00"/>
    <s v=""/>
    <n v="0.43333333333333335"/>
    <s v="Open"/>
    <s v="No Rating"/>
    <s v="Unresolved"/>
    <s v="Apr-2026"/>
    <x v="10"/>
  </r>
  <r>
    <s v="TCK-000766"/>
    <s v="2026-04-06T05:24:00Z"/>
    <n v="1174"/>
    <s v="Web form"/>
    <s v="Urgent"/>
    <s v="Feature request"/>
    <n v="2"/>
    <n v="177"/>
    <s v="resolved"/>
    <n v="3"/>
    <d v="2026-04-06T00:00:00"/>
    <n v="2.95"/>
    <n v="3.3333333333333333E-2"/>
    <s v="Within SLA"/>
    <s v="Neutral"/>
    <s v="Resolved"/>
    <s v="Apr-2026"/>
    <x v="10"/>
  </r>
  <r>
    <s v="TCK-000767"/>
    <s v="2026-04-06T14:09:36Z"/>
    <n v="1997"/>
    <s v="Email"/>
    <s v="Normal"/>
    <s v="Data import"/>
    <n v="88"/>
    <n v="2308"/>
    <s v="resolved"/>
    <n v="1"/>
    <d v="2026-04-06T00:00:00"/>
    <n v="38.466666666666669"/>
    <n v="1.4666666666666666"/>
    <s v="Within SLA"/>
    <s v="Dissatisfied"/>
    <s v="Resolved"/>
    <s v="Apr-2026"/>
    <x v="10"/>
  </r>
  <r>
    <s v="TCK-000768"/>
    <s v="2026-04-06T22:55:12Z"/>
    <n v="1381"/>
    <s v="Email"/>
    <s v="Normal"/>
    <s v="Integration"/>
    <n v="115"/>
    <n v="2881"/>
    <s v="closed"/>
    <n v="4"/>
    <d v="2026-04-06T00:00:00"/>
    <n v="48.016666666666666"/>
    <n v="1.9166666666666667"/>
    <s v="Breached"/>
    <s v="Satisfied"/>
    <s v="Resolved"/>
    <s v="Apr-2026"/>
    <x v="10"/>
  </r>
  <r>
    <s v="TCK-000769"/>
    <s v="2026-04-07T07:40:48Z"/>
    <n v="1033"/>
    <s v="Phone"/>
    <s v="Normal"/>
    <s v="Login"/>
    <n v="57"/>
    <m/>
    <s v="pending"/>
    <m/>
    <d v="2026-04-07T00:00:00"/>
    <s v=""/>
    <n v="0.95"/>
    <s v="Open"/>
    <s v="No Rating"/>
    <s v="Unresolved"/>
    <s v="Apr-2026"/>
    <x v="10"/>
  </r>
  <r>
    <s v="TCK-000770"/>
    <s v="2026-04-07T16:26:24Z"/>
    <n v="1228"/>
    <s v="Phone"/>
    <s v="Urgent"/>
    <s v="Data import"/>
    <n v="7"/>
    <n v="177"/>
    <s v="resolved"/>
    <m/>
    <d v="2026-04-07T00:00:00"/>
    <n v="2.95"/>
    <n v="0.11666666666666667"/>
    <s v="Within SLA"/>
    <s v="No Rating"/>
    <s v="Resolved"/>
    <s v="Apr-2026"/>
    <x v="10"/>
  </r>
  <r>
    <s v="TCK-000771"/>
    <s v="2026-04-08T01:12:00Z"/>
    <n v="1386"/>
    <s v="Web form"/>
    <s v="Normal"/>
    <s v="Feature request"/>
    <n v="44"/>
    <n v="2297"/>
    <s v="closed"/>
    <n v="2"/>
    <d v="2026-04-08T00:00:00"/>
    <n v="38.283333333333331"/>
    <n v="0.73333333333333328"/>
    <s v="Within SLA"/>
    <s v="Dissatisfied"/>
    <s v="Resolved"/>
    <s v="Apr-2026"/>
    <x v="10"/>
  </r>
  <r>
    <s v="TCK-000772"/>
    <s v="2026-04-08T09:57:36Z"/>
    <n v="1930"/>
    <s v="Chat"/>
    <s v="Urgent"/>
    <s v="Billing"/>
    <n v="10"/>
    <n v="374"/>
    <s v="resolved"/>
    <n v="1"/>
    <d v="2026-04-08T00:00:00"/>
    <n v="6.2333333333333334"/>
    <n v="0.16666666666666666"/>
    <s v="Within SLA"/>
    <s v="Dissatisfied"/>
    <s v="Resolved"/>
    <s v="Apr-2026"/>
    <x v="10"/>
  </r>
  <r>
    <s v="TCK-000773"/>
    <s v="2026-04-08T18:43:12Z"/>
    <n v="1963"/>
    <s v="Chat"/>
    <s v="Urgent"/>
    <s v="Billing"/>
    <n v="6"/>
    <n v="258"/>
    <s v="closed"/>
    <n v="2"/>
    <d v="2026-04-08T00:00:00"/>
    <n v="4.3"/>
    <n v="0.1"/>
    <s v="Within SLA"/>
    <s v="Dissatisfied"/>
    <s v="Resolved"/>
    <s v="Apr-2026"/>
    <x v="10"/>
  </r>
  <r>
    <s v="TCK-000774"/>
    <s v="2026-04-09T03:28:48Z"/>
    <n v="1089"/>
    <s v="Email"/>
    <s v="Urgent"/>
    <s v="Data import"/>
    <n v="9"/>
    <m/>
    <s v="open"/>
    <m/>
    <d v="2026-04-09T00:00:00"/>
    <s v=""/>
    <n v="0.15"/>
    <s v="Open"/>
    <s v="No Rating"/>
    <s v="Unresolved"/>
    <s v="Apr-2026"/>
    <x v="10"/>
  </r>
  <r>
    <s v="TCK-000775"/>
    <s v="2026-04-09T12:14:24Z"/>
    <n v="1126"/>
    <s v="Chat"/>
    <s v="Urgent"/>
    <s v="Feature request"/>
    <n v="11"/>
    <n v="358"/>
    <s v="closed"/>
    <m/>
    <d v="2026-04-09T00:00:00"/>
    <n v="5.9666666666666668"/>
    <n v="0.18333333333333332"/>
    <s v="Within SLA"/>
    <s v="No Rating"/>
    <s v="Resolved"/>
    <s v="Apr-2026"/>
    <x v="10"/>
  </r>
  <r>
    <s v="TCK-000776"/>
    <s v="2026-04-09T21:00:00Z"/>
    <n v="1617"/>
    <s v="Web form"/>
    <s v="Urgent"/>
    <s v="Integration"/>
    <n v="9"/>
    <n v="133"/>
    <s v="closed"/>
    <n v="4"/>
    <d v="2026-04-09T00:00:00"/>
    <n v="2.2166666666666668"/>
    <n v="0.15"/>
    <s v="Within SLA"/>
    <s v="Satisfied"/>
    <s v="Resolved"/>
    <s v="Apr-2026"/>
    <x v="10"/>
  </r>
  <r>
    <s v="TCK-000777"/>
    <s v="2026-04-10T05:45:36Z"/>
    <n v="1648"/>
    <s v="Email"/>
    <s v="Urgent"/>
    <s v="Data import"/>
    <n v="8"/>
    <m/>
    <s v="open"/>
    <m/>
    <d v="2026-04-10T00:00:00"/>
    <s v=""/>
    <n v="0.13333333333333333"/>
    <s v="Open"/>
    <s v="No Rating"/>
    <s v="Unresolved"/>
    <s v="Apr-2026"/>
    <x v="10"/>
  </r>
  <r>
    <s v="TCK-000778"/>
    <s v="2026-04-10T14:31:12Z"/>
    <n v="1910"/>
    <s v="Phone"/>
    <s v="Normal"/>
    <s v="Billing"/>
    <n v="161"/>
    <n v="791"/>
    <s v="closed"/>
    <n v="3"/>
    <d v="2026-04-10T00:00:00"/>
    <n v="13.183333333333334"/>
    <n v="2.6833333333333331"/>
    <s v="Within SLA"/>
    <s v="Neutral"/>
    <s v="Resolved"/>
    <s v="Apr-2026"/>
    <x v="10"/>
  </r>
  <r>
    <s v="TCK-000779"/>
    <s v="2026-04-10T23:16:48Z"/>
    <n v="1095"/>
    <s v="Phone"/>
    <s v="Urgent"/>
    <s v="Performance"/>
    <n v="4"/>
    <n v="343"/>
    <s v="resolved"/>
    <n v="1"/>
    <d v="2026-04-10T00:00:00"/>
    <n v="5.7166666666666668"/>
    <n v="6.6666666666666666E-2"/>
    <s v="Within SLA"/>
    <s v="Dissatisfied"/>
    <s v="Resolved"/>
    <s v="Apr-2026"/>
    <x v="10"/>
  </r>
  <r>
    <s v="TCK-000780"/>
    <s v="2026-04-11T08:02:24Z"/>
    <n v="1927"/>
    <s v="Social"/>
    <s v="Normal"/>
    <s v="Data import"/>
    <n v="128"/>
    <n v="2119"/>
    <s v="resolved"/>
    <n v="5"/>
    <d v="2026-04-11T00:00:00"/>
    <n v="35.31666666666667"/>
    <n v="2.1333333333333333"/>
    <s v="Within SLA"/>
    <s v="Satisfied"/>
    <s v="Resolved"/>
    <s v="Apr-2026"/>
    <x v="10"/>
  </r>
  <r>
    <s v="TCK-000781"/>
    <s v="2026-04-11T16:48:00Z"/>
    <n v="1422"/>
    <s v="Email"/>
    <s v="Urgent"/>
    <s v="Data import"/>
    <n v="8"/>
    <n v="353"/>
    <s v="resolved"/>
    <m/>
    <d v="2026-04-11T00:00:00"/>
    <n v="5.8833333333333337"/>
    <n v="0.13333333333333333"/>
    <s v="Within SLA"/>
    <s v="No Rating"/>
    <s v="Resolved"/>
    <s v="Apr-2026"/>
    <x v="10"/>
  </r>
  <r>
    <s v="TCK-000782"/>
    <s v="2026-04-12T01:33:36Z"/>
    <n v="1273"/>
    <s v="Email"/>
    <s v="Normal"/>
    <s v="Login"/>
    <n v="78"/>
    <n v="994"/>
    <s v="closed"/>
    <n v="1"/>
    <d v="2026-04-12T00:00:00"/>
    <n v="16.566666666666666"/>
    <n v="1.3"/>
    <s v="Within SLA"/>
    <s v="Dissatisfied"/>
    <s v="Resolved"/>
    <s v="Apr-2026"/>
    <x v="10"/>
  </r>
  <r>
    <s v="TCK-000783"/>
    <s v="2026-04-12T10:19:12Z"/>
    <n v="1208"/>
    <s v="Email"/>
    <s v="Low"/>
    <s v="Data import"/>
    <n v="282"/>
    <n v="7668"/>
    <s v="closed"/>
    <m/>
    <d v="2026-04-12T00:00:00"/>
    <n v="127.8"/>
    <n v="4.7"/>
    <s v="Breached"/>
    <s v="No Rating"/>
    <s v="Resolved"/>
    <s v="Apr-2026"/>
    <x v="10"/>
  </r>
  <r>
    <s v="TCK-000784"/>
    <s v="2026-04-12T19:04:48Z"/>
    <n v="1833"/>
    <s v="Email"/>
    <s v="Urgent"/>
    <s v="Export"/>
    <n v="9"/>
    <n v="252"/>
    <s v="resolved"/>
    <n v="1"/>
    <d v="2026-04-12T00:00:00"/>
    <n v="4.2"/>
    <n v="0.15"/>
    <s v="Within SLA"/>
    <s v="Dissatisfied"/>
    <s v="Resolved"/>
    <s v="Apr-2026"/>
    <x v="10"/>
  </r>
  <r>
    <s v="TCK-000785"/>
    <s v="2026-04-13T03:50:24Z"/>
    <n v="1148"/>
    <s v="Chat"/>
    <s v="Urgent"/>
    <s v="Bug report"/>
    <n v="11"/>
    <m/>
    <s v="open"/>
    <m/>
    <d v="2026-04-13T00:00:00"/>
    <s v=""/>
    <n v="0.18333333333333332"/>
    <s v="Open"/>
    <s v="No Rating"/>
    <s v="Unresolved"/>
    <s v="Apr-2026"/>
    <x v="10"/>
  </r>
  <r>
    <s v="TCK-000786"/>
    <s v="2026-04-13T12:36:00Z"/>
    <n v="1526"/>
    <s v="Phone"/>
    <s v="Normal"/>
    <s v="Account"/>
    <n v="118"/>
    <n v="3101"/>
    <s v="closed"/>
    <m/>
    <d v="2026-04-13T00:00:00"/>
    <n v="51.68333333333333"/>
    <n v="1.9666666666666666"/>
    <s v="Breached"/>
    <s v="No Rating"/>
    <s v="Resolved"/>
    <s v="Apr-2026"/>
    <x v="10"/>
  </r>
  <r>
    <s v="TCK-000787"/>
    <s v="2026-04-13T21:21:36Z"/>
    <n v="1405"/>
    <s v="Chat"/>
    <s v="Urgent"/>
    <s v="Login"/>
    <n v="8"/>
    <n v="144"/>
    <s v="resolved"/>
    <n v="4"/>
    <d v="2026-04-13T00:00:00"/>
    <n v="2.4"/>
    <n v="0.13333333333333333"/>
    <s v="Within SLA"/>
    <s v="Satisfied"/>
    <s v="Resolved"/>
    <s v="Apr-2026"/>
    <x v="10"/>
  </r>
  <r>
    <s v="TCK-000788"/>
    <s v="2026-04-14T06:07:12Z"/>
    <n v="1311"/>
    <s v="Social"/>
    <s v="Urgent"/>
    <s v="Integration"/>
    <n v="8"/>
    <n v="226"/>
    <s v="closed"/>
    <n v="5"/>
    <d v="2026-04-14T00:00:00"/>
    <n v="3.7666666666666666"/>
    <n v="0.13333333333333333"/>
    <s v="Within SLA"/>
    <s v="Satisfied"/>
    <s v="Resolved"/>
    <s v="Apr-2026"/>
    <x v="10"/>
  </r>
  <r>
    <s v="TCK-000789"/>
    <s v="2026-04-14T14:52:48Z"/>
    <n v="1950"/>
    <s v="Web form"/>
    <s v="Normal"/>
    <s v="Export"/>
    <n v="52"/>
    <n v="2398"/>
    <s v="resolved"/>
    <n v="5"/>
    <d v="2026-04-14T00:00:00"/>
    <n v="39.966666666666669"/>
    <n v="0.8666666666666667"/>
    <s v="Within SLA"/>
    <s v="Satisfied"/>
    <s v="Resolved"/>
    <s v="Apr-2026"/>
    <x v="10"/>
  </r>
  <r>
    <s v="TCK-000790"/>
    <s v="2026-04-14T23:38:24Z"/>
    <n v="1777"/>
    <s v="Phone"/>
    <s v="Normal"/>
    <s v="Bug report"/>
    <n v="117"/>
    <n v="1364"/>
    <s v="resolved"/>
    <m/>
    <d v="2026-04-14T00:00:00"/>
    <n v="22.733333333333334"/>
    <n v="1.95"/>
    <s v="Within SLA"/>
    <s v="No Rating"/>
    <s v="Resolved"/>
    <s v="Apr-2026"/>
    <x v="10"/>
  </r>
  <r>
    <s v="TCK-000791"/>
    <s v="2026-04-15T08:24:00Z"/>
    <n v="1168"/>
    <s v="Email"/>
    <s v="Normal"/>
    <s v="Account"/>
    <n v="114"/>
    <n v="2058"/>
    <s v="closed"/>
    <n v="3"/>
    <d v="2026-04-15T00:00:00"/>
    <n v="34.299999999999997"/>
    <n v="1.9"/>
    <s v="Within SLA"/>
    <s v="Neutral"/>
    <s v="Resolved"/>
    <s v="Apr-2026"/>
    <x v="10"/>
  </r>
  <r>
    <s v="TCK-000792"/>
    <s v="2026-04-15T17:09:36Z"/>
    <n v="1475"/>
    <s v="Chat"/>
    <s v="Urgent"/>
    <s v="Login"/>
    <n v="9"/>
    <n v="223"/>
    <s v="closed"/>
    <m/>
    <d v="2026-04-15T00:00:00"/>
    <n v="3.7166666666666668"/>
    <n v="0.15"/>
    <s v="Within SLA"/>
    <s v="No Rating"/>
    <s v="Resolved"/>
    <s v="Apr-2026"/>
    <x v="10"/>
  </r>
  <r>
    <s v="TCK-000793"/>
    <s v="2026-04-16T01:55:12Z"/>
    <n v="1144"/>
    <s v="Chat"/>
    <s v="High"/>
    <s v="Integration"/>
    <n v="46"/>
    <n v="714"/>
    <s v="resolved"/>
    <n v="4"/>
    <d v="2026-04-16T00:00:00"/>
    <n v="11.9"/>
    <n v="0.76666666666666672"/>
    <s v="Within SLA"/>
    <s v="Satisfied"/>
    <s v="Resolved"/>
    <s v="Apr-2026"/>
    <x v="10"/>
  </r>
  <r>
    <s v="TCK-000794"/>
    <s v="2026-04-16T10:40:48Z"/>
    <n v="1170"/>
    <s v="Phone"/>
    <s v="High"/>
    <s v="Login"/>
    <n v="47"/>
    <n v="733"/>
    <s v="closed"/>
    <n v="3"/>
    <d v="2026-04-16T00:00:00"/>
    <n v="12.216666666666667"/>
    <n v="0.78333333333333333"/>
    <s v="Within SLA"/>
    <s v="Neutral"/>
    <s v="Resolved"/>
    <s v="Apr-2026"/>
    <x v="10"/>
  </r>
  <r>
    <s v="TCK-000795"/>
    <s v="2026-04-16T19:26:24Z"/>
    <n v="1161"/>
    <s v="Phone"/>
    <s v="Low"/>
    <s v="Performance"/>
    <n v="449"/>
    <n v="6414"/>
    <s v="closed"/>
    <m/>
    <d v="2026-04-16T00:00:00"/>
    <n v="106.9"/>
    <n v="7.4833333333333334"/>
    <s v="Breached"/>
    <s v="No Rating"/>
    <s v="Resolved"/>
    <s v="Apr-2026"/>
    <x v="10"/>
  </r>
  <r>
    <s v="TCK-000796"/>
    <s v="2026-04-17T04:12:00Z"/>
    <n v="1560"/>
    <s v="Phone"/>
    <s v="Urgent"/>
    <s v="Export"/>
    <n v="5"/>
    <n v="349"/>
    <s v="resolved"/>
    <n v="4"/>
    <d v="2026-04-17T00:00:00"/>
    <n v="5.8166666666666664"/>
    <n v="8.3333333333333329E-2"/>
    <s v="Within SLA"/>
    <s v="Satisfied"/>
    <s v="Resolved"/>
    <s v="Apr-2026"/>
    <x v="10"/>
  </r>
  <r>
    <s v="TCK-000797"/>
    <s v="2026-04-17T12:57:36Z"/>
    <n v="1850"/>
    <s v="Email"/>
    <s v="High"/>
    <s v="Performance"/>
    <n v="8"/>
    <n v="794"/>
    <s v="closed"/>
    <n v="4"/>
    <d v="2026-04-17T00:00:00"/>
    <n v="13.233333333333333"/>
    <n v="0.13333333333333333"/>
    <s v="Within SLA"/>
    <s v="Satisfied"/>
    <s v="Resolved"/>
    <s v="Apr-2026"/>
    <x v="10"/>
  </r>
  <r>
    <s v="TCK-000798"/>
    <s v="2026-04-17T21:43:12Z"/>
    <n v="1408"/>
    <s v="Web form"/>
    <s v="Urgent"/>
    <s v="Export"/>
    <n v="2"/>
    <n v="220"/>
    <s v="closed"/>
    <m/>
    <d v="2026-04-17T00:00:00"/>
    <n v="3.6666666666666665"/>
    <n v="3.3333333333333333E-2"/>
    <s v="Within SLA"/>
    <s v="No Rating"/>
    <s v="Resolved"/>
    <s v="Apr-2026"/>
    <x v="10"/>
  </r>
  <r>
    <s v="TCK-000799"/>
    <s v="2026-04-18T06:28:48Z"/>
    <n v="1110"/>
    <s v="Web form"/>
    <s v="High"/>
    <s v="Export"/>
    <n v="42"/>
    <n v="735"/>
    <s v="resolved"/>
    <m/>
    <d v="2026-04-18T00:00:00"/>
    <n v="12.25"/>
    <n v="0.7"/>
    <s v="Within SLA"/>
    <s v="No Rating"/>
    <s v="Resolved"/>
    <s v="Apr-2026"/>
    <x v="10"/>
  </r>
  <r>
    <s v="TCK-000800"/>
    <s v="2026-04-18T15:14:24Z"/>
    <n v="1675"/>
    <s v="Social"/>
    <s v="Normal"/>
    <s v="Export"/>
    <n v="168"/>
    <n v="868"/>
    <s v="closed"/>
    <n v="4"/>
    <d v="2026-04-18T00:00:00"/>
    <n v="14.466666666666667"/>
    <n v="2.8"/>
    <s v="Within SLA"/>
    <s v="Satisfied"/>
    <s v="Resolved"/>
    <s v="Apr-2026"/>
    <x v="10"/>
  </r>
  <r>
    <s v="TCK-000801"/>
    <s v="2026-04-19T00:00:00Z"/>
    <n v="1398"/>
    <s v="Social"/>
    <s v="Normal"/>
    <s v="Bug report"/>
    <n v="51"/>
    <n v="3446"/>
    <s v="closed"/>
    <n v="1"/>
    <d v="2026-04-19T00:00:00"/>
    <n v="57.43333333333333"/>
    <n v="0.85"/>
    <s v="Breached"/>
    <s v="Dissatisfied"/>
    <s v="Resolved"/>
    <s v="Apr-2026"/>
    <x v="10"/>
  </r>
  <r>
    <s v="TCK-000802"/>
    <s v="2026-04-19T08:45:36Z"/>
    <n v="1308"/>
    <s v="Social"/>
    <s v="High"/>
    <s v="Integration"/>
    <n v="18"/>
    <n v="1234"/>
    <s v="closed"/>
    <n v="3"/>
    <d v="2026-04-19T00:00:00"/>
    <n v="20.566666666666666"/>
    <n v="0.3"/>
    <s v="Within SLA"/>
    <s v="Neutral"/>
    <s v="Resolved"/>
    <s v="Apr-2026"/>
    <x v="10"/>
  </r>
  <r>
    <s v="TCK-000803"/>
    <s v="2026-04-19T17:31:12Z"/>
    <n v="1590"/>
    <s v="Email"/>
    <s v="Normal"/>
    <s v="Data import"/>
    <n v="47"/>
    <n v="3309"/>
    <s v="closed"/>
    <n v="1"/>
    <d v="2026-04-19T00:00:00"/>
    <n v="55.15"/>
    <n v="0.78333333333333333"/>
    <s v="Breached"/>
    <s v="Dissatisfied"/>
    <s v="Resolved"/>
    <s v="Apr-2026"/>
    <x v="10"/>
  </r>
  <r>
    <s v="TCK-000804"/>
    <s v="2026-04-20T02:16:48Z"/>
    <n v="1773"/>
    <s v="Phone"/>
    <s v="Urgent"/>
    <s v="Login"/>
    <n v="4"/>
    <n v="200"/>
    <s v="resolved"/>
    <n v="5"/>
    <d v="2026-04-20T00:00:00"/>
    <n v="3.3333333333333335"/>
    <n v="6.6666666666666666E-2"/>
    <s v="Within SLA"/>
    <s v="Satisfied"/>
    <s v="Resolved"/>
    <s v="Apr-2026"/>
    <x v="10"/>
  </r>
  <r>
    <s v="TCK-000805"/>
    <s v="2026-04-20T11:02:24Z"/>
    <n v="1226"/>
    <s v="Chat"/>
    <s v="Normal"/>
    <s v="Billing"/>
    <n v="73"/>
    <n v="1174"/>
    <s v="resolved"/>
    <n v="3"/>
    <d v="2026-04-20T00:00:00"/>
    <n v="19.566666666666666"/>
    <n v="1.2166666666666666"/>
    <s v="Within SLA"/>
    <s v="Neutral"/>
    <s v="Resolved"/>
    <s v="Apr-2026"/>
    <x v="10"/>
  </r>
  <r>
    <s v="TCK-000806"/>
    <s v="2026-04-20T19:48:00Z"/>
    <n v="1512"/>
    <s v="Email"/>
    <s v="High"/>
    <s v="Export"/>
    <n v="27"/>
    <n v="766"/>
    <s v="closed"/>
    <n v="4"/>
    <d v="2026-04-20T00:00:00"/>
    <n v="12.766666666666667"/>
    <n v="0.45"/>
    <s v="Within SLA"/>
    <s v="Satisfied"/>
    <s v="Resolved"/>
    <s v="Apr-2026"/>
    <x v="10"/>
  </r>
  <r>
    <s v="TCK-000807"/>
    <s v="2026-04-21T04:33:36Z"/>
    <n v="1006"/>
    <s v="Phone"/>
    <s v="High"/>
    <s v="Export"/>
    <n v="16"/>
    <m/>
    <s v="pending"/>
    <m/>
    <d v="2026-04-21T00:00:00"/>
    <s v=""/>
    <n v="0.26666666666666666"/>
    <s v="Open"/>
    <s v="No Rating"/>
    <s v="Unresolved"/>
    <s v="Apr-2026"/>
    <x v="10"/>
  </r>
  <r>
    <s v="TCK-000808"/>
    <s v="2026-04-21T13:19:12Z"/>
    <n v="1767"/>
    <s v="Social"/>
    <s v="Normal"/>
    <s v="Bug report"/>
    <n v="152"/>
    <n v="1620"/>
    <s v="closed"/>
    <n v="5"/>
    <d v="2026-04-21T00:00:00"/>
    <n v="27"/>
    <n v="2.5333333333333332"/>
    <s v="Within SLA"/>
    <s v="Satisfied"/>
    <s v="Resolved"/>
    <s v="Apr-2026"/>
    <x v="10"/>
  </r>
  <r>
    <s v="TCK-000809"/>
    <s v="2026-04-21T22:04:48Z"/>
    <n v="1899"/>
    <s v="Chat"/>
    <s v="Urgent"/>
    <s v="Performance"/>
    <n v="11"/>
    <n v="81"/>
    <s v="resolved"/>
    <n v="4"/>
    <d v="2026-04-21T00:00:00"/>
    <n v="1.35"/>
    <n v="0.18333333333333332"/>
    <s v="Within SLA"/>
    <s v="Satisfied"/>
    <s v="Resolved"/>
    <s v="Apr-2026"/>
    <x v="10"/>
  </r>
  <r>
    <s v="TCK-000810"/>
    <s v="2026-04-22T06:50:24Z"/>
    <n v="1622"/>
    <s v="Web form"/>
    <s v="High"/>
    <s v="Data import"/>
    <n v="46"/>
    <n v="495"/>
    <s v="closed"/>
    <m/>
    <d v="2026-04-22T00:00:00"/>
    <n v="8.25"/>
    <n v="0.76666666666666672"/>
    <s v="Within SLA"/>
    <s v="No Rating"/>
    <s v="Resolved"/>
    <s v="Apr-2026"/>
    <x v="10"/>
  </r>
  <r>
    <s v="TCK-000811"/>
    <s v="2026-04-22T15:36:00Z"/>
    <n v="1664"/>
    <s v="Phone"/>
    <s v="Normal"/>
    <s v="Export"/>
    <n v="174"/>
    <n v="3360"/>
    <s v="resolved"/>
    <n v="5"/>
    <d v="2026-04-22T00:00:00"/>
    <n v="56"/>
    <n v="2.9"/>
    <s v="Breached"/>
    <s v="Satisfied"/>
    <s v="Resolved"/>
    <s v="Apr-2026"/>
    <x v="10"/>
  </r>
  <r>
    <s v="TCK-000812"/>
    <s v="2026-04-23T00:21:36Z"/>
    <n v="1697"/>
    <s v="Phone"/>
    <s v="Normal"/>
    <s v="Feature request"/>
    <n v="70"/>
    <n v="1960"/>
    <s v="resolved"/>
    <n v="5"/>
    <d v="2026-04-23T00:00:00"/>
    <n v="32.666666666666664"/>
    <n v="1.1666666666666667"/>
    <s v="Within SLA"/>
    <s v="Satisfied"/>
    <s v="Resolved"/>
    <s v="Apr-2026"/>
    <x v="10"/>
  </r>
  <r>
    <s v="TCK-000813"/>
    <s v="2026-04-23T09:07:12Z"/>
    <n v="1429"/>
    <s v="Phone"/>
    <s v="High"/>
    <s v="Billing"/>
    <n v="36"/>
    <n v="316"/>
    <s v="closed"/>
    <m/>
    <d v="2026-04-23T00:00:00"/>
    <n v="5.2666666666666666"/>
    <n v="0.6"/>
    <s v="Within SLA"/>
    <s v="No Rating"/>
    <s v="Resolved"/>
    <s v="Apr-2026"/>
    <x v="10"/>
  </r>
  <r>
    <s v="TCK-000814"/>
    <s v="2026-04-23T17:52:48Z"/>
    <n v="1857"/>
    <s v="Chat"/>
    <s v="Normal"/>
    <s v="Feature request"/>
    <n v="66"/>
    <n v="2815"/>
    <s v="closed"/>
    <n v="2"/>
    <d v="2026-04-23T00:00:00"/>
    <n v="46.916666666666664"/>
    <n v="1.1000000000000001"/>
    <s v="Within SLA"/>
    <s v="Dissatisfied"/>
    <s v="Resolved"/>
    <s v="Apr-2026"/>
    <x v="10"/>
  </r>
  <r>
    <s v="TCK-000815"/>
    <s v="2026-04-24T02:38:24Z"/>
    <n v="1999"/>
    <s v="Email"/>
    <s v="Normal"/>
    <s v="Data import"/>
    <n v="133"/>
    <m/>
    <s v="open"/>
    <m/>
    <d v="2026-04-24T00:00:00"/>
    <s v=""/>
    <n v="2.2166666666666668"/>
    <s v="Open"/>
    <s v="No Rating"/>
    <s v="Unresolved"/>
    <s v="Apr-2026"/>
    <x v="10"/>
  </r>
  <r>
    <s v="TCK-000816"/>
    <s v="2026-04-24T11:24:00Z"/>
    <n v="1524"/>
    <s v="Chat"/>
    <s v="High"/>
    <s v="Export"/>
    <n v="33"/>
    <n v="1116"/>
    <s v="closed"/>
    <n v="1"/>
    <d v="2026-04-24T00:00:00"/>
    <n v="18.600000000000001"/>
    <n v="0.55000000000000004"/>
    <s v="Within SLA"/>
    <s v="Dissatisfied"/>
    <s v="Resolved"/>
    <s v="Apr-2026"/>
    <x v="10"/>
  </r>
  <r>
    <s v="TCK-000817"/>
    <s v="2026-04-24T20:09:36Z"/>
    <n v="1111"/>
    <s v="Social"/>
    <s v="Normal"/>
    <s v="Performance"/>
    <n v="71"/>
    <m/>
    <s v="open"/>
    <m/>
    <d v="2026-04-24T00:00:00"/>
    <s v=""/>
    <n v="1.1833333333333333"/>
    <s v="Open"/>
    <s v="No Rating"/>
    <s v="Unresolved"/>
    <s v="Apr-2026"/>
    <x v="10"/>
  </r>
  <r>
    <s v="TCK-000818"/>
    <s v="2026-04-25T04:55:12Z"/>
    <n v="1129"/>
    <s v="Phone"/>
    <s v="Low"/>
    <s v="Integration"/>
    <n v="465"/>
    <n v="7309"/>
    <s v="resolved"/>
    <n v="2"/>
    <d v="2026-04-25T00:00:00"/>
    <n v="121.81666666666666"/>
    <n v="7.75"/>
    <s v="Breached"/>
    <s v="Dissatisfied"/>
    <s v="Resolved"/>
    <s v="Apr-2026"/>
    <x v="10"/>
  </r>
  <r>
    <s v="TCK-000819"/>
    <s v="2026-04-25T13:40:48Z"/>
    <n v="1556"/>
    <s v="Phone"/>
    <s v="Urgent"/>
    <s v="Export"/>
    <n v="7"/>
    <n v="220"/>
    <s v="closed"/>
    <n v="3"/>
    <d v="2026-04-25T00:00:00"/>
    <n v="3.6666666666666665"/>
    <n v="0.11666666666666667"/>
    <s v="Within SLA"/>
    <s v="Neutral"/>
    <s v="Resolved"/>
    <s v="Apr-2026"/>
    <x v="10"/>
  </r>
  <r>
    <s v="TCK-000820"/>
    <s v="2026-04-25T22:26:24Z"/>
    <n v="1436"/>
    <s v="Chat"/>
    <s v="Low"/>
    <s v="Data import"/>
    <n v="125"/>
    <n v="2370"/>
    <s v="closed"/>
    <m/>
    <d v="2026-04-25T00:00:00"/>
    <n v="39.5"/>
    <n v="2.0833333333333335"/>
    <s v="Within SLA"/>
    <s v="No Rating"/>
    <s v="Resolved"/>
    <s v="Apr-2026"/>
    <x v="10"/>
  </r>
  <r>
    <s v="TCK-000821"/>
    <s v="2026-04-26T07:12:00Z"/>
    <n v="1079"/>
    <s v="Social"/>
    <s v="Normal"/>
    <s v="Billing"/>
    <n v="40"/>
    <n v="3440"/>
    <s v="closed"/>
    <m/>
    <d v="2026-04-26T00:00:00"/>
    <n v="57.333333333333336"/>
    <n v="0.66666666666666663"/>
    <s v="Breached"/>
    <s v="No Rating"/>
    <s v="Resolved"/>
    <s v="Apr-2026"/>
    <x v="10"/>
  </r>
  <r>
    <s v="TCK-000822"/>
    <s v="2026-04-26T15:57:36Z"/>
    <n v="1194"/>
    <s v="Chat"/>
    <s v="Low"/>
    <s v="Export"/>
    <n v="245"/>
    <m/>
    <s v="pending"/>
    <m/>
    <d v="2026-04-26T00:00:00"/>
    <s v=""/>
    <n v="4.083333333333333"/>
    <s v="Open"/>
    <s v="No Rating"/>
    <s v="Unresolved"/>
    <s v="Apr-2026"/>
    <x v="10"/>
  </r>
  <r>
    <s v="TCK-000823"/>
    <s v="2026-04-27T00:43:12Z"/>
    <n v="1401"/>
    <s v="Phone"/>
    <s v="Low"/>
    <s v="Billing"/>
    <n v="332"/>
    <n v="5689"/>
    <s v="closed"/>
    <m/>
    <d v="2026-04-27T00:00:00"/>
    <n v="94.816666666666663"/>
    <n v="5.5333333333333332"/>
    <s v="Breached"/>
    <s v="No Rating"/>
    <s v="Resolved"/>
    <s v="Apr-2026"/>
    <x v="10"/>
  </r>
  <r>
    <s v="TCK-000824"/>
    <s v="2026-04-27T09:28:48Z"/>
    <n v="1497"/>
    <s v="Social"/>
    <s v="High"/>
    <s v="Account"/>
    <n v="29"/>
    <n v="653"/>
    <s v="closed"/>
    <n v="4"/>
    <d v="2026-04-27T00:00:00"/>
    <n v="10.883333333333333"/>
    <n v="0.48333333333333334"/>
    <s v="Within SLA"/>
    <s v="Satisfied"/>
    <s v="Resolved"/>
    <s v="Apr-2026"/>
    <x v="10"/>
  </r>
  <r>
    <s v="TCK-000825"/>
    <s v="2026-04-27T18:14:24Z"/>
    <n v="1329"/>
    <s v="Chat"/>
    <s v="Normal"/>
    <s v="Feature request"/>
    <n v="139"/>
    <n v="2768"/>
    <s v="closed"/>
    <m/>
    <d v="2026-04-27T00:00:00"/>
    <n v="46.133333333333333"/>
    <n v="2.3166666666666669"/>
    <s v="Within SLA"/>
    <s v="No Rating"/>
    <s v="Resolved"/>
    <s v="Apr-2026"/>
    <x v="10"/>
  </r>
  <r>
    <s v="TCK-000826"/>
    <s v="2026-04-28T03:00:00Z"/>
    <n v="1209"/>
    <s v="Email"/>
    <s v="Normal"/>
    <s v="Bug report"/>
    <n v="32"/>
    <m/>
    <s v="pending"/>
    <m/>
    <d v="2026-04-28T00:00:00"/>
    <s v=""/>
    <n v="0.53333333333333333"/>
    <s v="Open"/>
    <s v="No Rating"/>
    <s v="Unresolved"/>
    <s v="Apr-2026"/>
    <x v="10"/>
  </r>
  <r>
    <s v="TCK-000827"/>
    <s v="2026-04-28T11:45:36Z"/>
    <n v="1793"/>
    <s v="Chat"/>
    <s v="Low"/>
    <s v="Bug report"/>
    <n v="74"/>
    <n v="1645"/>
    <s v="closed"/>
    <n v="5"/>
    <d v="2026-04-28T00:00:00"/>
    <n v="27.416666666666668"/>
    <n v="1.2333333333333334"/>
    <s v="Within SLA"/>
    <s v="Satisfied"/>
    <s v="Resolved"/>
    <s v="Apr-2026"/>
    <x v="10"/>
  </r>
  <r>
    <s v="TCK-000828"/>
    <s v="2026-04-28T20:31:12Z"/>
    <n v="1386"/>
    <s v="Web form"/>
    <s v="Normal"/>
    <s v="Performance"/>
    <n v="166"/>
    <n v="1457"/>
    <s v="closed"/>
    <n v="4"/>
    <d v="2026-04-28T00:00:00"/>
    <n v="24.283333333333335"/>
    <n v="2.7666666666666666"/>
    <s v="Within SLA"/>
    <s v="Satisfied"/>
    <s v="Resolved"/>
    <s v="Apr-2026"/>
    <x v="10"/>
  </r>
  <r>
    <s v="TCK-000829"/>
    <s v="2026-04-29T05:16:48Z"/>
    <n v="1885"/>
    <s v="Chat"/>
    <s v="Normal"/>
    <s v="Bug report"/>
    <n v="90"/>
    <n v="2207"/>
    <s v="closed"/>
    <n v="2"/>
    <d v="2026-04-29T00:00:00"/>
    <n v="36.783333333333331"/>
    <n v="1.5"/>
    <s v="Within SLA"/>
    <s v="Dissatisfied"/>
    <s v="Resolved"/>
    <s v="Apr-2026"/>
    <x v="10"/>
  </r>
  <r>
    <s v="TCK-000830"/>
    <s v="2026-04-29T14:02:24Z"/>
    <n v="1929"/>
    <s v="Phone"/>
    <s v="Low"/>
    <s v="Feature request"/>
    <n v="269"/>
    <m/>
    <s v="open"/>
    <m/>
    <d v="2026-04-29T00:00:00"/>
    <s v=""/>
    <n v="4.4833333333333334"/>
    <s v="Open"/>
    <s v="No Rating"/>
    <s v="Unresolved"/>
    <s v="Apr-2026"/>
    <x v="10"/>
  </r>
  <r>
    <s v="TCK-000831"/>
    <s v="2026-04-29T22:48:00Z"/>
    <n v="1846"/>
    <s v="Web form"/>
    <s v="Urgent"/>
    <s v="Integration"/>
    <n v="6"/>
    <n v="262"/>
    <s v="closed"/>
    <m/>
    <d v="2026-04-29T00:00:00"/>
    <n v="4.3666666666666663"/>
    <n v="0.1"/>
    <s v="Within SLA"/>
    <s v="No Rating"/>
    <s v="Resolved"/>
    <s v="Apr-2026"/>
    <x v="10"/>
  </r>
  <r>
    <s v="TCK-000832"/>
    <s v="2026-04-30T07:33:36Z"/>
    <n v="1426"/>
    <s v="Phone"/>
    <s v="Urgent"/>
    <s v="Performance"/>
    <n v="12"/>
    <n v="76"/>
    <s v="closed"/>
    <n v="5"/>
    <d v="2026-04-30T00:00:00"/>
    <n v="1.2666666666666666"/>
    <n v="0.2"/>
    <s v="Within SLA"/>
    <s v="Satisfied"/>
    <s v="Resolved"/>
    <s v="Apr-2026"/>
    <x v="10"/>
  </r>
  <r>
    <s v="TCK-000833"/>
    <s v="2026-04-30T16:19:12Z"/>
    <n v="1005"/>
    <s v="Social"/>
    <s v="Low"/>
    <s v="Data import"/>
    <n v="180"/>
    <m/>
    <s v="pending"/>
    <m/>
    <d v="2026-04-30T00:00:00"/>
    <s v=""/>
    <n v="3"/>
    <s v="Open"/>
    <s v="No Rating"/>
    <s v="Unresolved"/>
    <s v="Apr-2026"/>
    <x v="10"/>
  </r>
  <r>
    <s v="TCK-000834"/>
    <s v="2026-05-01T01:04:48Z"/>
    <n v="1975"/>
    <s v="Web form"/>
    <s v="Low"/>
    <s v="Performance"/>
    <n v="152"/>
    <n v="8146"/>
    <s v="resolved"/>
    <n v="2"/>
    <d v="2026-05-01T00:00:00"/>
    <n v="135.76666666666668"/>
    <n v="2.5333333333333332"/>
    <s v="Breached"/>
    <s v="Dissatisfied"/>
    <s v="Resolved"/>
    <s v="May-2026"/>
    <x v="11"/>
  </r>
  <r>
    <s v="TCK-000835"/>
    <s v="2026-05-01T09:50:24Z"/>
    <n v="1047"/>
    <s v="Chat"/>
    <s v="Urgent"/>
    <s v="Feature request"/>
    <n v="11"/>
    <n v="197"/>
    <s v="closed"/>
    <m/>
    <d v="2026-05-01T00:00:00"/>
    <n v="3.2833333333333332"/>
    <n v="0.18333333333333332"/>
    <s v="Within SLA"/>
    <s v="No Rating"/>
    <s v="Resolved"/>
    <s v="May-2026"/>
    <x v="11"/>
  </r>
  <r>
    <s v="TCK-000836"/>
    <s v="2026-05-01T18:36:00Z"/>
    <n v="1951"/>
    <s v="Social"/>
    <s v="Normal"/>
    <s v="Data import"/>
    <n v="178"/>
    <n v="1599"/>
    <s v="closed"/>
    <n v="3"/>
    <d v="2026-05-01T00:00:00"/>
    <n v="26.65"/>
    <n v="2.9666666666666668"/>
    <s v="Within SLA"/>
    <s v="Neutral"/>
    <s v="Resolved"/>
    <s v="May-2026"/>
    <x v="11"/>
  </r>
  <r>
    <s v="TCK-000837"/>
    <s v="2026-05-02T03:21:36Z"/>
    <n v="1129"/>
    <s v="Phone"/>
    <s v="Normal"/>
    <s v="Account"/>
    <n v="83"/>
    <m/>
    <s v="pending"/>
    <m/>
    <d v="2026-05-02T00:00:00"/>
    <s v=""/>
    <n v="1.3833333333333333"/>
    <s v="Open"/>
    <s v="No Rating"/>
    <s v="Unresolved"/>
    <s v="May-2026"/>
    <x v="11"/>
  </r>
  <r>
    <s v="TCK-000838"/>
    <s v="2026-05-02T12:07:12Z"/>
    <n v="1105"/>
    <s v="Social"/>
    <s v="Normal"/>
    <s v="Integration"/>
    <n v="83"/>
    <n v="2275"/>
    <s v="closed"/>
    <n v="5"/>
    <d v="2026-05-02T00:00:00"/>
    <n v="37.916666666666664"/>
    <n v="1.3833333333333333"/>
    <s v="Within SLA"/>
    <s v="Satisfied"/>
    <s v="Resolved"/>
    <s v="May-2026"/>
    <x v="11"/>
  </r>
  <r>
    <s v="TCK-000839"/>
    <s v="2026-05-02T20:52:48Z"/>
    <n v="1754"/>
    <s v="Email"/>
    <s v="Normal"/>
    <s v="Login"/>
    <n v="126"/>
    <n v="1919"/>
    <s v="resolved"/>
    <m/>
    <d v="2026-05-02T00:00:00"/>
    <n v="31.983333333333334"/>
    <n v="2.1"/>
    <s v="Within SLA"/>
    <s v="No Rating"/>
    <s v="Resolved"/>
    <s v="May-2026"/>
    <x v="11"/>
  </r>
  <r>
    <s v="TCK-000840"/>
    <s v="2026-05-03T05:38:24Z"/>
    <n v="1133"/>
    <s v="Email"/>
    <s v="Normal"/>
    <s v="Export"/>
    <n v="69"/>
    <n v="3323"/>
    <s v="closed"/>
    <n v="1"/>
    <d v="2026-05-03T00:00:00"/>
    <n v="55.383333333333333"/>
    <n v="1.1499999999999999"/>
    <s v="Breached"/>
    <s v="Dissatisfied"/>
    <s v="Resolved"/>
    <s v="May-2026"/>
    <x v="11"/>
  </r>
  <r>
    <s v="TCK-000841"/>
    <s v="2026-05-03T14:24:00Z"/>
    <n v="1827"/>
    <s v="Web form"/>
    <s v="Normal"/>
    <s v="Bug report"/>
    <n v="112"/>
    <n v="1365"/>
    <s v="closed"/>
    <m/>
    <d v="2026-05-03T00:00:00"/>
    <n v="22.75"/>
    <n v="1.8666666666666667"/>
    <s v="Within SLA"/>
    <s v="No Rating"/>
    <s v="Resolved"/>
    <s v="May-2026"/>
    <x v="11"/>
  </r>
  <r>
    <s v="TCK-000842"/>
    <s v="2026-05-03T23:09:36Z"/>
    <n v="1343"/>
    <s v="Email"/>
    <s v="Low"/>
    <s v="Export"/>
    <n v="277"/>
    <n v="3362"/>
    <s v="resolved"/>
    <m/>
    <d v="2026-05-03T00:00:00"/>
    <n v="56.033333333333331"/>
    <n v="4.6166666666666663"/>
    <s v="Within SLA"/>
    <s v="No Rating"/>
    <s v="Resolved"/>
    <s v="May-2026"/>
    <x v="11"/>
  </r>
  <r>
    <s v="TCK-000843"/>
    <s v="2026-05-04T07:55:12Z"/>
    <n v="1735"/>
    <s v="Email"/>
    <s v="Urgent"/>
    <s v="Account"/>
    <n v="2"/>
    <n v="49"/>
    <s v="closed"/>
    <n v="2"/>
    <d v="2026-05-04T00:00:00"/>
    <n v="0.81666666666666665"/>
    <n v="3.3333333333333333E-2"/>
    <s v="Within SLA"/>
    <s v="Dissatisfied"/>
    <s v="Resolved"/>
    <s v="May-2026"/>
    <x v="11"/>
  </r>
  <r>
    <s v="TCK-000844"/>
    <s v="2026-05-04T16:40:48Z"/>
    <n v="1536"/>
    <s v="Social"/>
    <s v="High"/>
    <s v="Performance"/>
    <n v="10"/>
    <m/>
    <s v="pending"/>
    <m/>
    <d v="2026-05-04T00:00:00"/>
    <s v=""/>
    <n v="0.16666666666666666"/>
    <s v="Open"/>
    <s v="No Rating"/>
    <s v="Unresolved"/>
    <s v="May-2026"/>
    <x v="11"/>
  </r>
  <r>
    <s v="TCK-000845"/>
    <s v="2026-05-05T01:26:24Z"/>
    <n v="1433"/>
    <s v="Phone"/>
    <s v="Normal"/>
    <s v="Bug report"/>
    <n v="114"/>
    <n v="2752"/>
    <s v="resolved"/>
    <n v="5"/>
    <d v="2026-05-05T00:00:00"/>
    <n v="45.866666666666667"/>
    <n v="1.9"/>
    <s v="Within SLA"/>
    <s v="Satisfied"/>
    <s v="Resolved"/>
    <s v="May-2026"/>
    <x v="11"/>
  </r>
  <r>
    <s v="TCK-000846"/>
    <s v="2026-05-05T10:12:00Z"/>
    <n v="1957"/>
    <s v="Chat"/>
    <s v="Normal"/>
    <s v="Integration"/>
    <n v="42"/>
    <n v="2241"/>
    <s v="closed"/>
    <m/>
    <d v="2026-05-05T00:00:00"/>
    <n v="37.35"/>
    <n v="0.7"/>
    <s v="Within SLA"/>
    <s v="No Rating"/>
    <s v="Resolved"/>
    <s v="May-2026"/>
    <x v="11"/>
  </r>
  <r>
    <s v="TCK-000847"/>
    <s v="2026-05-05T18:57:36Z"/>
    <n v="1505"/>
    <s v="Social"/>
    <s v="Low"/>
    <s v="Performance"/>
    <n v="159"/>
    <n v="7753"/>
    <s v="closed"/>
    <m/>
    <d v="2026-05-05T00:00:00"/>
    <n v="129.21666666666667"/>
    <n v="2.65"/>
    <s v="Breached"/>
    <s v="No Rating"/>
    <s v="Resolved"/>
    <s v="May-2026"/>
    <x v="11"/>
  </r>
  <r>
    <s v="TCK-000848"/>
    <s v="2026-05-06T03:43:12Z"/>
    <n v="1011"/>
    <s v="Web form"/>
    <s v="Urgent"/>
    <s v="Login"/>
    <n v="4"/>
    <n v="324"/>
    <s v="closed"/>
    <n v="4"/>
    <d v="2026-05-06T00:00:00"/>
    <n v="5.4"/>
    <n v="6.6666666666666666E-2"/>
    <s v="Within SLA"/>
    <s v="Satisfied"/>
    <s v="Resolved"/>
    <s v="May-2026"/>
    <x v="11"/>
  </r>
  <r>
    <s v="TCK-000849"/>
    <s v="2026-05-06T12:28:48Z"/>
    <n v="1028"/>
    <s v="Chat"/>
    <s v="Low"/>
    <s v="Billing"/>
    <n v="298"/>
    <n v="2310"/>
    <s v="resolved"/>
    <n v="2"/>
    <d v="2026-05-06T00:00:00"/>
    <n v="38.5"/>
    <n v="4.9666666666666668"/>
    <s v="Within SLA"/>
    <s v="Dissatisfied"/>
    <s v="Resolved"/>
    <s v="May-2026"/>
    <x v="11"/>
  </r>
  <r>
    <s v="TCK-000850"/>
    <s v="2026-05-06T21:14:24Z"/>
    <n v="1859"/>
    <s v="Chat"/>
    <s v="Low"/>
    <s v="Account"/>
    <n v="103"/>
    <n v="3445"/>
    <s v="closed"/>
    <n v="2"/>
    <d v="2026-05-06T00:00:00"/>
    <n v="57.416666666666664"/>
    <n v="1.7166666666666666"/>
    <s v="Within SLA"/>
    <s v="Dissatisfied"/>
    <s v="Resolved"/>
    <s v="May-2026"/>
    <x v="11"/>
  </r>
  <r>
    <s v="TCK-000851"/>
    <s v="2026-05-07T06:00:00Z"/>
    <n v="1962"/>
    <s v="Phone"/>
    <s v="High"/>
    <s v="Bug report"/>
    <n v="27"/>
    <m/>
    <s v="open"/>
    <m/>
    <d v="2026-05-07T00:00:00"/>
    <s v=""/>
    <n v="0.45"/>
    <s v="Open"/>
    <s v="No Rating"/>
    <s v="Unresolved"/>
    <s v="May-2026"/>
    <x v="11"/>
  </r>
  <r>
    <s v="TCK-000852"/>
    <s v="2026-05-07T14:45:36Z"/>
    <n v="1594"/>
    <s v="Email"/>
    <s v="High"/>
    <s v="Data import"/>
    <n v="18"/>
    <m/>
    <s v="open"/>
    <m/>
    <d v="2026-05-07T00:00:00"/>
    <s v=""/>
    <n v="0.3"/>
    <s v="Open"/>
    <s v="No Rating"/>
    <s v="Unresolved"/>
    <s v="May-2026"/>
    <x v="11"/>
  </r>
  <r>
    <s v="TCK-000853"/>
    <s v="2026-05-07T23:31:12Z"/>
    <n v="1924"/>
    <s v="Chat"/>
    <s v="High"/>
    <s v="Data import"/>
    <n v="36"/>
    <m/>
    <s v="open"/>
    <m/>
    <d v="2026-05-07T00:00:00"/>
    <s v=""/>
    <n v="0.6"/>
    <s v="Open"/>
    <s v="No Rating"/>
    <s v="Unresolved"/>
    <s v="May-2026"/>
    <x v="11"/>
  </r>
  <r>
    <s v="TCK-000854"/>
    <s v="2026-05-08T08:16:48Z"/>
    <n v="1399"/>
    <s v="Social"/>
    <s v="Urgent"/>
    <s v="Feature request"/>
    <n v="10"/>
    <n v="218"/>
    <s v="closed"/>
    <n v="5"/>
    <d v="2026-05-08T00:00:00"/>
    <n v="3.6333333333333333"/>
    <n v="0.16666666666666666"/>
    <s v="Within SLA"/>
    <s v="Satisfied"/>
    <s v="Resolved"/>
    <s v="May-2026"/>
    <x v="11"/>
  </r>
  <r>
    <s v="TCK-000855"/>
    <s v="2026-05-08T17:02:24Z"/>
    <n v="1223"/>
    <s v="Web form"/>
    <s v="Urgent"/>
    <s v="Performance"/>
    <n v="11"/>
    <n v="334"/>
    <s v="resolved"/>
    <n v="3"/>
    <d v="2026-05-08T00:00:00"/>
    <n v="5.5666666666666664"/>
    <n v="0.18333333333333332"/>
    <s v="Within SLA"/>
    <s v="Neutral"/>
    <s v="Resolved"/>
    <s v="May-2026"/>
    <x v="11"/>
  </r>
  <r>
    <s v="TCK-000856"/>
    <s v="2026-05-09T01:48:00Z"/>
    <n v="1784"/>
    <s v="Web form"/>
    <s v="High"/>
    <s v="Data import"/>
    <n v="9"/>
    <m/>
    <s v="pending"/>
    <m/>
    <d v="2026-05-09T00:00:00"/>
    <s v=""/>
    <n v="0.15"/>
    <s v="Open"/>
    <s v="No Rating"/>
    <s v="Unresolved"/>
    <s v="May-2026"/>
    <x v="11"/>
  </r>
  <r>
    <s v="TCK-000857"/>
    <s v="2026-05-09T10:33:36Z"/>
    <n v="1533"/>
    <s v="Email"/>
    <s v="Urgent"/>
    <s v="Export"/>
    <n v="3"/>
    <n v="292"/>
    <s v="resolved"/>
    <n v="2"/>
    <d v="2026-05-09T00:00:00"/>
    <n v="4.8666666666666663"/>
    <n v="0.05"/>
    <s v="Within SLA"/>
    <s v="Dissatisfied"/>
    <s v="Resolved"/>
    <s v="May-2026"/>
    <x v="11"/>
  </r>
  <r>
    <s v="TCK-000858"/>
    <s v="2026-05-09T19:19:12Z"/>
    <n v="1256"/>
    <s v="Web form"/>
    <s v="Normal"/>
    <s v="Feature request"/>
    <n v="108"/>
    <n v="3438"/>
    <s v="closed"/>
    <n v="5"/>
    <d v="2026-05-09T00:00:00"/>
    <n v="57.3"/>
    <n v="1.8"/>
    <s v="Breached"/>
    <s v="Satisfied"/>
    <s v="Resolved"/>
    <s v="May-2026"/>
    <x v="11"/>
  </r>
  <r>
    <s v="TCK-000859"/>
    <s v="2026-05-10T04:04:48Z"/>
    <n v="1702"/>
    <s v="Phone"/>
    <s v="Urgent"/>
    <s v="Account"/>
    <n v="10"/>
    <n v="311"/>
    <s v="resolved"/>
    <n v="2"/>
    <d v="2026-05-10T00:00:00"/>
    <n v="5.1833333333333336"/>
    <n v="0.16666666666666666"/>
    <s v="Within SLA"/>
    <s v="Dissatisfied"/>
    <s v="Resolved"/>
    <s v="May-2026"/>
    <x v="11"/>
  </r>
  <r>
    <s v="TCK-000860"/>
    <s v="2026-05-10T12:50:24Z"/>
    <n v="1832"/>
    <s v="Social"/>
    <s v="Normal"/>
    <s v="Feature request"/>
    <n v="111"/>
    <n v="1020"/>
    <s v="resolved"/>
    <n v="5"/>
    <d v="2026-05-10T00:00:00"/>
    <n v="17"/>
    <n v="1.85"/>
    <s v="Within SLA"/>
    <s v="Satisfied"/>
    <s v="Resolved"/>
    <s v="May-2026"/>
    <x v="11"/>
  </r>
  <r>
    <s v="TCK-000861"/>
    <s v="2026-05-10T21:36:00Z"/>
    <n v="1106"/>
    <s v="Web form"/>
    <s v="Normal"/>
    <s v="Integration"/>
    <n v="65"/>
    <n v="2942"/>
    <s v="closed"/>
    <n v="3"/>
    <d v="2026-05-10T00:00:00"/>
    <n v="49.033333333333331"/>
    <n v="1.0833333333333333"/>
    <s v="Breached"/>
    <s v="Neutral"/>
    <s v="Resolved"/>
    <s v="May-2026"/>
    <x v="11"/>
  </r>
  <r>
    <s v="TCK-000862"/>
    <s v="2026-05-11T06:21:36Z"/>
    <n v="1387"/>
    <s v="Email"/>
    <s v="High"/>
    <s v="Feature request"/>
    <n v="46"/>
    <n v="623"/>
    <s v="resolved"/>
    <n v="2"/>
    <d v="2026-05-11T00:00:00"/>
    <n v="10.383333333333333"/>
    <n v="0.76666666666666672"/>
    <s v="Within SLA"/>
    <s v="Dissatisfied"/>
    <s v="Resolved"/>
    <s v="May-2026"/>
    <x v="11"/>
  </r>
  <r>
    <s v="TCK-000863"/>
    <s v="2026-05-11T15:07:12Z"/>
    <n v="1296"/>
    <s v="Chat"/>
    <s v="Low"/>
    <s v="Billing"/>
    <n v="285"/>
    <m/>
    <s v="open"/>
    <m/>
    <d v="2026-05-11T00:00:00"/>
    <s v=""/>
    <n v="4.75"/>
    <s v="Open"/>
    <s v="No Rating"/>
    <s v="Unresolved"/>
    <s v="May-2026"/>
    <x v="11"/>
  </r>
  <r>
    <s v="TCK-000864"/>
    <s v="2026-05-11T23:52:48Z"/>
    <n v="1292"/>
    <s v="Chat"/>
    <s v="Low"/>
    <s v="Export"/>
    <n v="324"/>
    <n v="3500"/>
    <s v="closed"/>
    <m/>
    <d v="2026-05-11T00:00:00"/>
    <n v="58.333333333333336"/>
    <n v="5.4"/>
    <s v="Within SLA"/>
    <s v="No Rating"/>
    <s v="Resolved"/>
    <s v="May-2026"/>
    <x v="11"/>
  </r>
  <r>
    <s v="TCK-000865"/>
    <s v="2026-05-12T08:38:24Z"/>
    <n v="1925"/>
    <s v="Email"/>
    <s v="Normal"/>
    <s v="Integration"/>
    <n v="163"/>
    <n v="1707"/>
    <s v="closed"/>
    <n v="1"/>
    <d v="2026-05-12T00:00:00"/>
    <n v="28.45"/>
    <n v="2.7166666666666668"/>
    <s v="Within SLA"/>
    <s v="Dissatisfied"/>
    <s v="Resolved"/>
    <s v="May-2026"/>
    <x v="11"/>
  </r>
  <r>
    <s v="TCK-000866"/>
    <s v="2026-05-12T17:24:00Z"/>
    <n v="1926"/>
    <s v="Phone"/>
    <s v="Low"/>
    <s v="Login"/>
    <n v="168"/>
    <n v="2223"/>
    <s v="resolved"/>
    <m/>
    <d v="2026-05-12T00:00:00"/>
    <n v="37.049999999999997"/>
    <n v="2.8"/>
    <s v="Within SLA"/>
    <s v="No Rating"/>
    <s v="Resolved"/>
    <s v="May-2026"/>
    <x v="11"/>
  </r>
  <r>
    <s v="TCK-000867"/>
    <s v="2026-05-13T02:09:36Z"/>
    <n v="1121"/>
    <s v="Chat"/>
    <s v="Normal"/>
    <s v="Login"/>
    <n v="79"/>
    <n v="2410"/>
    <s v="closed"/>
    <m/>
    <d v="2026-05-13T00:00:00"/>
    <n v="40.166666666666664"/>
    <n v="1.3166666666666667"/>
    <s v="Within SLA"/>
    <s v="No Rating"/>
    <s v="Resolved"/>
    <s v="May-2026"/>
    <x v="11"/>
  </r>
  <r>
    <s v="TCK-000868"/>
    <s v="2026-05-13T10:55:12Z"/>
    <n v="1066"/>
    <s v="Web form"/>
    <s v="High"/>
    <s v="Feature request"/>
    <n v="20"/>
    <n v="1169"/>
    <s v="closed"/>
    <n v="2"/>
    <d v="2026-05-13T00:00:00"/>
    <n v="19.483333333333334"/>
    <n v="0.33333333333333331"/>
    <s v="Within SLA"/>
    <s v="Dissatisfied"/>
    <s v="Resolved"/>
    <s v="May-2026"/>
    <x v="11"/>
  </r>
  <r>
    <s v="TCK-000869"/>
    <s v="2026-05-13T19:40:48Z"/>
    <n v="1379"/>
    <s v="Phone"/>
    <s v="Low"/>
    <s v="Billing"/>
    <n v="244"/>
    <n v="8810"/>
    <s v="closed"/>
    <m/>
    <d v="2026-05-13T00:00:00"/>
    <n v="146.83333333333334"/>
    <n v="4.0666666666666664"/>
    <s v="Breached"/>
    <s v="No Rating"/>
    <s v="Resolved"/>
    <s v="May-2026"/>
    <x v="11"/>
  </r>
  <r>
    <s v="TCK-000870"/>
    <s v="2026-05-14T04:26:24Z"/>
    <n v="1852"/>
    <s v="Web form"/>
    <s v="Low"/>
    <s v="Feature request"/>
    <n v="190"/>
    <n v="6578"/>
    <s v="closed"/>
    <n v="3"/>
    <d v="2026-05-14T00:00:00"/>
    <n v="109.63333333333334"/>
    <n v="3.1666666666666665"/>
    <s v="Breached"/>
    <s v="Neutral"/>
    <s v="Resolved"/>
    <s v="May-2026"/>
    <x v="11"/>
  </r>
  <r>
    <s v="TCK-000871"/>
    <s v="2026-05-14T13:12:00Z"/>
    <n v="1569"/>
    <s v="Web form"/>
    <s v="High"/>
    <s v="Account"/>
    <n v="39"/>
    <n v="1190"/>
    <s v="closed"/>
    <n v="1"/>
    <d v="2026-05-14T00:00:00"/>
    <n v="19.833333333333332"/>
    <n v="0.65"/>
    <s v="Within SLA"/>
    <s v="Dissatisfied"/>
    <s v="Resolved"/>
    <s v="May-2026"/>
    <x v="11"/>
  </r>
  <r>
    <s v="TCK-000872"/>
    <s v="2026-05-14T21:57:36Z"/>
    <n v="1854"/>
    <s v="Chat"/>
    <s v="Low"/>
    <s v="Performance"/>
    <n v="301"/>
    <n v="5323"/>
    <s v="closed"/>
    <n v="1"/>
    <d v="2026-05-14T00:00:00"/>
    <n v="88.716666666666669"/>
    <n v="5.0166666666666666"/>
    <s v="Breached"/>
    <s v="Dissatisfied"/>
    <s v="Resolved"/>
    <s v="May-2026"/>
    <x v="11"/>
  </r>
  <r>
    <s v="TCK-000873"/>
    <s v="2026-05-15T06:43:12Z"/>
    <n v="1665"/>
    <s v="Chat"/>
    <s v="Normal"/>
    <s v="Export"/>
    <n v="102"/>
    <n v="985"/>
    <s v="closed"/>
    <n v="1"/>
    <d v="2026-05-15T00:00:00"/>
    <n v="16.416666666666668"/>
    <n v="1.7"/>
    <s v="Within SLA"/>
    <s v="Dissatisfied"/>
    <s v="Resolved"/>
    <s v="May-2026"/>
    <x v="11"/>
  </r>
  <r>
    <s v="TCK-000874"/>
    <s v="2026-05-15T15:28:48Z"/>
    <n v="1326"/>
    <s v="Chat"/>
    <s v="Low"/>
    <s v="Login"/>
    <n v="416"/>
    <n v="6158"/>
    <s v="closed"/>
    <n v="4"/>
    <d v="2026-05-15T00:00:00"/>
    <n v="102.63333333333334"/>
    <n v="6.9333333333333336"/>
    <s v="Breached"/>
    <s v="Satisfied"/>
    <s v="Resolved"/>
    <s v="May-2026"/>
    <x v="11"/>
  </r>
  <r>
    <s v="TCK-000875"/>
    <s v="2026-05-16T00:14:24Z"/>
    <n v="1401"/>
    <s v="Social"/>
    <s v="Urgent"/>
    <s v="Bug report"/>
    <n v="3"/>
    <n v="305"/>
    <s v="closed"/>
    <m/>
    <d v="2026-05-16T00:00:00"/>
    <n v="5.083333333333333"/>
    <n v="0.05"/>
    <s v="Within SLA"/>
    <s v="No Rating"/>
    <s v="Resolved"/>
    <s v="May-2026"/>
    <x v="11"/>
  </r>
  <r>
    <s v="TCK-000876"/>
    <s v="2026-05-16T09:00:00Z"/>
    <n v="1587"/>
    <s v="Social"/>
    <s v="Low"/>
    <s v="Performance"/>
    <n v="388"/>
    <m/>
    <s v="open"/>
    <m/>
    <d v="2026-05-16T00:00:00"/>
    <s v=""/>
    <n v="6.4666666666666668"/>
    <s v="Open"/>
    <s v="No Rating"/>
    <s v="Unresolved"/>
    <s v="May-2026"/>
    <x v="11"/>
  </r>
  <r>
    <s v="TCK-000877"/>
    <s v="2026-05-16T17:45:36Z"/>
    <n v="1663"/>
    <s v="Chat"/>
    <s v="Normal"/>
    <s v="Account"/>
    <n v="33"/>
    <n v="2291"/>
    <s v="resolved"/>
    <n v="4"/>
    <d v="2026-05-16T00:00:00"/>
    <n v="38.18333333333333"/>
    <n v="0.55000000000000004"/>
    <s v="Within SLA"/>
    <s v="Satisfied"/>
    <s v="Resolved"/>
    <s v="May-2026"/>
    <x v="11"/>
  </r>
  <r>
    <s v="TCK-000878"/>
    <s v="2026-05-17T02:31:12Z"/>
    <n v="1965"/>
    <s v="Social"/>
    <s v="Urgent"/>
    <s v="Data import"/>
    <n v="12"/>
    <n v="316"/>
    <s v="resolved"/>
    <m/>
    <d v="2026-05-17T00:00:00"/>
    <n v="5.2666666666666666"/>
    <n v="0.2"/>
    <s v="Within SLA"/>
    <s v="No Rating"/>
    <s v="Resolved"/>
    <s v="May-2026"/>
    <x v="11"/>
  </r>
  <r>
    <s v="TCK-000879"/>
    <s v="2026-05-17T11:16:48Z"/>
    <n v="1915"/>
    <s v="Phone"/>
    <s v="Low"/>
    <s v="Data import"/>
    <n v="371"/>
    <n v="6026"/>
    <s v="resolved"/>
    <n v="4"/>
    <d v="2026-05-17T00:00:00"/>
    <n v="100.43333333333334"/>
    <n v="6.1833333333333336"/>
    <s v="Breached"/>
    <s v="Satisfied"/>
    <s v="Resolved"/>
    <s v="May-2026"/>
    <x v="11"/>
  </r>
  <r>
    <s v="TCK-000880"/>
    <s v="2026-05-17T20:02:24Z"/>
    <n v="1414"/>
    <s v="Social"/>
    <s v="Normal"/>
    <s v="Performance"/>
    <n v="134"/>
    <m/>
    <s v="pending"/>
    <m/>
    <d v="2026-05-17T00:00:00"/>
    <s v=""/>
    <n v="2.2333333333333334"/>
    <s v="Open"/>
    <s v="No Rating"/>
    <s v="Unresolved"/>
    <s v="May-2026"/>
    <x v="11"/>
  </r>
  <r>
    <s v="TCK-000881"/>
    <s v="2026-05-18T04:48:00Z"/>
    <n v="1113"/>
    <s v="Phone"/>
    <s v="High"/>
    <s v="Data import"/>
    <n v="18"/>
    <n v="1069"/>
    <s v="closed"/>
    <m/>
    <d v="2026-05-18T00:00:00"/>
    <n v="17.816666666666666"/>
    <n v="0.3"/>
    <s v="Within SLA"/>
    <s v="No Rating"/>
    <s v="Resolved"/>
    <s v="May-2026"/>
    <x v="11"/>
  </r>
  <r>
    <s v="TCK-000882"/>
    <s v="2026-05-18T13:33:36Z"/>
    <n v="1001"/>
    <s v="Chat"/>
    <s v="Low"/>
    <s v="Billing"/>
    <n v="97"/>
    <n v="1694"/>
    <s v="closed"/>
    <n v="3"/>
    <d v="2026-05-18T00:00:00"/>
    <n v="28.233333333333334"/>
    <n v="1.6166666666666667"/>
    <s v="Within SLA"/>
    <s v="Neutral"/>
    <s v="Resolved"/>
    <s v="May-2026"/>
    <x v="11"/>
  </r>
  <r>
    <s v="TCK-000883"/>
    <s v="2026-05-18T22:19:12Z"/>
    <n v="1112"/>
    <s v="Email"/>
    <s v="Normal"/>
    <s v="Feature request"/>
    <n v="129"/>
    <n v="3227"/>
    <s v="closed"/>
    <n v="4"/>
    <d v="2026-05-18T00:00:00"/>
    <n v="53.783333333333331"/>
    <n v="2.15"/>
    <s v="Breached"/>
    <s v="Satisfied"/>
    <s v="Resolved"/>
    <s v="May-2026"/>
    <x v="11"/>
  </r>
  <r>
    <s v="TCK-000884"/>
    <s v="2026-05-19T07:04:48Z"/>
    <n v="1586"/>
    <s v="Email"/>
    <s v="Normal"/>
    <s v="Login"/>
    <n v="147"/>
    <n v="771"/>
    <s v="closed"/>
    <n v="3"/>
    <d v="2026-05-19T00:00:00"/>
    <n v="12.85"/>
    <n v="2.4500000000000002"/>
    <s v="Within SLA"/>
    <s v="Neutral"/>
    <s v="Resolved"/>
    <s v="May-2026"/>
    <x v="11"/>
  </r>
  <r>
    <s v="TCK-000885"/>
    <s v="2026-05-19T15:50:24Z"/>
    <n v="1956"/>
    <s v="Web form"/>
    <s v="Normal"/>
    <s v="Account"/>
    <n v="134"/>
    <n v="1367"/>
    <s v="closed"/>
    <n v="1"/>
    <d v="2026-05-19T00:00:00"/>
    <n v="22.783333333333335"/>
    <n v="2.2333333333333334"/>
    <s v="Within SLA"/>
    <s v="Dissatisfied"/>
    <s v="Resolved"/>
    <s v="May-2026"/>
    <x v="11"/>
  </r>
  <r>
    <s v="TCK-000886"/>
    <s v="2026-05-20T00:36:00Z"/>
    <n v="1416"/>
    <s v="Social"/>
    <s v="High"/>
    <s v="Account"/>
    <n v="34"/>
    <n v="994"/>
    <s v="closed"/>
    <m/>
    <d v="2026-05-20T00:00:00"/>
    <n v="16.566666666666666"/>
    <n v="0.56666666666666665"/>
    <s v="Within SLA"/>
    <s v="No Rating"/>
    <s v="Resolved"/>
    <s v="May-2026"/>
    <x v="11"/>
  </r>
  <r>
    <s v="TCK-000887"/>
    <s v="2026-05-20T09:21:36Z"/>
    <n v="1493"/>
    <s v="Social"/>
    <s v="Urgent"/>
    <s v="Login"/>
    <n v="10"/>
    <n v="326"/>
    <s v="closed"/>
    <m/>
    <d v="2026-05-20T00:00:00"/>
    <n v="5.4333333333333336"/>
    <n v="0.16666666666666666"/>
    <s v="Within SLA"/>
    <s v="No Rating"/>
    <s v="Resolved"/>
    <s v="May-2026"/>
    <x v="11"/>
  </r>
  <r>
    <s v="TCK-000888"/>
    <s v="2026-05-20T18:07:12Z"/>
    <n v="1557"/>
    <s v="Social"/>
    <s v="Urgent"/>
    <s v="Billing"/>
    <n v="9"/>
    <m/>
    <s v="open"/>
    <m/>
    <d v="2026-05-20T00:00:00"/>
    <s v=""/>
    <n v="0.15"/>
    <s v="Open"/>
    <s v="No Rating"/>
    <s v="Unresolved"/>
    <s v="May-2026"/>
    <x v="11"/>
  </r>
  <r>
    <s v="TCK-000889"/>
    <s v="2026-05-21T02:52:48Z"/>
    <n v="1548"/>
    <s v="Chat"/>
    <s v="High"/>
    <s v="Feature request"/>
    <n v="12"/>
    <m/>
    <s v="open"/>
    <m/>
    <d v="2026-05-21T00:00:00"/>
    <s v=""/>
    <n v="0.2"/>
    <s v="Open"/>
    <s v="No Rating"/>
    <s v="Unresolved"/>
    <s v="May-2026"/>
    <x v="11"/>
  </r>
  <r>
    <s v="TCK-000890"/>
    <s v="2026-05-21T11:38:24Z"/>
    <n v="1746"/>
    <s v="Social"/>
    <s v="Low"/>
    <s v="Billing"/>
    <n v="441"/>
    <n v="7228"/>
    <s v="resolved"/>
    <n v="4"/>
    <d v="2026-05-21T00:00:00"/>
    <n v="120.46666666666667"/>
    <n v="7.35"/>
    <s v="Breached"/>
    <s v="Satisfied"/>
    <s v="Resolved"/>
    <s v="May-2026"/>
    <x v="11"/>
  </r>
  <r>
    <s v="TCK-000891"/>
    <s v="2026-05-21T20:24:00Z"/>
    <n v="1640"/>
    <s v="Web form"/>
    <s v="Low"/>
    <s v="Account"/>
    <n v="187"/>
    <n v="7741"/>
    <s v="resolved"/>
    <n v="2"/>
    <d v="2026-05-21T00:00:00"/>
    <n v="129.01666666666668"/>
    <n v="3.1166666666666667"/>
    <s v="Breached"/>
    <s v="Dissatisfied"/>
    <s v="Resolved"/>
    <s v="May-2026"/>
    <x v="11"/>
  </r>
  <r>
    <s v="TCK-000892"/>
    <s v="2026-05-22T05:09:36Z"/>
    <n v="1919"/>
    <s v="Email"/>
    <s v="Normal"/>
    <s v="Login"/>
    <n v="119"/>
    <n v="2380"/>
    <s v="closed"/>
    <n v="3"/>
    <d v="2026-05-22T00:00:00"/>
    <n v="39.666666666666664"/>
    <n v="1.9833333333333334"/>
    <s v="Within SLA"/>
    <s v="Neutral"/>
    <s v="Resolved"/>
    <s v="May-2026"/>
    <x v="11"/>
  </r>
  <r>
    <s v="TCK-000893"/>
    <s v="2026-05-22T13:55:12Z"/>
    <n v="1580"/>
    <s v="Web form"/>
    <s v="High"/>
    <s v="Performance"/>
    <n v="20"/>
    <n v="609"/>
    <s v="closed"/>
    <n v="2"/>
    <d v="2026-05-22T00:00:00"/>
    <n v="10.15"/>
    <n v="0.33333333333333331"/>
    <s v="Within SLA"/>
    <s v="Dissatisfied"/>
    <s v="Resolved"/>
    <s v="May-2026"/>
    <x v="11"/>
  </r>
  <r>
    <s v="TCK-000894"/>
    <s v="2026-05-22T22:40:48Z"/>
    <n v="1573"/>
    <s v="Email"/>
    <s v="Urgent"/>
    <s v="Integration"/>
    <n v="2"/>
    <m/>
    <s v="open"/>
    <m/>
    <d v="2026-05-22T00:00:00"/>
    <s v=""/>
    <n v="3.3333333333333333E-2"/>
    <s v="Open"/>
    <s v="No Rating"/>
    <s v="Unresolved"/>
    <s v="May-2026"/>
    <x v="11"/>
  </r>
  <r>
    <s v="TCK-000895"/>
    <s v="2026-05-23T07:26:24Z"/>
    <n v="1027"/>
    <s v="Phone"/>
    <s v="Urgent"/>
    <s v="Integration"/>
    <n v="10"/>
    <n v="406"/>
    <s v="closed"/>
    <n v="3"/>
    <d v="2026-05-23T00:00:00"/>
    <n v="6.7666666666666666"/>
    <n v="0.16666666666666666"/>
    <s v="Within SLA"/>
    <s v="Neutral"/>
    <s v="Resolved"/>
    <s v="May-2026"/>
    <x v="11"/>
  </r>
  <r>
    <s v="TCK-000896"/>
    <s v="2026-05-23T16:12:00Z"/>
    <n v="1059"/>
    <s v="Email"/>
    <s v="Urgent"/>
    <s v="Performance"/>
    <n v="8"/>
    <n v="137"/>
    <s v="closed"/>
    <n v="4"/>
    <d v="2026-05-23T00:00:00"/>
    <n v="2.2833333333333332"/>
    <n v="0.13333333333333333"/>
    <s v="Within SLA"/>
    <s v="Satisfied"/>
    <s v="Resolved"/>
    <s v="May-2026"/>
    <x v="11"/>
  </r>
  <r>
    <s v="TCK-000897"/>
    <s v="2026-05-24T00:57:36Z"/>
    <n v="1516"/>
    <s v="Phone"/>
    <s v="Urgent"/>
    <s v="Bug report"/>
    <n v="2"/>
    <n v="394"/>
    <s v="closed"/>
    <n v="1"/>
    <d v="2026-05-24T00:00:00"/>
    <n v="6.5666666666666664"/>
    <n v="3.3333333333333333E-2"/>
    <s v="Within SLA"/>
    <s v="Dissatisfied"/>
    <s v="Resolved"/>
    <s v="May-2026"/>
    <x v="11"/>
  </r>
  <r>
    <s v="TCK-000898"/>
    <s v="2026-05-24T09:43:12Z"/>
    <n v="1123"/>
    <s v="Phone"/>
    <s v="Normal"/>
    <s v="Performance"/>
    <n v="136"/>
    <n v="1724"/>
    <s v="closed"/>
    <n v="3"/>
    <d v="2026-05-24T00:00:00"/>
    <n v="28.733333333333334"/>
    <n v="2.2666666666666666"/>
    <s v="Within SLA"/>
    <s v="Neutral"/>
    <s v="Resolved"/>
    <s v="May-2026"/>
    <x v="11"/>
  </r>
  <r>
    <s v="TCK-000899"/>
    <s v="2026-05-24T18:28:48Z"/>
    <n v="1881"/>
    <s v="Web form"/>
    <s v="Normal"/>
    <s v="Integration"/>
    <n v="171"/>
    <n v="3049"/>
    <s v="closed"/>
    <n v="1"/>
    <d v="2026-05-24T00:00:00"/>
    <n v="50.81666666666667"/>
    <n v="2.85"/>
    <s v="Breached"/>
    <s v="Dissatisfied"/>
    <s v="Resolved"/>
    <s v="May-2026"/>
    <x v="11"/>
  </r>
  <r>
    <s v="TCK-000900"/>
    <s v="2026-05-25T03:14:24Z"/>
    <n v="1575"/>
    <s v="Web form"/>
    <s v="Low"/>
    <s v="Bug report"/>
    <n v="416"/>
    <n v="1357"/>
    <s v="resolved"/>
    <m/>
    <d v="2026-05-25T00:00:00"/>
    <n v="22.616666666666667"/>
    <n v="6.9333333333333336"/>
    <s v="Within SLA"/>
    <s v="No Rating"/>
    <s v="Resolved"/>
    <s v="May-2026"/>
    <x v="11"/>
  </r>
  <r>
    <s v="TCK-000901"/>
    <s v="2026-05-25T12:00:00Z"/>
    <n v="1445"/>
    <s v="Chat"/>
    <s v="Low"/>
    <s v="Bug report"/>
    <n v="416"/>
    <n v="1828"/>
    <s v="closed"/>
    <n v="2"/>
    <d v="2026-05-25T00:00:00"/>
    <n v="30.466666666666665"/>
    <n v="6.9333333333333336"/>
    <s v="Within SLA"/>
    <s v="Dissatisfied"/>
    <s v="Resolved"/>
    <s v="May-2026"/>
    <x v="11"/>
  </r>
  <r>
    <s v="TCK-000902"/>
    <s v="2026-05-25T20:45:36Z"/>
    <n v="1625"/>
    <s v="Email"/>
    <s v="Urgent"/>
    <s v="Account"/>
    <n v="3"/>
    <n v="239"/>
    <s v="closed"/>
    <m/>
    <d v="2026-05-25T00:00:00"/>
    <n v="3.9833333333333334"/>
    <n v="0.05"/>
    <s v="Within SLA"/>
    <s v="No Rating"/>
    <s v="Resolved"/>
    <s v="May-2026"/>
    <x v="11"/>
  </r>
  <r>
    <s v="TCK-000903"/>
    <s v="2026-05-26T05:31:12Z"/>
    <n v="1036"/>
    <s v="Web form"/>
    <s v="Normal"/>
    <s v="Data import"/>
    <n v="119"/>
    <n v="776"/>
    <s v="closed"/>
    <n v="1"/>
    <d v="2026-05-26T00:00:00"/>
    <n v="12.933333333333334"/>
    <n v="1.9833333333333334"/>
    <s v="Within SLA"/>
    <s v="Dissatisfied"/>
    <s v="Resolved"/>
    <s v="May-2026"/>
    <x v="11"/>
  </r>
  <r>
    <s v="TCK-000904"/>
    <s v="2026-05-26T14:16:48Z"/>
    <n v="1019"/>
    <s v="Phone"/>
    <s v="Low"/>
    <s v="Data import"/>
    <n v="459"/>
    <m/>
    <s v="pending"/>
    <m/>
    <d v="2026-05-26T00:00:00"/>
    <s v=""/>
    <n v="7.65"/>
    <s v="Open"/>
    <s v="No Rating"/>
    <s v="Unresolved"/>
    <s v="May-2026"/>
    <x v="11"/>
  </r>
  <r>
    <s v="TCK-000905"/>
    <s v="2026-05-26T23:02:24Z"/>
    <n v="1263"/>
    <s v="Phone"/>
    <s v="High"/>
    <s v="Billing"/>
    <n v="28"/>
    <n v="514"/>
    <s v="closed"/>
    <m/>
    <d v="2026-05-26T00:00:00"/>
    <n v="8.5666666666666664"/>
    <n v="0.46666666666666667"/>
    <s v="Within SLA"/>
    <s v="No Rating"/>
    <s v="Resolved"/>
    <s v="May-2026"/>
    <x v="11"/>
  </r>
  <r>
    <s v="TCK-000906"/>
    <s v="2026-05-27T07:48:00Z"/>
    <n v="1750"/>
    <s v="Chat"/>
    <s v="Low"/>
    <s v="Performance"/>
    <n v="205"/>
    <m/>
    <s v="pending"/>
    <m/>
    <d v="2026-05-27T00:00:00"/>
    <s v=""/>
    <n v="3.4166666666666665"/>
    <s v="Open"/>
    <s v="No Rating"/>
    <s v="Unresolved"/>
    <s v="May-2026"/>
    <x v="11"/>
  </r>
  <r>
    <s v="TCK-000907"/>
    <s v="2026-05-27T16:33:36Z"/>
    <n v="1937"/>
    <s v="Email"/>
    <s v="Urgent"/>
    <s v="Performance"/>
    <n v="7"/>
    <m/>
    <s v="pending"/>
    <m/>
    <d v="2026-05-27T00:00:00"/>
    <s v=""/>
    <n v="0.11666666666666667"/>
    <s v="Open"/>
    <s v="No Rating"/>
    <s v="Unresolved"/>
    <s v="May-2026"/>
    <x v="11"/>
  </r>
  <r>
    <s v="TCK-000908"/>
    <s v="2026-05-28T01:19:12Z"/>
    <n v="1647"/>
    <s v="Email"/>
    <s v="Normal"/>
    <s v="Account"/>
    <n v="147"/>
    <n v="1450"/>
    <s v="closed"/>
    <m/>
    <d v="2026-05-28T00:00:00"/>
    <n v="24.166666666666668"/>
    <n v="2.4500000000000002"/>
    <s v="Within SLA"/>
    <s v="No Rating"/>
    <s v="Resolved"/>
    <s v="May-2026"/>
    <x v="11"/>
  </r>
  <r>
    <s v="TCK-000909"/>
    <s v="2026-05-28T10:04:48Z"/>
    <n v="1540"/>
    <s v="Phone"/>
    <s v="Low"/>
    <s v="Account"/>
    <n v="278"/>
    <n v="7542"/>
    <s v="closed"/>
    <m/>
    <d v="2026-05-28T00:00:00"/>
    <n v="125.7"/>
    <n v="4.6333333333333337"/>
    <s v="Breached"/>
    <s v="No Rating"/>
    <s v="Resolved"/>
    <s v="May-2026"/>
    <x v="11"/>
  </r>
  <r>
    <s v="TCK-000910"/>
    <s v="2026-05-28T18:50:24Z"/>
    <n v="1154"/>
    <s v="Phone"/>
    <s v="Normal"/>
    <s v="Export"/>
    <n v="136"/>
    <n v="2987"/>
    <s v="resolved"/>
    <m/>
    <d v="2026-05-28T00:00:00"/>
    <n v="49.783333333333331"/>
    <n v="2.2666666666666666"/>
    <s v="Breached"/>
    <s v="No Rating"/>
    <s v="Resolved"/>
    <s v="May-2026"/>
    <x v="11"/>
  </r>
  <r>
    <s v="TCK-000911"/>
    <s v="2026-05-29T03:36:00Z"/>
    <n v="1784"/>
    <s v="Email"/>
    <s v="Normal"/>
    <s v="Performance"/>
    <n v="123"/>
    <m/>
    <s v="open"/>
    <m/>
    <d v="2026-05-29T00:00:00"/>
    <s v=""/>
    <n v="2.0499999999999998"/>
    <s v="Open"/>
    <s v="No Rating"/>
    <s v="Unresolved"/>
    <s v="May-2026"/>
    <x v="11"/>
  </r>
  <r>
    <s v="TCK-000912"/>
    <s v="2026-05-29T12:21:36Z"/>
    <n v="1962"/>
    <s v="Email"/>
    <s v="Normal"/>
    <s v="Integration"/>
    <n v="85"/>
    <n v="1789"/>
    <s v="closed"/>
    <n v="2"/>
    <d v="2026-05-29T00:00:00"/>
    <n v="29.816666666666666"/>
    <n v="1.4166666666666667"/>
    <s v="Within SLA"/>
    <s v="Dissatisfied"/>
    <s v="Resolved"/>
    <s v="May-2026"/>
    <x v="11"/>
  </r>
  <r>
    <s v="TCK-000913"/>
    <s v="2026-05-29T21:07:12Z"/>
    <n v="1904"/>
    <s v="Web form"/>
    <s v="High"/>
    <s v="Data import"/>
    <n v="34"/>
    <n v="500"/>
    <s v="resolved"/>
    <m/>
    <d v="2026-05-29T00:00:00"/>
    <n v="8.3333333333333339"/>
    <n v="0.56666666666666665"/>
    <s v="Within SLA"/>
    <s v="No Rating"/>
    <s v="Resolved"/>
    <s v="May-2026"/>
    <x v="11"/>
  </r>
  <r>
    <s v="TCK-000914"/>
    <s v="2026-05-30T05:52:48Z"/>
    <n v="1618"/>
    <s v="Email"/>
    <s v="Urgent"/>
    <s v="Feature request"/>
    <n v="3"/>
    <n v="327"/>
    <s v="closed"/>
    <n v="1"/>
    <d v="2026-05-30T00:00:00"/>
    <n v="5.45"/>
    <n v="0.05"/>
    <s v="Within SLA"/>
    <s v="Dissatisfied"/>
    <s v="Resolved"/>
    <s v="May-2026"/>
    <x v="11"/>
  </r>
  <r>
    <s v="TCK-000915"/>
    <s v="2026-05-30T14:38:24Z"/>
    <n v="1090"/>
    <s v="Phone"/>
    <s v="Normal"/>
    <s v="Feature request"/>
    <n v="153"/>
    <m/>
    <s v="pending"/>
    <m/>
    <d v="2026-05-30T00:00:00"/>
    <s v=""/>
    <n v="2.5499999999999998"/>
    <s v="Open"/>
    <s v="No Rating"/>
    <s v="Unresolved"/>
    <s v="May-2026"/>
    <x v="11"/>
  </r>
  <r>
    <s v="TCK-000916"/>
    <s v="2026-05-30T23:24:00Z"/>
    <n v="1810"/>
    <s v="Web form"/>
    <s v="Urgent"/>
    <s v="Bug report"/>
    <n v="10"/>
    <n v="123"/>
    <s v="closed"/>
    <m/>
    <d v="2026-05-30T00:00:00"/>
    <n v="2.0499999999999998"/>
    <n v="0.16666666666666666"/>
    <s v="Within SLA"/>
    <s v="No Rating"/>
    <s v="Resolved"/>
    <s v="May-2026"/>
    <x v="11"/>
  </r>
  <r>
    <s v="TCK-000917"/>
    <s v="2026-05-31T08:09:36Z"/>
    <n v="1448"/>
    <s v="Social"/>
    <s v="Urgent"/>
    <s v="Performance"/>
    <n v="4"/>
    <m/>
    <s v="open"/>
    <m/>
    <d v="2026-05-31T00:00:00"/>
    <s v=""/>
    <n v="6.6666666666666666E-2"/>
    <s v="Open"/>
    <s v="No Rating"/>
    <s v="Unresolved"/>
    <s v="May-2026"/>
    <x v="11"/>
  </r>
  <r>
    <s v="TCK-000918"/>
    <s v="2026-05-31T16:55:12Z"/>
    <n v="1308"/>
    <s v="Web form"/>
    <s v="Normal"/>
    <s v="Integration"/>
    <n v="91"/>
    <n v="3001"/>
    <s v="closed"/>
    <n v="4"/>
    <d v="2026-05-31T00:00:00"/>
    <n v="50.016666666666666"/>
    <n v="1.5166666666666666"/>
    <s v="Breached"/>
    <s v="Satisfied"/>
    <s v="Resolved"/>
    <s v="May-2026"/>
    <x v="11"/>
  </r>
  <r>
    <s v="TCK-000919"/>
    <s v="2026-06-01T01:40:48Z"/>
    <n v="1289"/>
    <s v="Web form"/>
    <s v="High"/>
    <s v="Account"/>
    <n v="32"/>
    <n v="1024"/>
    <s v="closed"/>
    <m/>
    <d v="2026-06-01T00:00:00"/>
    <n v="17.066666666666666"/>
    <n v="0.53333333333333333"/>
    <s v="Within SLA"/>
    <s v="No Rating"/>
    <s v="Resolved"/>
    <s v="Jun-2026"/>
    <x v="12"/>
  </r>
  <r>
    <s v="TCK-000920"/>
    <s v="2026-06-01T10:26:24Z"/>
    <n v="1909"/>
    <s v="Social"/>
    <s v="High"/>
    <s v="Login"/>
    <n v="12"/>
    <n v="763"/>
    <s v="closed"/>
    <n v="5"/>
    <d v="2026-06-01T00:00:00"/>
    <n v="12.716666666666667"/>
    <n v="0.2"/>
    <s v="Within SLA"/>
    <s v="Satisfied"/>
    <s v="Resolved"/>
    <s v="Jun-2026"/>
    <x v="12"/>
  </r>
  <r>
    <s v="TCK-000921"/>
    <s v="2026-06-01T19:12:00Z"/>
    <n v="1009"/>
    <s v="Email"/>
    <s v="Urgent"/>
    <s v="Integration"/>
    <n v="4"/>
    <n v="143"/>
    <s v="closed"/>
    <n v="3"/>
    <d v="2026-06-01T00:00:00"/>
    <n v="2.3833333333333333"/>
    <n v="6.6666666666666666E-2"/>
    <s v="Within SLA"/>
    <s v="Neutral"/>
    <s v="Resolved"/>
    <s v="Jun-2026"/>
    <x v="12"/>
  </r>
  <r>
    <s v="TCK-000922"/>
    <s v="2026-06-02T03:57:36Z"/>
    <n v="1712"/>
    <s v="Chat"/>
    <s v="Urgent"/>
    <s v="Feature request"/>
    <n v="10"/>
    <n v="299"/>
    <s v="closed"/>
    <m/>
    <d v="2026-06-02T00:00:00"/>
    <n v="4.9833333333333334"/>
    <n v="0.16666666666666666"/>
    <s v="Within SLA"/>
    <s v="No Rating"/>
    <s v="Resolved"/>
    <s v="Jun-2026"/>
    <x v="12"/>
  </r>
  <r>
    <s v="TCK-000923"/>
    <s v="2026-06-02T12:43:12Z"/>
    <n v="1795"/>
    <s v="Web form"/>
    <s v="Normal"/>
    <s v="Performance"/>
    <n v="101"/>
    <m/>
    <s v="pending"/>
    <m/>
    <d v="2026-06-02T00:00:00"/>
    <s v=""/>
    <n v="1.6833333333333333"/>
    <s v="Open"/>
    <s v="No Rating"/>
    <s v="Unresolved"/>
    <s v="Jun-2026"/>
    <x v="12"/>
  </r>
  <r>
    <s v="TCK-000924"/>
    <s v="2026-06-02T21:28:48Z"/>
    <n v="1590"/>
    <s v="Email"/>
    <s v="Normal"/>
    <s v="Export"/>
    <n v="90"/>
    <m/>
    <s v="open"/>
    <m/>
    <d v="2026-06-02T00:00:00"/>
    <s v=""/>
    <n v="1.5"/>
    <s v="Open"/>
    <s v="No Rating"/>
    <s v="Unresolved"/>
    <s v="Jun-2026"/>
    <x v="12"/>
  </r>
  <r>
    <s v="TCK-000925"/>
    <s v="2026-06-03T06:14:24Z"/>
    <n v="1860"/>
    <s v="Social"/>
    <s v="Low"/>
    <s v="Export"/>
    <n v="251"/>
    <n v="7702"/>
    <s v="resolved"/>
    <m/>
    <d v="2026-06-03T00:00:00"/>
    <n v="128.36666666666667"/>
    <n v="4.1833333333333336"/>
    <s v="Breached"/>
    <s v="No Rating"/>
    <s v="Resolved"/>
    <s v="Jun-2026"/>
    <x v="12"/>
  </r>
  <r>
    <s v="TCK-000926"/>
    <s v="2026-06-03T15:00:00Z"/>
    <n v="1529"/>
    <s v="Phone"/>
    <s v="High"/>
    <s v="Feature request"/>
    <n v="32"/>
    <n v="1041"/>
    <s v="closed"/>
    <n v="4"/>
    <d v="2026-06-03T00:00:00"/>
    <n v="17.350000000000001"/>
    <n v="0.53333333333333333"/>
    <s v="Within SLA"/>
    <s v="Satisfied"/>
    <s v="Resolved"/>
    <s v="Jun-2026"/>
    <x v="12"/>
  </r>
  <r>
    <s v="TCK-000927"/>
    <s v="2026-06-03T23:45:36Z"/>
    <n v="1112"/>
    <s v="Email"/>
    <s v="High"/>
    <s v="Billing"/>
    <n v="10"/>
    <m/>
    <s v="pending"/>
    <m/>
    <d v="2026-06-03T00:00:00"/>
    <s v=""/>
    <n v="0.16666666666666666"/>
    <s v="Open"/>
    <s v="No Rating"/>
    <s v="Unresolved"/>
    <s v="Jun-2026"/>
    <x v="12"/>
  </r>
  <r>
    <s v="TCK-000928"/>
    <s v="2026-06-04T08:31:12Z"/>
    <n v="1316"/>
    <s v="Social"/>
    <s v="Normal"/>
    <s v="Integration"/>
    <n v="116"/>
    <n v="2210"/>
    <s v="closed"/>
    <m/>
    <d v="2026-06-04T00:00:00"/>
    <n v="36.833333333333336"/>
    <n v="1.9333333333333333"/>
    <s v="Within SLA"/>
    <s v="No Rating"/>
    <s v="Resolved"/>
    <s v="Jun-2026"/>
    <x v="12"/>
  </r>
  <r>
    <s v="TCK-000929"/>
    <s v="2026-06-04T17:16:48Z"/>
    <n v="1983"/>
    <s v="Phone"/>
    <s v="Urgent"/>
    <s v="Account"/>
    <n v="7"/>
    <n v="182"/>
    <s v="resolved"/>
    <m/>
    <d v="2026-06-04T00:00:00"/>
    <n v="3.0333333333333332"/>
    <n v="0.11666666666666667"/>
    <s v="Within SLA"/>
    <s v="No Rating"/>
    <s v="Resolved"/>
    <s v="Jun-2026"/>
    <x v="12"/>
  </r>
  <r>
    <s v="TCK-000930"/>
    <s v="2026-06-05T02:02:24Z"/>
    <n v="1625"/>
    <s v="Email"/>
    <s v="Normal"/>
    <s v="Performance"/>
    <n v="37"/>
    <m/>
    <s v="open"/>
    <m/>
    <d v="2026-06-05T00:00:00"/>
    <s v=""/>
    <n v="0.6166666666666667"/>
    <s v="Open"/>
    <s v="No Rating"/>
    <s v="Unresolved"/>
    <s v="Jun-2026"/>
    <x v="12"/>
  </r>
  <r>
    <s v="TCK-000931"/>
    <s v="2026-06-05T10:48:00Z"/>
    <n v="1625"/>
    <s v="Email"/>
    <s v="Urgent"/>
    <s v="Billing"/>
    <n v="7"/>
    <n v="140"/>
    <s v="closed"/>
    <n v="3"/>
    <d v="2026-06-05T00:00:00"/>
    <n v="2.3333333333333335"/>
    <n v="0.11666666666666667"/>
    <s v="Within SLA"/>
    <s v="Neutral"/>
    <s v="Resolved"/>
    <s v="Jun-2026"/>
    <x v="12"/>
  </r>
  <r>
    <s v="TCK-000932"/>
    <s v="2026-06-05T19:33:36Z"/>
    <n v="1149"/>
    <s v="Social"/>
    <s v="Low"/>
    <s v="Billing"/>
    <n v="238"/>
    <n v="1619"/>
    <s v="resolved"/>
    <n v="4"/>
    <d v="2026-06-05T00:00:00"/>
    <n v="26.983333333333334"/>
    <n v="3.9666666666666668"/>
    <s v="Within SLA"/>
    <s v="Satisfied"/>
    <s v="Resolved"/>
    <s v="Jun-2026"/>
    <x v="12"/>
  </r>
  <r>
    <s v="TCK-000933"/>
    <s v="2026-06-06T04:19:12Z"/>
    <n v="1792"/>
    <s v="Email"/>
    <s v="Normal"/>
    <s v="Export"/>
    <n v="84"/>
    <n v="3021"/>
    <s v="closed"/>
    <n v="4"/>
    <d v="2026-06-06T00:00:00"/>
    <n v="50.35"/>
    <n v="1.4"/>
    <s v="Breached"/>
    <s v="Satisfied"/>
    <s v="Resolved"/>
    <s v="Jun-2026"/>
    <x v="12"/>
  </r>
  <r>
    <s v="TCK-000934"/>
    <s v="2026-06-06T13:04:48Z"/>
    <n v="1523"/>
    <s v="Chat"/>
    <s v="High"/>
    <s v="Data import"/>
    <n v="19"/>
    <n v="472"/>
    <s v="closed"/>
    <n v="5"/>
    <d v="2026-06-06T00:00:00"/>
    <n v="7.8666666666666663"/>
    <n v="0.31666666666666665"/>
    <s v="Within SLA"/>
    <s v="Satisfied"/>
    <s v="Resolved"/>
    <s v="Jun-2026"/>
    <x v="12"/>
  </r>
  <r>
    <s v="TCK-000935"/>
    <s v="2026-06-06T21:50:24Z"/>
    <n v="1211"/>
    <s v="Phone"/>
    <s v="Normal"/>
    <s v="Data import"/>
    <n v="105"/>
    <n v="3434"/>
    <s v="closed"/>
    <n v="1"/>
    <d v="2026-06-06T00:00:00"/>
    <n v="57.233333333333334"/>
    <n v="1.75"/>
    <s v="Breached"/>
    <s v="Dissatisfied"/>
    <s v="Resolved"/>
    <s v="Jun-2026"/>
    <x v="12"/>
  </r>
  <r>
    <s v="TCK-000936"/>
    <s v="2026-06-07T06:36:00Z"/>
    <n v="1964"/>
    <s v="Web form"/>
    <s v="Normal"/>
    <s v="Export"/>
    <n v="133"/>
    <n v="3498"/>
    <s v="resolved"/>
    <n v="5"/>
    <d v="2026-06-07T00:00:00"/>
    <n v="58.3"/>
    <n v="2.2166666666666668"/>
    <s v="Breached"/>
    <s v="Satisfied"/>
    <s v="Resolved"/>
    <s v="Jun-2026"/>
    <x v="12"/>
  </r>
  <r>
    <s v="TCK-000937"/>
    <s v="2026-06-07T15:21:36Z"/>
    <n v="1996"/>
    <s v="Phone"/>
    <s v="Normal"/>
    <s v="Account"/>
    <n v="175"/>
    <n v="904"/>
    <s v="resolved"/>
    <n v="3"/>
    <d v="2026-06-07T00:00:00"/>
    <n v="15.066666666666666"/>
    <n v="2.9166666666666665"/>
    <s v="Within SLA"/>
    <s v="Neutral"/>
    <s v="Resolved"/>
    <s v="Jun-2026"/>
    <x v="12"/>
  </r>
  <r>
    <s v="TCK-000938"/>
    <s v="2026-06-08T00:07:12Z"/>
    <n v="1919"/>
    <s v="Web form"/>
    <s v="Urgent"/>
    <s v="Integration"/>
    <n v="6"/>
    <m/>
    <s v="open"/>
    <m/>
    <d v="2026-06-08T00:00:00"/>
    <s v=""/>
    <n v="0.1"/>
    <s v="Open"/>
    <s v="No Rating"/>
    <s v="Unresolved"/>
    <s v="Jun-2026"/>
    <x v="12"/>
  </r>
  <r>
    <s v="TCK-000939"/>
    <s v="2026-06-08T08:52:48Z"/>
    <n v="1116"/>
    <s v="Email"/>
    <s v="Normal"/>
    <s v="Billing"/>
    <n v="75"/>
    <n v="804"/>
    <s v="closed"/>
    <n v="5"/>
    <d v="2026-06-08T00:00:00"/>
    <n v="13.4"/>
    <n v="1.25"/>
    <s v="Within SLA"/>
    <s v="Satisfied"/>
    <s v="Resolved"/>
    <s v="Jun-2026"/>
    <x v="12"/>
  </r>
  <r>
    <s v="TCK-000940"/>
    <s v="2026-06-08T17:38:24Z"/>
    <n v="1079"/>
    <s v="Phone"/>
    <s v="High"/>
    <s v="Login"/>
    <n v="10"/>
    <n v="1076"/>
    <s v="closed"/>
    <n v="5"/>
    <d v="2026-06-08T00:00:00"/>
    <n v="17.933333333333334"/>
    <n v="0.16666666666666666"/>
    <s v="Within SLA"/>
    <s v="Satisfied"/>
    <s v="Resolved"/>
    <s v="Jun-2026"/>
    <x v="12"/>
  </r>
  <r>
    <s v="TCK-000941"/>
    <s v="2026-06-09T02:24:00Z"/>
    <n v="1131"/>
    <s v="Social"/>
    <s v="Normal"/>
    <s v="Billing"/>
    <n v="32"/>
    <m/>
    <s v="pending"/>
    <m/>
    <d v="2026-06-09T00:00:00"/>
    <s v=""/>
    <n v="0.53333333333333333"/>
    <s v="Open"/>
    <s v="No Rating"/>
    <s v="Unresolved"/>
    <s v="Jun-2026"/>
    <x v="12"/>
  </r>
  <r>
    <s v="TCK-000942"/>
    <s v="2026-06-09T11:09:36Z"/>
    <n v="1709"/>
    <s v="Email"/>
    <s v="Urgent"/>
    <s v="Billing"/>
    <n v="10"/>
    <n v="394"/>
    <s v="resolved"/>
    <n v="5"/>
    <d v="2026-06-09T00:00:00"/>
    <n v="6.5666666666666664"/>
    <n v="0.16666666666666666"/>
    <s v="Within SLA"/>
    <s v="Satisfied"/>
    <s v="Resolved"/>
    <s v="Jun-2026"/>
    <x v="12"/>
  </r>
  <r>
    <s v="TCK-000943"/>
    <s v="2026-06-09T19:55:12Z"/>
    <n v="1164"/>
    <s v="Email"/>
    <s v="High"/>
    <s v="Login"/>
    <n v="21"/>
    <n v="1192"/>
    <s v="closed"/>
    <n v="1"/>
    <d v="2026-06-09T00:00:00"/>
    <n v="19.866666666666667"/>
    <n v="0.35"/>
    <s v="Within SLA"/>
    <s v="Dissatisfied"/>
    <s v="Resolved"/>
    <s v="Jun-2026"/>
    <x v="12"/>
  </r>
  <r>
    <s v="TCK-000944"/>
    <s v="2026-06-10T04:40:48Z"/>
    <n v="1483"/>
    <s v="Web form"/>
    <s v="Urgent"/>
    <s v="Performance"/>
    <n v="2"/>
    <n v="144"/>
    <s v="resolved"/>
    <n v="4"/>
    <d v="2026-06-10T00:00:00"/>
    <n v="2.4"/>
    <n v="3.3333333333333333E-2"/>
    <s v="Within SLA"/>
    <s v="Satisfied"/>
    <s v="Resolved"/>
    <s v="Jun-2026"/>
    <x v="12"/>
  </r>
  <r>
    <s v="TCK-000945"/>
    <s v="2026-06-10T13:26:24Z"/>
    <n v="1298"/>
    <s v="Social"/>
    <s v="Normal"/>
    <s v="Data import"/>
    <n v="157"/>
    <n v="1055"/>
    <s v="closed"/>
    <n v="1"/>
    <d v="2026-06-10T00:00:00"/>
    <n v="17.583333333333332"/>
    <n v="2.6166666666666667"/>
    <s v="Within SLA"/>
    <s v="Dissatisfied"/>
    <s v="Resolved"/>
    <s v="Jun-2026"/>
    <x v="12"/>
  </r>
  <r>
    <s v="TCK-000946"/>
    <s v="2026-06-10T22:12:00Z"/>
    <n v="1253"/>
    <s v="Phone"/>
    <s v="Low"/>
    <s v="Account"/>
    <n v="76"/>
    <n v="4957"/>
    <s v="closed"/>
    <m/>
    <d v="2026-06-10T00:00:00"/>
    <n v="82.61666666666666"/>
    <n v="1.2666666666666666"/>
    <s v="Breached"/>
    <s v="No Rating"/>
    <s v="Resolved"/>
    <s v="Jun-2026"/>
    <x v="12"/>
  </r>
  <r>
    <s v="TCK-000947"/>
    <s v="2026-06-11T06:57:36Z"/>
    <n v="1623"/>
    <s v="Web form"/>
    <s v="Urgent"/>
    <s v="Account"/>
    <n v="2"/>
    <m/>
    <s v="open"/>
    <m/>
    <d v="2026-06-11T00:00:00"/>
    <s v=""/>
    <n v="3.3333333333333333E-2"/>
    <s v="Open"/>
    <s v="No Rating"/>
    <s v="Unresolved"/>
    <s v="Jun-2026"/>
    <x v="12"/>
  </r>
  <r>
    <s v="TCK-000948"/>
    <s v="2026-06-11T15:43:12Z"/>
    <n v="1918"/>
    <s v="Email"/>
    <s v="Low"/>
    <s v="Data import"/>
    <n v="264"/>
    <n v="2466"/>
    <s v="closed"/>
    <n v="5"/>
    <d v="2026-06-11T00:00:00"/>
    <n v="41.1"/>
    <n v="4.4000000000000004"/>
    <s v="Within SLA"/>
    <s v="Satisfied"/>
    <s v="Resolved"/>
    <s v="Jun-2026"/>
    <x v="12"/>
  </r>
  <r>
    <s v="TCK-000949"/>
    <s v="2026-06-12T00:28:48Z"/>
    <n v="1543"/>
    <s v="Social"/>
    <s v="Low"/>
    <s v="Feature request"/>
    <n v="292"/>
    <n v="4062"/>
    <s v="closed"/>
    <m/>
    <d v="2026-06-12T00:00:00"/>
    <n v="67.7"/>
    <n v="4.8666666666666663"/>
    <s v="Within SLA"/>
    <s v="No Rating"/>
    <s v="Resolved"/>
    <s v="Jun-2026"/>
    <x v="12"/>
  </r>
  <r>
    <s v="TCK-000950"/>
    <s v="2026-06-12T09:14:24Z"/>
    <n v="1400"/>
    <s v="Phone"/>
    <s v="Normal"/>
    <s v="Billing"/>
    <n v="91"/>
    <m/>
    <s v="open"/>
    <m/>
    <d v="2026-06-12T00:00:00"/>
    <s v=""/>
    <n v="1.5166666666666666"/>
    <s v="Open"/>
    <s v="No Rating"/>
    <s v="Unresolved"/>
    <s v="Jun-2026"/>
    <x v="12"/>
  </r>
  <r>
    <s v="TCK-000951"/>
    <s v="2026-06-12T18:00:00Z"/>
    <n v="1625"/>
    <s v="Chat"/>
    <s v="Normal"/>
    <s v="Feature request"/>
    <n v="74"/>
    <m/>
    <s v="open"/>
    <m/>
    <d v="2026-06-12T00:00:00"/>
    <s v=""/>
    <n v="1.2333333333333334"/>
    <s v="Open"/>
    <s v="No Rating"/>
    <s v="Unresolved"/>
    <s v="Jun-2026"/>
    <x v="12"/>
  </r>
  <r>
    <s v="TCK-000952"/>
    <s v="2026-06-13T02:45:36Z"/>
    <n v="1609"/>
    <s v="Web form"/>
    <s v="Normal"/>
    <s v="Integration"/>
    <n v="91"/>
    <n v="2358"/>
    <s v="closed"/>
    <n v="2"/>
    <d v="2026-06-13T00:00:00"/>
    <n v="39.299999999999997"/>
    <n v="1.5166666666666666"/>
    <s v="Within SLA"/>
    <s v="Dissatisfied"/>
    <s v="Resolved"/>
    <s v="Jun-2026"/>
    <x v="12"/>
  </r>
  <r>
    <s v="TCK-000953"/>
    <s v="2026-06-13T11:31:12Z"/>
    <n v="1493"/>
    <s v="Phone"/>
    <s v="High"/>
    <s v="Login"/>
    <n v="14"/>
    <n v="943"/>
    <s v="closed"/>
    <n v="4"/>
    <d v="2026-06-13T00:00:00"/>
    <n v="15.716666666666667"/>
    <n v="0.23333333333333334"/>
    <s v="Within SLA"/>
    <s v="Satisfied"/>
    <s v="Resolved"/>
    <s v="Jun-2026"/>
    <x v="12"/>
  </r>
  <r>
    <s v="TCK-000954"/>
    <s v="2026-06-13T20:16:48Z"/>
    <n v="1162"/>
    <s v="Email"/>
    <s v="Normal"/>
    <s v="Performance"/>
    <n v="125"/>
    <n v="2680"/>
    <s v="closed"/>
    <m/>
    <d v="2026-06-13T00:00:00"/>
    <n v="44.666666666666664"/>
    <n v="2.0833333333333335"/>
    <s v="Within SLA"/>
    <s v="No Rating"/>
    <s v="Resolved"/>
    <s v="Jun-2026"/>
    <x v="12"/>
  </r>
  <r>
    <s v="TCK-000955"/>
    <s v="2026-06-14T05:02:24Z"/>
    <n v="1955"/>
    <s v="Social"/>
    <s v="Normal"/>
    <s v="Billing"/>
    <n v="156"/>
    <n v="3680"/>
    <s v="closed"/>
    <m/>
    <d v="2026-06-14T00:00:00"/>
    <n v="61.333333333333336"/>
    <n v="2.6"/>
    <s v="Breached"/>
    <s v="No Rating"/>
    <s v="Resolved"/>
    <s v="Jun-2026"/>
    <x v="12"/>
  </r>
  <r>
    <s v="TCK-000956"/>
    <s v="2026-06-14T13:48:00Z"/>
    <n v="1506"/>
    <s v="Chat"/>
    <s v="Normal"/>
    <s v="Integration"/>
    <n v="59"/>
    <m/>
    <s v="open"/>
    <m/>
    <d v="2026-06-14T00:00:00"/>
    <s v=""/>
    <n v="0.98333333333333328"/>
    <s v="Open"/>
    <s v="No Rating"/>
    <s v="Unresolved"/>
    <s v="Jun-2026"/>
    <x v="12"/>
  </r>
  <r>
    <s v="TCK-000957"/>
    <s v="2026-06-14T22:33:36Z"/>
    <n v="1788"/>
    <s v="Email"/>
    <s v="Normal"/>
    <s v="Feature request"/>
    <n v="43"/>
    <n v="2422"/>
    <s v="closed"/>
    <n v="2"/>
    <d v="2026-06-14T00:00:00"/>
    <n v="40.366666666666667"/>
    <n v="0.71666666666666667"/>
    <s v="Within SLA"/>
    <s v="Dissatisfied"/>
    <s v="Resolved"/>
    <s v="Jun-2026"/>
    <x v="12"/>
  </r>
  <r>
    <s v="TCK-000958"/>
    <s v="2026-06-15T07:19:12Z"/>
    <n v="1504"/>
    <s v="Email"/>
    <s v="Low"/>
    <s v="Bug report"/>
    <n v="278"/>
    <n v="2472"/>
    <s v="closed"/>
    <m/>
    <d v="2026-06-15T00:00:00"/>
    <n v="41.2"/>
    <n v="4.6333333333333337"/>
    <s v="Within SLA"/>
    <s v="No Rating"/>
    <s v="Resolved"/>
    <s v="Jun-2026"/>
    <x v="12"/>
  </r>
  <r>
    <s v="TCK-000959"/>
    <s v="2026-06-15T16:04:48Z"/>
    <n v="1742"/>
    <s v="Phone"/>
    <s v="Normal"/>
    <s v="Integration"/>
    <n v="57"/>
    <n v="2276"/>
    <s v="closed"/>
    <n v="2"/>
    <d v="2026-06-15T00:00:00"/>
    <n v="37.93333333333333"/>
    <n v="0.95"/>
    <s v="Within SLA"/>
    <s v="Dissatisfied"/>
    <s v="Resolved"/>
    <s v="Jun-2026"/>
    <x v="12"/>
  </r>
  <r>
    <s v="TCK-000960"/>
    <s v="2026-06-16T00:50:24Z"/>
    <n v="1265"/>
    <s v="Social"/>
    <s v="Low"/>
    <s v="Export"/>
    <n v="458"/>
    <n v="1838"/>
    <s v="resolved"/>
    <n v="1"/>
    <d v="2026-06-16T00:00:00"/>
    <n v="30.633333333333333"/>
    <n v="7.6333333333333337"/>
    <s v="Within SLA"/>
    <s v="Dissatisfied"/>
    <s v="Resolved"/>
    <s v="Jun-2026"/>
    <x v="12"/>
  </r>
  <r>
    <s v="TCK-000961"/>
    <s v="2026-06-16T09:36:00Z"/>
    <n v="1174"/>
    <s v="Web form"/>
    <s v="Normal"/>
    <s v="Export"/>
    <n v="136"/>
    <n v="3678"/>
    <s v="resolved"/>
    <m/>
    <d v="2026-06-16T00:00:00"/>
    <n v="61.3"/>
    <n v="2.2666666666666666"/>
    <s v="Breached"/>
    <s v="No Rating"/>
    <s v="Resolved"/>
    <s v="Jun-2026"/>
    <x v="12"/>
  </r>
  <r>
    <s v="TCK-000962"/>
    <s v="2026-06-16T18:21:36Z"/>
    <n v="1526"/>
    <s v="Social"/>
    <s v="Normal"/>
    <s v="Data import"/>
    <n v="114"/>
    <n v="1805"/>
    <s v="closed"/>
    <m/>
    <d v="2026-06-16T00:00:00"/>
    <n v="30.083333333333332"/>
    <n v="1.9"/>
    <s v="Within SLA"/>
    <s v="No Rating"/>
    <s v="Resolved"/>
    <s v="Jun-2026"/>
    <x v="12"/>
  </r>
  <r>
    <s v="TCK-000963"/>
    <s v="2026-06-17T03:07:12Z"/>
    <n v="1958"/>
    <s v="Chat"/>
    <s v="Urgent"/>
    <s v="Account"/>
    <n v="11"/>
    <n v="332"/>
    <s v="closed"/>
    <m/>
    <d v="2026-06-17T00:00:00"/>
    <n v="5.5333333333333332"/>
    <n v="0.18333333333333332"/>
    <s v="Within SLA"/>
    <s v="No Rating"/>
    <s v="Resolved"/>
    <s v="Jun-2026"/>
    <x v="12"/>
  </r>
  <r>
    <s v="TCK-000964"/>
    <s v="2026-06-17T11:52:48Z"/>
    <n v="1248"/>
    <s v="Social"/>
    <s v="High"/>
    <s v="Feature request"/>
    <n v="41"/>
    <n v="994"/>
    <s v="closed"/>
    <n v="2"/>
    <d v="2026-06-17T00:00:00"/>
    <n v="16.566666666666666"/>
    <n v="0.68333333333333335"/>
    <s v="Within SLA"/>
    <s v="Dissatisfied"/>
    <s v="Resolved"/>
    <s v="Jun-2026"/>
    <x v="12"/>
  </r>
  <r>
    <s v="TCK-000965"/>
    <s v="2026-06-17T20:38:24Z"/>
    <n v="1260"/>
    <s v="Email"/>
    <s v="Low"/>
    <s v="Account"/>
    <n v="335"/>
    <n v="1608"/>
    <s v="closed"/>
    <m/>
    <d v="2026-06-17T00:00:00"/>
    <n v="26.8"/>
    <n v="5.583333333333333"/>
    <s v="Within SLA"/>
    <s v="No Rating"/>
    <s v="Resolved"/>
    <s v="Jun-2026"/>
    <x v="12"/>
  </r>
  <r>
    <s v="TCK-000966"/>
    <s v="2026-06-18T05:24:00Z"/>
    <n v="1582"/>
    <s v="Email"/>
    <s v="Low"/>
    <s v="Data import"/>
    <n v="445"/>
    <n v="7802"/>
    <s v="closed"/>
    <n v="3"/>
    <d v="2026-06-18T00:00:00"/>
    <n v="130.03333333333333"/>
    <n v="7.416666666666667"/>
    <s v="Breached"/>
    <s v="Neutral"/>
    <s v="Resolved"/>
    <s v="Jun-2026"/>
    <x v="12"/>
  </r>
  <r>
    <s v="TCK-000967"/>
    <s v="2026-06-18T14:09:36Z"/>
    <n v="1157"/>
    <s v="Phone"/>
    <s v="Urgent"/>
    <s v="Integration"/>
    <n v="2"/>
    <m/>
    <s v="open"/>
    <m/>
    <d v="2026-06-18T00:00:00"/>
    <s v=""/>
    <n v="3.3333333333333333E-2"/>
    <s v="Open"/>
    <s v="No Rating"/>
    <s v="Unresolved"/>
    <s v="Jun-2026"/>
    <x v="12"/>
  </r>
  <r>
    <s v="TCK-000968"/>
    <s v="2026-06-18T22:55:12Z"/>
    <n v="1038"/>
    <s v="Web form"/>
    <s v="Low"/>
    <s v="Account"/>
    <n v="111"/>
    <m/>
    <s v="pending"/>
    <m/>
    <d v="2026-06-18T00:00:00"/>
    <s v=""/>
    <n v="1.85"/>
    <s v="Open"/>
    <s v="No Rating"/>
    <s v="Unresolved"/>
    <s v="Jun-2026"/>
    <x v="12"/>
  </r>
  <r>
    <s v="TCK-000969"/>
    <s v="2026-06-19T07:40:48Z"/>
    <n v="1871"/>
    <s v="Social"/>
    <s v="Normal"/>
    <s v="Login"/>
    <n v="162"/>
    <n v="2455"/>
    <s v="resolved"/>
    <n v="4"/>
    <d v="2026-06-19T00:00:00"/>
    <n v="40.916666666666664"/>
    <n v="2.7"/>
    <s v="Within SLA"/>
    <s v="Satisfied"/>
    <s v="Resolved"/>
    <s v="Jun-2026"/>
    <x v="12"/>
  </r>
  <r>
    <s v="TCK-000970"/>
    <s v="2026-06-19T16:26:24Z"/>
    <n v="1565"/>
    <s v="Email"/>
    <s v="Normal"/>
    <s v="Bug report"/>
    <n v="45"/>
    <n v="1216"/>
    <s v="closed"/>
    <m/>
    <d v="2026-06-19T00:00:00"/>
    <n v="20.266666666666666"/>
    <n v="0.75"/>
    <s v="Within SLA"/>
    <s v="No Rating"/>
    <s v="Resolved"/>
    <s v="Jun-2026"/>
    <x v="12"/>
  </r>
  <r>
    <s v="TCK-000971"/>
    <s v="2026-06-20T01:12:00Z"/>
    <n v="1405"/>
    <s v="Chat"/>
    <s v="Normal"/>
    <s v="Performance"/>
    <n v="37"/>
    <n v="3301"/>
    <s v="closed"/>
    <n v="4"/>
    <d v="2026-06-20T00:00:00"/>
    <n v="55.016666666666666"/>
    <n v="0.6166666666666667"/>
    <s v="Breached"/>
    <s v="Satisfied"/>
    <s v="Resolved"/>
    <s v="Jun-2026"/>
    <x v="12"/>
  </r>
  <r>
    <s v="TCK-000972"/>
    <s v="2026-06-20T09:57:36Z"/>
    <n v="1887"/>
    <s v="Chat"/>
    <s v="Urgent"/>
    <s v="Billing"/>
    <n v="6"/>
    <n v="275"/>
    <s v="closed"/>
    <n v="2"/>
    <d v="2026-06-20T00:00:00"/>
    <n v="4.583333333333333"/>
    <n v="0.1"/>
    <s v="Within SLA"/>
    <s v="Dissatisfied"/>
    <s v="Resolved"/>
    <s v="Jun-2026"/>
    <x v="12"/>
  </r>
  <r>
    <s v="TCK-000973"/>
    <s v="2026-06-20T18:43:12Z"/>
    <n v="1157"/>
    <s v="Chat"/>
    <s v="Normal"/>
    <s v="Integration"/>
    <n v="143"/>
    <n v="1300"/>
    <s v="closed"/>
    <n v="3"/>
    <d v="2026-06-20T00:00:00"/>
    <n v="21.666666666666668"/>
    <n v="2.3833333333333333"/>
    <s v="Within SLA"/>
    <s v="Neutral"/>
    <s v="Resolved"/>
    <s v="Jun-2026"/>
    <x v="12"/>
  </r>
  <r>
    <s v="TCK-000974"/>
    <s v="2026-06-21T03:28:48Z"/>
    <n v="1132"/>
    <s v="Chat"/>
    <s v="Normal"/>
    <s v="Integration"/>
    <n v="127"/>
    <n v="791"/>
    <s v="closed"/>
    <m/>
    <d v="2026-06-21T00:00:00"/>
    <n v="13.183333333333334"/>
    <n v="2.1166666666666667"/>
    <s v="Within SLA"/>
    <s v="No Rating"/>
    <s v="Resolved"/>
    <s v="Jun-2026"/>
    <x v="12"/>
  </r>
  <r>
    <s v="TCK-000975"/>
    <s v="2026-06-21T12:14:24Z"/>
    <n v="1565"/>
    <s v="Phone"/>
    <s v="Low"/>
    <s v="Integration"/>
    <n v="322"/>
    <n v="4701"/>
    <s v="resolved"/>
    <n v="3"/>
    <d v="2026-06-21T00:00:00"/>
    <n v="78.349999999999994"/>
    <n v="5.3666666666666663"/>
    <s v="Breached"/>
    <s v="Neutral"/>
    <s v="Resolved"/>
    <s v="Jun-2026"/>
    <x v="12"/>
  </r>
  <r>
    <s v="TCK-000976"/>
    <s v="2026-06-21T21:00:00Z"/>
    <n v="1808"/>
    <s v="Email"/>
    <s v="Normal"/>
    <s v="Export"/>
    <n v="146"/>
    <n v="3158"/>
    <s v="resolved"/>
    <n v="2"/>
    <d v="2026-06-21T00:00:00"/>
    <n v="52.633333333333333"/>
    <n v="2.4333333333333331"/>
    <s v="Breached"/>
    <s v="Dissatisfied"/>
    <s v="Resolved"/>
    <s v="Jun-2026"/>
    <x v="12"/>
  </r>
  <r>
    <s v="TCK-000977"/>
    <s v="2026-06-22T05:45:36Z"/>
    <n v="1882"/>
    <s v="Social"/>
    <s v="Normal"/>
    <s v="Account"/>
    <n v="111"/>
    <m/>
    <s v="pending"/>
    <m/>
    <d v="2026-06-22T00:00:00"/>
    <s v=""/>
    <n v="1.85"/>
    <s v="Open"/>
    <s v="No Rating"/>
    <s v="Unresolved"/>
    <s v="Jun-2026"/>
    <x v="12"/>
  </r>
  <r>
    <s v="TCK-000978"/>
    <s v="2026-06-22T14:31:12Z"/>
    <n v="1027"/>
    <s v="Phone"/>
    <s v="Low"/>
    <s v="Data import"/>
    <n v="186"/>
    <n v="2418"/>
    <s v="closed"/>
    <m/>
    <d v="2026-06-22T00:00:00"/>
    <n v="40.299999999999997"/>
    <n v="3.1"/>
    <s v="Within SLA"/>
    <s v="No Rating"/>
    <s v="Resolved"/>
    <s v="Jun-2026"/>
    <x v="12"/>
  </r>
  <r>
    <s v="TCK-000979"/>
    <s v="2026-06-22T23:16:48Z"/>
    <n v="1194"/>
    <s v="Chat"/>
    <s v="High"/>
    <s v="Login"/>
    <n v="42"/>
    <n v="286"/>
    <s v="closed"/>
    <n v="1"/>
    <d v="2026-06-22T00:00:00"/>
    <n v="4.7666666666666666"/>
    <n v="0.7"/>
    <s v="Within SLA"/>
    <s v="Dissatisfied"/>
    <s v="Resolved"/>
    <s v="Jun-2026"/>
    <x v="12"/>
  </r>
  <r>
    <s v="TCK-000980"/>
    <s v="2026-06-23T08:02:24Z"/>
    <n v="1543"/>
    <s v="Phone"/>
    <s v="High"/>
    <s v="Data import"/>
    <n v="43"/>
    <n v="1081"/>
    <s v="closed"/>
    <n v="1"/>
    <d v="2026-06-23T00:00:00"/>
    <n v="18.016666666666666"/>
    <n v="0.71666666666666667"/>
    <s v="Within SLA"/>
    <s v="Dissatisfied"/>
    <s v="Resolved"/>
    <s v="Jun-2026"/>
    <x v="12"/>
  </r>
  <r>
    <s v="TCK-000981"/>
    <s v="2026-06-23T16:48:00Z"/>
    <n v="1870"/>
    <s v="Social"/>
    <s v="Normal"/>
    <s v="Account"/>
    <n v="121"/>
    <n v="2648"/>
    <s v="closed"/>
    <n v="1"/>
    <d v="2026-06-23T00:00:00"/>
    <n v="44.133333333333333"/>
    <n v="2.0166666666666666"/>
    <s v="Within SLA"/>
    <s v="Dissatisfied"/>
    <s v="Resolved"/>
    <s v="Jun-2026"/>
    <x v="12"/>
  </r>
  <r>
    <s v="TCK-000982"/>
    <s v="2026-06-24T01:33:36Z"/>
    <n v="1640"/>
    <s v="Email"/>
    <s v="Normal"/>
    <s v="Account"/>
    <n v="67"/>
    <n v="678"/>
    <s v="closed"/>
    <m/>
    <d v="2026-06-24T00:00:00"/>
    <n v="11.3"/>
    <n v="1.1166666666666667"/>
    <s v="Within SLA"/>
    <s v="No Rating"/>
    <s v="Resolved"/>
    <s v="Jun-2026"/>
    <x v="12"/>
  </r>
  <r>
    <s v="TCK-000983"/>
    <s v="2026-06-24T10:19:12Z"/>
    <n v="1041"/>
    <s v="Phone"/>
    <s v="High"/>
    <s v="Account"/>
    <n v="26"/>
    <n v="1210"/>
    <s v="resolved"/>
    <n v="3"/>
    <d v="2026-06-24T00:00:00"/>
    <n v="20.166666666666668"/>
    <n v="0.43333333333333335"/>
    <s v="Within SLA"/>
    <s v="Neutral"/>
    <s v="Resolved"/>
    <s v="Jun-2026"/>
    <x v="12"/>
  </r>
  <r>
    <s v="TCK-000984"/>
    <s v="2026-06-24T19:04:48Z"/>
    <n v="1662"/>
    <s v="Chat"/>
    <s v="Low"/>
    <s v="Account"/>
    <n v="120"/>
    <n v="1927"/>
    <s v="closed"/>
    <m/>
    <d v="2026-06-24T00:00:00"/>
    <n v="32.116666666666667"/>
    <n v="2"/>
    <s v="Within SLA"/>
    <s v="No Rating"/>
    <s v="Resolved"/>
    <s v="Jun-2026"/>
    <x v="12"/>
  </r>
  <r>
    <s v="TCK-000985"/>
    <s v="2026-06-25T03:50:24Z"/>
    <n v="1923"/>
    <s v="Email"/>
    <s v="Normal"/>
    <s v="Billing"/>
    <n v="65"/>
    <n v="995"/>
    <s v="closed"/>
    <m/>
    <d v="2026-06-25T00:00:00"/>
    <n v="16.583333333333332"/>
    <n v="1.0833333333333333"/>
    <s v="Within SLA"/>
    <s v="No Rating"/>
    <s v="Resolved"/>
    <s v="Jun-2026"/>
    <x v="12"/>
  </r>
  <r>
    <s v="TCK-000986"/>
    <s v="2026-06-25T12:36:00Z"/>
    <n v="1179"/>
    <s v="Chat"/>
    <s v="Urgent"/>
    <s v="Account"/>
    <n v="3"/>
    <n v="118"/>
    <s v="closed"/>
    <n v="3"/>
    <d v="2026-06-25T00:00:00"/>
    <n v="1.9666666666666666"/>
    <n v="0.05"/>
    <s v="Within SLA"/>
    <s v="Neutral"/>
    <s v="Resolved"/>
    <s v="Jun-2026"/>
    <x v="12"/>
  </r>
  <r>
    <s v="TCK-000987"/>
    <s v="2026-06-25T21:21:36Z"/>
    <n v="1537"/>
    <s v="Social"/>
    <s v="Low"/>
    <s v="Account"/>
    <n v="317"/>
    <n v="4817"/>
    <s v="closed"/>
    <m/>
    <d v="2026-06-25T00:00:00"/>
    <n v="80.283333333333331"/>
    <n v="5.2833333333333332"/>
    <s v="Breached"/>
    <s v="No Rating"/>
    <s v="Resolved"/>
    <s v="Jun-2026"/>
    <x v="12"/>
  </r>
  <r>
    <s v="TCK-000988"/>
    <s v="2026-06-26T06:07:12Z"/>
    <n v="1862"/>
    <s v="Phone"/>
    <s v="Normal"/>
    <s v="Data import"/>
    <n v="74"/>
    <n v="2949"/>
    <s v="resolved"/>
    <n v="5"/>
    <d v="2026-06-26T00:00:00"/>
    <n v="49.15"/>
    <n v="1.2333333333333334"/>
    <s v="Breached"/>
    <s v="Satisfied"/>
    <s v="Resolved"/>
    <s v="Jun-2026"/>
    <x v="12"/>
  </r>
  <r>
    <s v="TCK-000989"/>
    <s v="2026-06-26T14:52:48Z"/>
    <n v="1847"/>
    <s v="Social"/>
    <s v="Low"/>
    <s v="Integration"/>
    <n v="289"/>
    <n v="2968"/>
    <s v="closed"/>
    <m/>
    <d v="2026-06-26T00:00:00"/>
    <n v="49.466666666666669"/>
    <n v="4.8166666666666664"/>
    <s v="Within SLA"/>
    <s v="No Rating"/>
    <s v="Resolved"/>
    <s v="Jun-2026"/>
    <x v="12"/>
  </r>
  <r>
    <s v="TCK-000990"/>
    <s v="2026-06-26T23:38:24Z"/>
    <n v="1994"/>
    <s v="Chat"/>
    <s v="High"/>
    <s v="Feature request"/>
    <n v="44"/>
    <n v="912"/>
    <s v="closed"/>
    <n v="3"/>
    <d v="2026-06-26T00:00:00"/>
    <n v="15.2"/>
    <n v="0.73333333333333328"/>
    <s v="Within SLA"/>
    <s v="Neutral"/>
    <s v="Resolved"/>
    <s v="Jun-2026"/>
    <x v="12"/>
  </r>
  <r>
    <s v="TCK-000991"/>
    <s v="2026-06-27T08:24:00Z"/>
    <n v="1728"/>
    <s v="Web form"/>
    <s v="Normal"/>
    <s v="Feature request"/>
    <n v="156"/>
    <m/>
    <s v="pending"/>
    <m/>
    <d v="2026-06-27T00:00:00"/>
    <s v=""/>
    <n v="2.6"/>
    <s v="Open"/>
    <s v="No Rating"/>
    <s v="Unresolved"/>
    <s v="Jun-2026"/>
    <x v="12"/>
  </r>
  <r>
    <s v="TCK-000992"/>
    <s v="2026-06-27T17:09:36Z"/>
    <n v="1426"/>
    <s v="Social"/>
    <s v="Urgent"/>
    <s v="Account"/>
    <n v="8"/>
    <n v="222"/>
    <s v="resolved"/>
    <n v="4"/>
    <d v="2026-06-27T00:00:00"/>
    <n v="3.7"/>
    <n v="0.13333333333333333"/>
    <s v="Within SLA"/>
    <s v="Satisfied"/>
    <s v="Resolved"/>
    <s v="Jun-2026"/>
    <x v="12"/>
  </r>
  <r>
    <s v="TCK-000993"/>
    <s v="2026-06-28T01:55:12Z"/>
    <n v="1939"/>
    <s v="Email"/>
    <s v="Urgent"/>
    <s v="Login"/>
    <n v="8"/>
    <n v="332"/>
    <s v="closed"/>
    <m/>
    <d v="2026-06-28T00:00:00"/>
    <n v="5.5333333333333332"/>
    <n v="0.13333333333333333"/>
    <s v="Within SLA"/>
    <s v="No Rating"/>
    <s v="Resolved"/>
    <s v="Jun-2026"/>
    <x v="12"/>
  </r>
  <r>
    <s v="TCK-000994"/>
    <s v="2026-06-28T10:40:48Z"/>
    <n v="1793"/>
    <s v="Social"/>
    <s v="Urgent"/>
    <s v="Feature request"/>
    <n v="9"/>
    <n v="230"/>
    <s v="closed"/>
    <m/>
    <d v="2026-06-28T00:00:00"/>
    <n v="3.8333333333333335"/>
    <n v="0.15"/>
    <s v="Within SLA"/>
    <s v="No Rating"/>
    <s v="Resolved"/>
    <s v="Jun-2026"/>
    <x v="12"/>
  </r>
  <r>
    <s v="TCK-000995"/>
    <s v="2026-06-28T19:26:24Z"/>
    <n v="1322"/>
    <s v="Phone"/>
    <s v="Normal"/>
    <s v="Account"/>
    <n v="38"/>
    <m/>
    <s v="open"/>
    <m/>
    <d v="2026-06-28T00:00:00"/>
    <s v=""/>
    <n v="0.6333333333333333"/>
    <s v="Open"/>
    <s v="No Rating"/>
    <s v="Unresolved"/>
    <s v="Jun-2026"/>
    <x v="12"/>
  </r>
  <r>
    <s v="TCK-000996"/>
    <s v="2026-06-29T04:12:00Z"/>
    <n v="1978"/>
    <s v="Social"/>
    <s v="Normal"/>
    <s v="Export"/>
    <n v="79"/>
    <n v="831"/>
    <s v="closed"/>
    <n v="1"/>
    <d v="2026-06-29T00:00:00"/>
    <n v="13.85"/>
    <n v="1.3166666666666667"/>
    <s v="Within SLA"/>
    <s v="Dissatisfied"/>
    <s v="Resolved"/>
    <s v="Jun-2026"/>
    <x v="12"/>
  </r>
  <r>
    <s v="TCK-000997"/>
    <s v="2026-06-29T12:57:36Z"/>
    <n v="1521"/>
    <s v="Social"/>
    <s v="Urgent"/>
    <s v="Bug report"/>
    <n v="10"/>
    <n v="302"/>
    <s v="closed"/>
    <n v="5"/>
    <d v="2026-06-29T00:00:00"/>
    <n v="5.0333333333333332"/>
    <n v="0.16666666666666666"/>
    <s v="Within SLA"/>
    <s v="Satisfied"/>
    <s v="Resolved"/>
    <s v="Jun-2026"/>
    <x v="12"/>
  </r>
  <r>
    <s v="TCK-000998"/>
    <s v="2026-06-29T21:43:12Z"/>
    <n v="1845"/>
    <s v="Chat"/>
    <s v="Normal"/>
    <s v="Feature request"/>
    <n v="162"/>
    <m/>
    <s v="open"/>
    <m/>
    <d v="2026-06-29T00:00:00"/>
    <s v=""/>
    <n v="2.7"/>
    <s v="Open"/>
    <s v="No Rating"/>
    <s v="Unresolved"/>
    <s v="Jun-2026"/>
    <x v="12"/>
  </r>
  <r>
    <s v="TCK-000999"/>
    <s v="2026-06-30T06:28:48Z"/>
    <n v="1169"/>
    <s v="Social"/>
    <s v="Low"/>
    <s v="Billing"/>
    <n v="83"/>
    <n v="5698"/>
    <s v="closed"/>
    <n v="1"/>
    <d v="2026-06-30T00:00:00"/>
    <n v="94.966666666666669"/>
    <n v="1.3833333333333333"/>
    <s v="Breached"/>
    <s v="Dissatisfied"/>
    <s v="Resolved"/>
    <s v="Jun-2026"/>
    <x v="12"/>
  </r>
  <r>
    <s v="TCK-001000"/>
    <s v="2026-06-30T15:14:24Z"/>
    <n v="1321"/>
    <s v="Chat"/>
    <s v="Low"/>
    <s v="Bug report"/>
    <n v="429"/>
    <m/>
    <s v="open"/>
    <m/>
    <d v="2026-06-30T00:00:00"/>
    <s v=""/>
    <n v="7.15"/>
    <s v="Open"/>
    <s v="No Rating"/>
    <s v="Unresolved"/>
    <s v="Jun-2026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79D1B-8638-47F4-A86E-39CE6D14C74A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:E6" firstHeaderRow="1" firstDataRow="1" firstDataCol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icket_id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60428-DAB9-4D67-A096-13A10D91F564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H1:L7" firstHeaderRow="1" firstDataRow="2" firstDataCol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ticket_id" fld="0" subtotal="count" baseField="0" baseItem="0"/>
  </dataFields>
  <chartFormats count="12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2FE7A-12D5-492D-AACE-C96068F1338F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26:E36" firstHeaderRow="1" firstDataRow="1" firstDataCol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7"/>
        <item x="2"/>
        <item x="5"/>
        <item x="0"/>
        <item x="6"/>
        <item x="3"/>
        <item x="4"/>
        <item x="8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ticket_id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92876-BF0D-4680-B0CD-EEC09C6D99A0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18:E24" firstHeaderRow="1" firstDataRow="1" firstDataCol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6">
        <item x="0"/>
        <item x="3"/>
        <item x="4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icket_id" fld="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9D5FC-292C-4008-92C4-8227920DD0C3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0:E15" firstHeaderRow="1" firstDataRow="1" firstDataCol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icket_id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1D1CE-29F3-4776-AC01-F51137D1E6F2}" name="PivotTable10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N1:O15" firstHeaderRow="1" firstDataRow="1" firstDataCol="1"/>
  <pivotFields count="1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ticket_id" fld="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4AF62-88F7-4ED0-BF54-4FB6B581F9C5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H12:I22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7"/>
        <item x="2"/>
        <item x="5"/>
        <item x="0"/>
        <item x="6"/>
        <item x="3"/>
        <item x="4"/>
        <item x="8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resolution_hours" fld="11" subtotal="average" baseField="0" baseItem="0" numFmtId="2"/>
  </dataFields>
  <formats count="1">
    <format dxfId="0">
      <pivotArea outline="0" collapsedLevelsAreSubtotals="1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workbookViewId="0">
      <selection activeCell="C17" sqref="A1:J1001"/>
    </sheetView>
  </sheetViews>
  <sheetFormatPr defaultRowHeight="15"/>
  <cols>
    <col min="1" max="1" width="10.75" bestFit="1" customWidth="1"/>
    <col min="2" max="2" width="19.625" bestFit="1" customWidth="1"/>
    <col min="3" max="3" width="13.25" bestFit="1" customWidth="1"/>
    <col min="4" max="4" width="9.375" bestFit="1" customWidth="1"/>
    <col min="6" max="6" width="14.125" bestFit="1" customWidth="1"/>
    <col min="7" max="7" width="18.875" bestFit="1" customWidth="1"/>
    <col min="8" max="8" width="15.5" bestFit="1" customWidth="1"/>
    <col min="9" max="9" width="8" bestFit="1" customWidth="1"/>
    <col min="10" max="10" width="12.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1175</v>
      </c>
      <c r="D2" t="s">
        <v>12</v>
      </c>
      <c r="E2" t="s">
        <v>13</v>
      </c>
      <c r="F2" t="s">
        <v>14</v>
      </c>
      <c r="G2">
        <v>3</v>
      </c>
      <c r="H2">
        <v>412</v>
      </c>
      <c r="I2" t="s">
        <v>15</v>
      </c>
    </row>
    <row r="3" spans="1:10">
      <c r="A3" t="s">
        <v>16</v>
      </c>
      <c r="B3" t="s">
        <v>17</v>
      </c>
      <c r="C3">
        <v>1019</v>
      </c>
      <c r="D3" t="s">
        <v>18</v>
      </c>
      <c r="E3" t="s">
        <v>19</v>
      </c>
      <c r="F3" t="s">
        <v>14</v>
      </c>
      <c r="G3">
        <v>34</v>
      </c>
      <c r="H3">
        <v>507</v>
      </c>
      <c r="I3" t="s">
        <v>20</v>
      </c>
    </row>
    <row r="4" spans="1:10">
      <c r="A4" t="s">
        <v>21</v>
      </c>
      <c r="B4" t="s">
        <v>22</v>
      </c>
      <c r="C4">
        <v>1278</v>
      </c>
      <c r="D4" t="s">
        <v>12</v>
      </c>
      <c r="E4" t="s">
        <v>13</v>
      </c>
      <c r="F4" t="s">
        <v>23</v>
      </c>
      <c r="G4">
        <v>8</v>
      </c>
      <c r="H4">
        <v>305</v>
      </c>
      <c r="I4" t="s">
        <v>15</v>
      </c>
    </row>
    <row r="5" spans="1:10">
      <c r="A5" t="s">
        <v>24</v>
      </c>
      <c r="B5" t="s">
        <v>25</v>
      </c>
      <c r="C5">
        <v>1448</v>
      </c>
      <c r="D5" t="s">
        <v>26</v>
      </c>
      <c r="E5" t="s">
        <v>27</v>
      </c>
      <c r="F5" t="s">
        <v>28</v>
      </c>
      <c r="G5">
        <v>65</v>
      </c>
      <c r="I5" t="s">
        <v>29</v>
      </c>
    </row>
    <row r="6" spans="1:10">
      <c r="A6" t="s">
        <v>30</v>
      </c>
      <c r="B6" t="s">
        <v>31</v>
      </c>
      <c r="C6">
        <v>1936</v>
      </c>
      <c r="D6" t="s">
        <v>32</v>
      </c>
      <c r="E6" t="s">
        <v>33</v>
      </c>
      <c r="F6" t="s">
        <v>34</v>
      </c>
      <c r="G6">
        <v>431</v>
      </c>
      <c r="H6">
        <v>3785</v>
      </c>
      <c r="I6" t="s">
        <v>15</v>
      </c>
      <c r="J6">
        <v>4</v>
      </c>
    </row>
    <row r="7" spans="1:10">
      <c r="A7" t="s">
        <v>35</v>
      </c>
      <c r="B7" t="s">
        <v>36</v>
      </c>
      <c r="C7">
        <v>1471</v>
      </c>
      <c r="D7" t="s">
        <v>18</v>
      </c>
      <c r="E7" t="s">
        <v>33</v>
      </c>
      <c r="F7" t="s">
        <v>34</v>
      </c>
      <c r="G7">
        <v>302</v>
      </c>
      <c r="H7">
        <v>1808</v>
      </c>
      <c r="I7" t="s">
        <v>15</v>
      </c>
      <c r="J7">
        <v>1</v>
      </c>
    </row>
    <row r="8" spans="1:10">
      <c r="A8" t="s">
        <v>37</v>
      </c>
      <c r="B8" t="s">
        <v>38</v>
      </c>
      <c r="C8">
        <v>1949</v>
      </c>
      <c r="D8" t="s">
        <v>26</v>
      </c>
      <c r="E8" t="s">
        <v>33</v>
      </c>
      <c r="F8" t="s">
        <v>23</v>
      </c>
      <c r="G8">
        <v>206</v>
      </c>
      <c r="H8">
        <v>2717</v>
      </c>
      <c r="I8" t="s">
        <v>15</v>
      </c>
      <c r="J8">
        <v>1</v>
      </c>
    </row>
    <row r="9" spans="1:10">
      <c r="A9" t="s">
        <v>39</v>
      </c>
      <c r="B9" t="s">
        <v>40</v>
      </c>
      <c r="C9">
        <v>1968</v>
      </c>
      <c r="D9" t="s">
        <v>12</v>
      </c>
      <c r="E9" t="s">
        <v>27</v>
      </c>
      <c r="F9" t="s">
        <v>28</v>
      </c>
      <c r="G9">
        <v>85</v>
      </c>
      <c r="H9">
        <v>771</v>
      </c>
      <c r="I9" t="s">
        <v>15</v>
      </c>
    </row>
    <row r="10" spans="1:10">
      <c r="A10" t="s">
        <v>41</v>
      </c>
      <c r="B10" t="s">
        <v>42</v>
      </c>
      <c r="C10">
        <v>1750</v>
      </c>
      <c r="D10" t="s">
        <v>12</v>
      </c>
      <c r="E10" t="s">
        <v>27</v>
      </c>
      <c r="F10" t="s">
        <v>43</v>
      </c>
      <c r="G10">
        <v>32</v>
      </c>
      <c r="I10" t="s">
        <v>44</v>
      </c>
    </row>
    <row r="11" spans="1:10">
      <c r="A11" t="s">
        <v>45</v>
      </c>
      <c r="B11" t="s">
        <v>46</v>
      </c>
      <c r="C11">
        <v>1591</v>
      </c>
      <c r="D11" t="s">
        <v>47</v>
      </c>
      <c r="E11" t="s">
        <v>27</v>
      </c>
      <c r="F11" t="s">
        <v>43</v>
      </c>
      <c r="G11">
        <v>63</v>
      </c>
      <c r="H11">
        <v>1975</v>
      </c>
      <c r="I11" t="s">
        <v>15</v>
      </c>
      <c r="J11">
        <v>2</v>
      </c>
    </row>
    <row r="12" spans="1:10">
      <c r="A12" t="s">
        <v>48</v>
      </c>
      <c r="B12" t="s">
        <v>49</v>
      </c>
      <c r="C12">
        <v>1908</v>
      </c>
      <c r="D12" t="s">
        <v>12</v>
      </c>
      <c r="E12" t="s">
        <v>19</v>
      </c>
      <c r="F12" t="s">
        <v>14</v>
      </c>
      <c r="G12">
        <v>21</v>
      </c>
      <c r="H12">
        <v>174</v>
      </c>
      <c r="I12" t="s">
        <v>20</v>
      </c>
      <c r="J12">
        <v>1</v>
      </c>
    </row>
    <row r="13" spans="1:10">
      <c r="A13" t="s">
        <v>50</v>
      </c>
      <c r="B13" t="s">
        <v>51</v>
      </c>
      <c r="C13">
        <v>1982</v>
      </c>
      <c r="D13" t="s">
        <v>18</v>
      </c>
      <c r="E13" t="s">
        <v>33</v>
      </c>
      <c r="F13" t="s">
        <v>23</v>
      </c>
      <c r="G13">
        <v>343</v>
      </c>
      <c r="H13">
        <v>6881</v>
      </c>
      <c r="I13" t="s">
        <v>15</v>
      </c>
    </row>
    <row r="14" spans="1:10">
      <c r="A14" t="s">
        <v>52</v>
      </c>
      <c r="B14" t="s">
        <v>53</v>
      </c>
      <c r="C14">
        <v>1099</v>
      </c>
      <c r="D14" t="s">
        <v>26</v>
      </c>
      <c r="E14" t="s">
        <v>33</v>
      </c>
      <c r="F14" t="s">
        <v>54</v>
      </c>
      <c r="G14">
        <v>442</v>
      </c>
      <c r="H14">
        <v>6637</v>
      </c>
      <c r="I14" t="s">
        <v>15</v>
      </c>
      <c r="J14">
        <v>1</v>
      </c>
    </row>
    <row r="15" spans="1:10">
      <c r="A15" t="s">
        <v>55</v>
      </c>
      <c r="B15" t="s">
        <v>56</v>
      </c>
      <c r="C15">
        <v>1055</v>
      </c>
      <c r="D15" t="s">
        <v>26</v>
      </c>
      <c r="E15" t="s">
        <v>13</v>
      </c>
      <c r="F15" t="s">
        <v>34</v>
      </c>
      <c r="G15">
        <v>10</v>
      </c>
      <c r="H15">
        <v>406</v>
      </c>
      <c r="I15" t="s">
        <v>15</v>
      </c>
    </row>
    <row r="16" spans="1:10">
      <c r="A16" t="s">
        <v>57</v>
      </c>
      <c r="B16" t="s">
        <v>58</v>
      </c>
      <c r="C16">
        <v>1214</v>
      </c>
      <c r="D16" t="s">
        <v>47</v>
      </c>
      <c r="E16" t="s">
        <v>33</v>
      </c>
      <c r="F16" t="s">
        <v>59</v>
      </c>
      <c r="G16">
        <v>122</v>
      </c>
      <c r="H16">
        <v>2695</v>
      </c>
      <c r="I16" t="s">
        <v>20</v>
      </c>
      <c r="J16">
        <v>3</v>
      </c>
    </row>
    <row r="17" spans="1:10">
      <c r="A17" t="s">
        <v>60</v>
      </c>
      <c r="B17" t="s">
        <v>61</v>
      </c>
      <c r="C17">
        <v>1730</v>
      </c>
      <c r="D17" t="s">
        <v>26</v>
      </c>
      <c r="E17" t="s">
        <v>13</v>
      </c>
      <c r="F17" t="s">
        <v>43</v>
      </c>
      <c r="G17">
        <v>3</v>
      </c>
      <c r="H17">
        <v>173</v>
      </c>
      <c r="I17" t="s">
        <v>15</v>
      </c>
      <c r="J17">
        <v>2</v>
      </c>
    </row>
    <row r="18" spans="1:10">
      <c r="A18" t="s">
        <v>62</v>
      </c>
      <c r="B18" t="s">
        <v>63</v>
      </c>
      <c r="C18">
        <v>1469</v>
      </c>
      <c r="D18" t="s">
        <v>47</v>
      </c>
      <c r="E18" t="s">
        <v>33</v>
      </c>
      <c r="F18" t="s">
        <v>64</v>
      </c>
      <c r="G18">
        <v>337</v>
      </c>
      <c r="H18">
        <v>6240</v>
      </c>
      <c r="I18" t="s">
        <v>15</v>
      </c>
    </row>
    <row r="19" spans="1:10">
      <c r="A19" t="s">
        <v>65</v>
      </c>
      <c r="B19" t="s">
        <v>66</v>
      </c>
      <c r="C19">
        <v>1802</v>
      </c>
      <c r="D19" t="s">
        <v>32</v>
      </c>
      <c r="E19" t="s">
        <v>27</v>
      </c>
      <c r="F19" t="s">
        <v>59</v>
      </c>
      <c r="G19">
        <v>157</v>
      </c>
      <c r="I19" t="s">
        <v>44</v>
      </c>
    </row>
    <row r="20" spans="1:10">
      <c r="A20" t="s">
        <v>67</v>
      </c>
      <c r="B20" t="s">
        <v>68</v>
      </c>
      <c r="C20">
        <v>1538</v>
      </c>
      <c r="D20" t="s">
        <v>18</v>
      </c>
      <c r="E20" t="s">
        <v>27</v>
      </c>
      <c r="F20" t="s">
        <v>64</v>
      </c>
      <c r="G20">
        <v>166</v>
      </c>
      <c r="H20">
        <v>1810</v>
      </c>
      <c r="I20" t="s">
        <v>20</v>
      </c>
    </row>
    <row r="21" spans="1:10">
      <c r="A21" t="s">
        <v>69</v>
      </c>
      <c r="B21" t="s">
        <v>70</v>
      </c>
      <c r="C21">
        <v>1295</v>
      </c>
      <c r="D21" t="s">
        <v>26</v>
      </c>
      <c r="E21" t="s">
        <v>13</v>
      </c>
      <c r="F21" t="s">
        <v>71</v>
      </c>
      <c r="G21">
        <v>3</v>
      </c>
      <c r="H21">
        <v>123</v>
      </c>
      <c r="I21" t="s">
        <v>20</v>
      </c>
      <c r="J21">
        <v>4</v>
      </c>
    </row>
    <row r="22" spans="1:10">
      <c r="A22" t="s">
        <v>72</v>
      </c>
      <c r="B22" t="s">
        <v>73</v>
      </c>
      <c r="C22">
        <v>1646</v>
      </c>
      <c r="D22" t="s">
        <v>26</v>
      </c>
      <c r="E22" t="s">
        <v>19</v>
      </c>
      <c r="F22" t="s">
        <v>14</v>
      </c>
      <c r="G22">
        <v>15</v>
      </c>
      <c r="I22" t="s">
        <v>29</v>
      </c>
    </row>
    <row r="23" spans="1:10">
      <c r="A23" t="s">
        <v>74</v>
      </c>
      <c r="B23" t="s">
        <v>75</v>
      </c>
      <c r="C23">
        <v>1880</v>
      </c>
      <c r="D23" t="s">
        <v>18</v>
      </c>
      <c r="E23" t="s">
        <v>27</v>
      </c>
      <c r="F23" t="s">
        <v>71</v>
      </c>
      <c r="G23">
        <v>46</v>
      </c>
      <c r="I23" t="s">
        <v>29</v>
      </c>
    </row>
    <row r="24" spans="1:10">
      <c r="A24" t="s">
        <v>76</v>
      </c>
      <c r="B24" t="s">
        <v>77</v>
      </c>
      <c r="C24">
        <v>1808</v>
      </c>
      <c r="D24" t="s">
        <v>26</v>
      </c>
      <c r="E24" t="s">
        <v>33</v>
      </c>
      <c r="F24" t="s">
        <v>23</v>
      </c>
      <c r="G24">
        <v>217</v>
      </c>
      <c r="H24">
        <v>6190</v>
      </c>
      <c r="I24" t="s">
        <v>15</v>
      </c>
    </row>
    <row r="25" spans="1:10">
      <c r="A25" t="s">
        <v>78</v>
      </c>
      <c r="B25" t="s">
        <v>79</v>
      </c>
      <c r="C25">
        <v>1887</v>
      </c>
      <c r="D25" t="s">
        <v>18</v>
      </c>
      <c r="E25" t="s">
        <v>33</v>
      </c>
      <c r="F25" t="s">
        <v>43</v>
      </c>
      <c r="G25">
        <v>263</v>
      </c>
      <c r="H25">
        <v>7047</v>
      </c>
      <c r="I25" t="s">
        <v>15</v>
      </c>
    </row>
    <row r="26" spans="1:10">
      <c r="A26" t="s">
        <v>80</v>
      </c>
      <c r="B26" t="s">
        <v>81</v>
      </c>
      <c r="C26">
        <v>1909</v>
      </c>
      <c r="D26" t="s">
        <v>47</v>
      </c>
      <c r="E26" t="s">
        <v>33</v>
      </c>
      <c r="F26" t="s">
        <v>23</v>
      </c>
      <c r="G26">
        <v>446</v>
      </c>
      <c r="I26" t="s">
        <v>29</v>
      </c>
    </row>
    <row r="27" spans="1:10">
      <c r="A27" t="s">
        <v>82</v>
      </c>
      <c r="B27" t="s">
        <v>83</v>
      </c>
      <c r="C27">
        <v>1950</v>
      </c>
      <c r="D27" t="s">
        <v>12</v>
      </c>
      <c r="E27" t="s">
        <v>33</v>
      </c>
      <c r="F27" t="s">
        <v>64</v>
      </c>
      <c r="G27">
        <v>165</v>
      </c>
      <c r="I27" t="s">
        <v>29</v>
      </c>
    </row>
    <row r="28" spans="1:10">
      <c r="A28" t="s">
        <v>84</v>
      </c>
      <c r="B28" t="s">
        <v>85</v>
      </c>
      <c r="C28">
        <v>1028</v>
      </c>
      <c r="D28" t="s">
        <v>47</v>
      </c>
      <c r="E28" t="s">
        <v>27</v>
      </c>
      <c r="F28" t="s">
        <v>59</v>
      </c>
      <c r="G28">
        <v>123</v>
      </c>
      <c r="H28">
        <v>792</v>
      </c>
      <c r="I28" t="s">
        <v>20</v>
      </c>
      <c r="J28">
        <v>2</v>
      </c>
    </row>
    <row r="29" spans="1:10">
      <c r="A29" t="s">
        <v>86</v>
      </c>
      <c r="B29" t="s">
        <v>87</v>
      </c>
      <c r="C29">
        <v>1035</v>
      </c>
      <c r="D29" t="s">
        <v>26</v>
      </c>
      <c r="E29" t="s">
        <v>19</v>
      </c>
      <c r="F29" t="s">
        <v>34</v>
      </c>
      <c r="G29">
        <v>24</v>
      </c>
      <c r="H29">
        <v>235</v>
      </c>
      <c r="I29" t="s">
        <v>15</v>
      </c>
      <c r="J29">
        <v>4</v>
      </c>
    </row>
    <row r="30" spans="1:10">
      <c r="A30" t="s">
        <v>88</v>
      </c>
      <c r="B30" t="s">
        <v>89</v>
      </c>
      <c r="C30">
        <v>1426</v>
      </c>
      <c r="D30" t="s">
        <v>12</v>
      </c>
      <c r="E30" t="s">
        <v>33</v>
      </c>
      <c r="F30" t="s">
        <v>34</v>
      </c>
      <c r="G30">
        <v>405</v>
      </c>
      <c r="H30">
        <v>4942</v>
      </c>
      <c r="I30" t="s">
        <v>15</v>
      </c>
      <c r="J30">
        <v>3</v>
      </c>
    </row>
    <row r="31" spans="1:10">
      <c r="A31" t="s">
        <v>90</v>
      </c>
      <c r="B31" t="s">
        <v>91</v>
      </c>
      <c r="C31">
        <v>1908</v>
      </c>
      <c r="D31" t="s">
        <v>47</v>
      </c>
      <c r="E31" t="s">
        <v>33</v>
      </c>
      <c r="F31" t="s">
        <v>64</v>
      </c>
      <c r="G31">
        <v>432</v>
      </c>
      <c r="H31">
        <v>2314</v>
      </c>
      <c r="I31" t="s">
        <v>15</v>
      </c>
      <c r="J31">
        <v>3</v>
      </c>
    </row>
    <row r="32" spans="1:10">
      <c r="A32" t="s">
        <v>92</v>
      </c>
      <c r="B32" t="s">
        <v>93</v>
      </c>
      <c r="C32">
        <v>1540</v>
      </c>
      <c r="D32" t="s">
        <v>26</v>
      </c>
      <c r="E32" t="s">
        <v>27</v>
      </c>
      <c r="F32" t="s">
        <v>28</v>
      </c>
      <c r="G32">
        <v>90</v>
      </c>
      <c r="I32" t="s">
        <v>29</v>
      </c>
    </row>
    <row r="33" spans="1:10">
      <c r="A33" t="s">
        <v>94</v>
      </c>
      <c r="B33" t="s">
        <v>95</v>
      </c>
      <c r="C33">
        <v>1059</v>
      </c>
      <c r="D33" t="s">
        <v>26</v>
      </c>
      <c r="E33" t="s">
        <v>13</v>
      </c>
      <c r="F33" t="s">
        <v>54</v>
      </c>
      <c r="G33">
        <v>2</v>
      </c>
      <c r="H33">
        <v>221</v>
      </c>
      <c r="I33" t="s">
        <v>15</v>
      </c>
      <c r="J33">
        <v>4</v>
      </c>
    </row>
    <row r="34" spans="1:10">
      <c r="A34" t="s">
        <v>96</v>
      </c>
      <c r="B34" t="s">
        <v>97</v>
      </c>
      <c r="C34">
        <v>1205</v>
      </c>
      <c r="D34" t="s">
        <v>32</v>
      </c>
      <c r="E34" t="s">
        <v>13</v>
      </c>
      <c r="F34" t="s">
        <v>14</v>
      </c>
      <c r="G34">
        <v>9</v>
      </c>
      <c r="H34">
        <v>422</v>
      </c>
      <c r="I34" t="s">
        <v>20</v>
      </c>
      <c r="J34">
        <v>3</v>
      </c>
    </row>
    <row r="35" spans="1:10">
      <c r="A35" t="s">
        <v>98</v>
      </c>
      <c r="B35" t="s">
        <v>99</v>
      </c>
      <c r="C35">
        <v>1441</v>
      </c>
      <c r="D35" t="s">
        <v>32</v>
      </c>
      <c r="E35" t="s">
        <v>27</v>
      </c>
      <c r="F35" t="s">
        <v>28</v>
      </c>
      <c r="G35">
        <v>150</v>
      </c>
      <c r="H35">
        <v>1715</v>
      </c>
      <c r="I35" t="s">
        <v>15</v>
      </c>
      <c r="J35">
        <v>1</v>
      </c>
    </row>
    <row r="36" spans="1:10">
      <c r="A36" t="s">
        <v>100</v>
      </c>
      <c r="B36" t="s">
        <v>101</v>
      </c>
      <c r="C36">
        <v>1403</v>
      </c>
      <c r="D36" t="s">
        <v>12</v>
      </c>
      <c r="E36" t="s">
        <v>27</v>
      </c>
      <c r="F36" t="s">
        <v>59</v>
      </c>
      <c r="G36">
        <v>36</v>
      </c>
      <c r="H36">
        <v>3180</v>
      </c>
      <c r="I36" t="s">
        <v>20</v>
      </c>
    </row>
    <row r="37" spans="1:10">
      <c r="A37" t="s">
        <v>102</v>
      </c>
      <c r="B37" t="s">
        <v>103</v>
      </c>
      <c r="C37">
        <v>1702</v>
      </c>
      <c r="D37" t="s">
        <v>26</v>
      </c>
      <c r="E37" t="s">
        <v>33</v>
      </c>
      <c r="F37" t="s">
        <v>43</v>
      </c>
      <c r="G37">
        <v>233</v>
      </c>
      <c r="H37">
        <v>2898</v>
      </c>
      <c r="I37" t="s">
        <v>20</v>
      </c>
    </row>
    <row r="38" spans="1:10">
      <c r="A38" t="s">
        <v>104</v>
      </c>
      <c r="B38" t="s">
        <v>105</v>
      </c>
      <c r="C38">
        <v>1041</v>
      </c>
      <c r="D38" t="s">
        <v>47</v>
      </c>
      <c r="E38" t="s">
        <v>13</v>
      </c>
      <c r="F38" t="s">
        <v>43</v>
      </c>
      <c r="G38">
        <v>7</v>
      </c>
      <c r="H38">
        <v>427</v>
      </c>
      <c r="I38" t="s">
        <v>15</v>
      </c>
      <c r="J38">
        <v>4</v>
      </c>
    </row>
    <row r="39" spans="1:10">
      <c r="A39" t="s">
        <v>106</v>
      </c>
      <c r="B39" t="s">
        <v>107</v>
      </c>
      <c r="C39">
        <v>1169</v>
      </c>
      <c r="D39" t="s">
        <v>26</v>
      </c>
      <c r="E39" t="s">
        <v>33</v>
      </c>
      <c r="F39" t="s">
        <v>54</v>
      </c>
      <c r="G39">
        <v>335</v>
      </c>
      <c r="H39">
        <v>5407</v>
      </c>
      <c r="I39" t="s">
        <v>15</v>
      </c>
    </row>
    <row r="40" spans="1:10">
      <c r="A40" t="s">
        <v>108</v>
      </c>
      <c r="B40" t="s">
        <v>109</v>
      </c>
      <c r="C40">
        <v>1116</v>
      </c>
      <c r="D40" t="s">
        <v>26</v>
      </c>
      <c r="E40" t="s">
        <v>27</v>
      </c>
      <c r="F40" t="s">
        <v>43</v>
      </c>
      <c r="G40">
        <v>103</v>
      </c>
      <c r="I40" t="s">
        <v>29</v>
      </c>
    </row>
    <row r="41" spans="1:10">
      <c r="A41" t="s">
        <v>110</v>
      </c>
      <c r="B41" t="s">
        <v>111</v>
      </c>
      <c r="C41">
        <v>1360</v>
      </c>
      <c r="D41" t="s">
        <v>18</v>
      </c>
      <c r="E41" t="s">
        <v>33</v>
      </c>
      <c r="F41" t="s">
        <v>34</v>
      </c>
      <c r="G41">
        <v>148</v>
      </c>
      <c r="H41">
        <v>4350</v>
      </c>
      <c r="I41" t="s">
        <v>20</v>
      </c>
      <c r="J41">
        <v>3</v>
      </c>
    </row>
    <row r="42" spans="1:10">
      <c r="A42" t="s">
        <v>112</v>
      </c>
      <c r="B42" t="s">
        <v>113</v>
      </c>
      <c r="C42">
        <v>1872</v>
      </c>
      <c r="D42" t="s">
        <v>32</v>
      </c>
      <c r="E42" t="s">
        <v>13</v>
      </c>
      <c r="F42" t="s">
        <v>71</v>
      </c>
      <c r="G42">
        <v>11</v>
      </c>
      <c r="H42">
        <v>325</v>
      </c>
      <c r="I42" t="s">
        <v>15</v>
      </c>
      <c r="J42">
        <v>5</v>
      </c>
    </row>
    <row r="43" spans="1:10">
      <c r="A43" t="s">
        <v>114</v>
      </c>
      <c r="B43" t="s">
        <v>115</v>
      </c>
      <c r="C43">
        <v>1524</v>
      </c>
      <c r="D43" t="s">
        <v>26</v>
      </c>
      <c r="E43" t="s">
        <v>27</v>
      </c>
      <c r="F43" t="s">
        <v>54</v>
      </c>
      <c r="G43">
        <v>177</v>
      </c>
      <c r="H43">
        <v>3585</v>
      </c>
      <c r="I43" t="s">
        <v>20</v>
      </c>
      <c r="J43">
        <v>4</v>
      </c>
    </row>
    <row r="44" spans="1:10">
      <c r="A44" t="s">
        <v>116</v>
      </c>
      <c r="B44" t="s">
        <v>117</v>
      </c>
      <c r="C44">
        <v>1215</v>
      </c>
      <c r="D44" t="s">
        <v>18</v>
      </c>
      <c r="E44" t="s">
        <v>27</v>
      </c>
      <c r="F44" t="s">
        <v>59</v>
      </c>
      <c r="G44">
        <v>168</v>
      </c>
      <c r="H44">
        <v>1020</v>
      </c>
      <c r="I44" t="s">
        <v>15</v>
      </c>
      <c r="J44">
        <v>3</v>
      </c>
    </row>
    <row r="45" spans="1:10">
      <c r="A45" t="s">
        <v>118</v>
      </c>
      <c r="B45" t="s">
        <v>119</v>
      </c>
      <c r="C45">
        <v>1627</v>
      </c>
      <c r="D45" t="s">
        <v>26</v>
      </c>
      <c r="E45" t="s">
        <v>27</v>
      </c>
      <c r="F45" t="s">
        <v>14</v>
      </c>
      <c r="G45">
        <v>64</v>
      </c>
      <c r="H45">
        <v>2766</v>
      </c>
      <c r="I45" t="s">
        <v>15</v>
      </c>
    </row>
    <row r="46" spans="1:10">
      <c r="A46" t="s">
        <v>120</v>
      </c>
      <c r="B46" t="s">
        <v>121</v>
      </c>
      <c r="C46">
        <v>1235</v>
      </c>
      <c r="D46" t="s">
        <v>26</v>
      </c>
      <c r="E46" t="s">
        <v>27</v>
      </c>
      <c r="F46" t="s">
        <v>43</v>
      </c>
      <c r="G46">
        <v>97</v>
      </c>
      <c r="H46">
        <v>2317</v>
      </c>
      <c r="I46" t="s">
        <v>15</v>
      </c>
      <c r="J46">
        <v>3</v>
      </c>
    </row>
    <row r="47" spans="1:10">
      <c r="A47" t="s">
        <v>122</v>
      </c>
      <c r="B47" t="s">
        <v>123</v>
      </c>
      <c r="C47">
        <v>1245</v>
      </c>
      <c r="D47" t="s">
        <v>18</v>
      </c>
      <c r="E47" t="s">
        <v>13</v>
      </c>
      <c r="F47" t="s">
        <v>14</v>
      </c>
      <c r="G47">
        <v>9</v>
      </c>
      <c r="I47" t="s">
        <v>29</v>
      </c>
    </row>
    <row r="48" spans="1:10">
      <c r="A48" t="s">
        <v>124</v>
      </c>
      <c r="B48" t="s">
        <v>125</v>
      </c>
      <c r="C48">
        <v>1286</v>
      </c>
      <c r="D48" t="s">
        <v>18</v>
      </c>
      <c r="E48" t="s">
        <v>13</v>
      </c>
      <c r="F48" t="s">
        <v>34</v>
      </c>
      <c r="G48">
        <v>9</v>
      </c>
      <c r="H48">
        <v>272</v>
      </c>
      <c r="I48" t="s">
        <v>15</v>
      </c>
      <c r="J48">
        <v>1</v>
      </c>
    </row>
    <row r="49" spans="1:10">
      <c r="A49" t="s">
        <v>126</v>
      </c>
      <c r="B49" t="s">
        <v>127</v>
      </c>
      <c r="C49">
        <v>1286</v>
      </c>
      <c r="D49" t="s">
        <v>18</v>
      </c>
      <c r="E49" t="s">
        <v>19</v>
      </c>
      <c r="F49" t="s">
        <v>64</v>
      </c>
      <c r="G49">
        <v>29</v>
      </c>
      <c r="H49">
        <v>656</v>
      </c>
      <c r="I49" t="s">
        <v>15</v>
      </c>
    </row>
    <row r="50" spans="1:10">
      <c r="A50" t="s">
        <v>128</v>
      </c>
      <c r="B50" t="s">
        <v>129</v>
      </c>
      <c r="C50">
        <v>1730</v>
      </c>
      <c r="D50" t="s">
        <v>18</v>
      </c>
      <c r="E50" t="s">
        <v>33</v>
      </c>
      <c r="F50" t="s">
        <v>28</v>
      </c>
      <c r="G50">
        <v>137</v>
      </c>
      <c r="H50">
        <v>7351</v>
      </c>
      <c r="I50" t="s">
        <v>15</v>
      </c>
      <c r="J50">
        <v>3</v>
      </c>
    </row>
    <row r="51" spans="1:10">
      <c r="A51" t="s">
        <v>130</v>
      </c>
      <c r="B51" t="s">
        <v>131</v>
      </c>
      <c r="C51">
        <v>1462</v>
      </c>
      <c r="D51" t="s">
        <v>32</v>
      </c>
      <c r="E51" t="s">
        <v>27</v>
      </c>
      <c r="F51" t="s">
        <v>14</v>
      </c>
      <c r="G51">
        <v>84</v>
      </c>
      <c r="H51">
        <v>1972</v>
      </c>
      <c r="I51" t="s">
        <v>15</v>
      </c>
      <c r="J51">
        <v>5</v>
      </c>
    </row>
    <row r="52" spans="1:10">
      <c r="A52" t="s">
        <v>132</v>
      </c>
      <c r="B52" t="s">
        <v>133</v>
      </c>
      <c r="C52">
        <v>1656</v>
      </c>
      <c r="D52" t="s">
        <v>32</v>
      </c>
      <c r="E52" t="s">
        <v>27</v>
      </c>
      <c r="F52" t="s">
        <v>14</v>
      </c>
      <c r="G52">
        <v>60</v>
      </c>
      <c r="H52">
        <v>1291</v>
      </c>
      <c r="I52" t="s">
        <v>15</v>
      </c>
    </row>
    <row r="53" spans="1:10">
      <c r="A53" t="s">
        <v>134</v>
      </c>
      <c r="B53" t="s">
        <v>135</v>
      </c>
      <c r="C53">
        <v>1882</v>
      </c>
      <c r="D53" t="s">
        <v>47</v>
      </c>
      <c r="E53" t="s">
        <v>27</v>
      </c>
      <c r="F53" t="s">
        <v>14</v>
      </c>
      <c r="G53">
        <v>88</v>
      </c>
      <c r="I53" t="s">
        <v>44</v>
      </c>
    </row>
    <row r="54" spans="1:10">
      <c r="A54" t="s">
        <v>136</v>
      </c>
      <c r="B54" t="s">
        <v>137</v>
      </c>
      <c r="C54">
        <v>1832</v>
      </c>
      <c r="D54" t="s">
        <v>47</v>
      </c>
      <c r="E54" t="s">
        <v>13</v>
      </c>
      <c r="F54" t="s">
        <v>54</v>
      </c>
      <c r="G54">
        <v>11</v>
      </c>
      <c r="H54">
        <v>305</v>
      </c>
      <c r="I54" t="s">
        <v>15</v>
      </c>
      <c r="J54">
        <v>2</v>
      </c>
    </row>
    <row r="55" spans="1:10">
      <c r="A55" t="s">
        <v>138</v>
      </c>
      <c r="B55" t="s">
        <v>139</v>
      </c>
      <c r="C55">
        <v>1691</v>
      </c>
      <c r="D55" t="s">
        <v>18</v>
      </c>
      <c r="E55" t="s">
        <v>27</v>
      </c>
      <c r="F55" t="s">
        <v>23</v>
      </c>
      <c r="G55">
        <v>93</v>
      </c>
      <c r="H55">
        <v>2645</v>
      </c>
      <c r="I55" t="s">
        <v>15</v>
      </c>
      <c r="J55">
        <v>4</v>
      </c>
    </row>
    <row r="56" spans="1:10">
      <c r="A56" t="s">
        <v>140</v>
      </c>
      <c r="B56" t="s">
        <v>141</v>
      </c>
      <c r="C56">
        <v>1304</v>
      </c>
      <c r="D56" t="s">
        <v>18</v>
      </c>
      <c r="E56" t="s">
        <v>19</v>
      </c>
      <c r="F56" t="s">
        <v>23</v>
      </c>
      <c r="G56">
        <v>38</v>
      </c>
      <c r="H56">
        <v>332</v>
      </c>
      <c r="I56" t="s">
        <v>15</v>
      </c>
    </row>
    <row r="57" spans="1:10">
      <c r="A57" t="s">
        <v>142</v>
      </c>
      <c r="B57" t="s">
        <v>143</v>
      </c>
      <c r="C57">
        <v>1014</v>
      </c>
      <c r="D57" t="s">
        <v>26</v>
      </c>
      <c r="E57" t="s">
        <v>19</v>
      </c>
      <c r="F57" t="s">
        <v>71</v>
      </c>
      <c r="G57">
        <v>45</v>
      </c>
      <c r="H57">
        <v>603</v>
      </c>
      <c r="I57" t="s">
        <v>15</v>
      </c>
    </row>
    <row r="58" spans="1:10">
      <c r="A58" t="s">
        <v>144</v>
      </c>
      <c r="B58" t="s">
        <v>145</v>
      </c>
      <c r="C58">
        <v>1302</v>
      </c>
      <c r="D58" t="s">
        <v>32</v>
      </c>
      <c r="E58" t="s">
        <v>27</v>
      </c>
      <c r="F58" t="s">
        <v>28</v>
      </c>
      <c r="G58">
        <v>135</v>
      </c>
      <c r="H58">
        <v>1536</v>
      </c>
      <c r="I58" t="s">
        <v>20</v>
      </c>
      <c r="J58">
        <v>5</v>
      </c>
    </row>
    <row r="59" spans="1:10">
      <c r="A59" t="s">
        <v>146</v>
      </c>
      <c r="B59" t="s">
        <v>147</v>
      </c>
      <c r="C59">
        <v>1044</v>
      </c>
      <c r="D59" t="s">
        <v>47</v>
      </c>
      <c r="E59" t="s">
        <v>13</v>
      </c>
      <c r="F59" t="s">
        <v>54</v>
      </c>
      <c r="G59">
        <v>9</v>
      </c>
      <c r="H59">
        <v>253</v>
      </c>
      <c r="I59" t="s">
        <v>15</v>
      </c>
    </row>
    <row r="60" spans="1:10">
      <c r="A60" t="s">
        <v>148</v>
      </c>
      <c r="B60" t="s">
        <v>149</v>
      </c>
      <c r="C60">
        <v>1852</v>
      </c>
      <c r="D60" t="s">
        <v>32</v>
      </c>
      <c r="E60" t="s">
        <v>33</v>
      </c>
      <c r="F60" t="s">
        <v>28</v>
      </c>
      <c r="G60">
        <v>334</v>
      </c>
      <c r="H60">
        <v>7272</v>
      </c>
      <c r="I60" t="s">
        <v>20</v>
      </c>
      <c r="J60">
        <v>5</v>
      </c>
    </row>
    <row r="61" spans="1:10">
      <c r="A61" t="s">
        <v>150</v>
      </c>
      <c r="B61" t="s">
        <v>151</v>
      </c>
      <c r="C61">
        <v>1272</v>
      </c>
      <c r="D61" t="s">
        <v>32</v>
      </c>
      <c r="E61" t="s">
        <v>33</v>
      </c>
      <c r="F61" t="s">
        <v>34</v>
      </c>
      <c r="G61">
        <v>358</v>
      </c>
      <c r="H61">
        <v>8804</v>
      </c>
      <c r="I61" t="s">
        <v>20</v>
      </c>
      <c r="J61">
        <v>4</v>
      </c>
    </row>
    <row r="62" spans="1:10">
      <c r="A62" t="s">
        <v>152</v>
      </c>
      <c r="B62" t="s">
        <v>153</v>
      </c>
      <c r="C62">
        <v>1510</v>
      </c>
      <c r="D62" t="s">
        <v>12</v>
      </c>
      <c r="E62" t="s">
        <v>33</v>
      </c>
      <c r="F62" t="s">
        <v>71</v>
      </c>
      <c r="G62">
        <v>83</v>
      </c>
      <c r="H62">
        <v>5306</v>
      </c>
      <c r="I62" t="s">
        <v>15</v>
      </c>
      <c r="J62">
        <v>4</v>
      </c>
    </row>
    <row r="63" spans="1:10">
      <c r="A63" t="s">
        <v>154</v>
      </c>
      <c r="B63" t="s">
        <v>155</v>
      </c>
      <c r="C63">
        <v>1846</v>
      </c>
      <c r="D63" t="s">
        <v>18</v>
      </c>
      <c r="E63" t="s">
        <v>27</v>
      </c>
      <c r="F63" t="s">
        <v>54</v>
      </c>
      <c r="G63">
        <v>92</v>
      </c>
      <c r="H63">
        <v>2405</v>
      </c>
      <c r="I63" t="s">
        <v>20</v>
      </c>
      <c r="J63">
        <v>4</v>
      </c>
    </row>
    <row r="64" spans="1:10">
      <c r="A64" t="s">
        <v>156</v>
      </c>
      <c r="B64" t="s">
        <v>157</v>
      </c>
      <c r="C64">
        <v>1505</v>
      </c>
      <c r="D64" t="s">
        <v>32</v>
      </c>
      <c r="E64" t="s">
        <v>27</v>
      </c>
      <c r="F64" t="s">
        <v>71</v>
      </c>
      <c r="G64">
        <v>37</v>
      </c>
      <c r="H64">
        <v>3555</v>
      </c>
      <c r="I64" t="s">
        <v>15</v>
      </c>
      <c r="J64">
        <v>3</v>
      </c>
    </row>
    <row r="65" spans="1:10">
      <c r="A65" t="s">
        <v>158</v>
      </c>
      <c r="B65" t="s">
        <v>159</v>
      </c>
      <c r="C65">
        <v>1163</v>
      </c>
      <c r="D65" t="s">
        <v>26</v>
      </c>
      <c r="E65" t="s">
        <v>27</v>
      </c>
      <c r="F65" t="s">
        <v>43</v>
      </c>
      <c r="G65">
        <v>82</v>
      </c>
      <c r="I65" t="s">
        <v>44</v>
      </c>
    </row>
    <row r="66" spans="1:10">
      <c r="A66" t="s">
        <v>160</v>
      </c>
      <c r="B66" t="s">
        <v>161</v>
      </c>
      <c r="C66">
        <v>1467</v>
      </c>
      <c r="D66" t="s">
        <v>18</v>
      </c>
      <c r="E66" t="s">
        <v>27</v>
      </c>
      <c r="F66" t="s">
        <v>14</v>
      </c>
      <c r="G66">
        <v>154</v>
      </c>
      <c r="H66">
        <v>953</v>
      </c>
      <c r="I66" t="s">
        <v>15</v>
      </c>
      <c r="J66">
        <v>5</v>
      </c>
    </row>
    <row r="67" spans="1:10">
      <c r="A67" t="s">
        <v>162</v>
      </c>
      <c r="B67" t="s">
        <v>163</v>
      </c>
      <c r="C67">
        <v>1727</v>
      </c>
      <c r="D67" t="s">
        <v>26</v>
      </c>
      <c r="E67" t="s">
        <v>19</v>
      </c>
      <c r="F67" t="s">
        <v>23</v>
      </c>
      <c r="G67">
        <v>18</v>
      </c>
      <c r="H67">
        <v>517</v>
      </c>
      <c r="I67" t="s">
        <v>15</v>
      </c>
    </row>
    <row r="68" spans="1:10">
      <c r="A68" t="s">
        <v>164</v>
      </c>
      <c r="B68" t="s">
        <v>165</v>
      </c>
      <c r="C68">
        <v>1656</v>
      </c>
      <c r="D68" t="s">
        <v>18</v>
      </c>
      <c r="E68" t="s">
        <v>27</v>
      </c>
      <c r="F68" t="s">
        <v>71</v>
      </c>
      <c r="G68">
        <v>146</v>
      </c>
      <c r="I68" t="s">
        <v>29</v>
      </c>
    </row>
    <row r="69" spans="1:10">
      <c r="A69" t="s">
        <v>166</v>
      </c>
      <c r="B69" t="s">
        <v>167</v>
      </c>
      <c r="C69">
        <v>1142</v>
      </c>
      <c r="D69" t="s">
        <v>26</v>
      </c>
      <c r="E69" t="s">
        <v>33</v>
      </c>
      <c r="F69" t="s">
        <v>23</v>
      </c>
      <c r="G69">
        <v>225</v>
      </c>
      <c r="H69">
        <v>4766</v>
      </c>
      <c r="I69" t="s">
        <v>20</v>
      </c>
      <c r="J69">
        <v>2</v>
      </c>
    </row>
    <row r="70" spans="1:10">
      <c r="A70" t="s">
        <v>168</v>
      </c>
      <c r="B70" t="s">
        <v>169</v>
      </c>
      <c r="C70">
        <v>1767</v>
      </c>
      <c r="D70" t="s">
        <v>18</v>
      </c>
      <c r="E70" t="s">
        <v>27</v>
      </c>
      <c r="F70" t="s">
        <v>64</v>
      </c>
      <c r="G70">
        <v>127</v>
      </c>
      <c r="H70">
        <v>671</v>
      </c>
      <c r="I70" t="s">
        <v>20</v>
      </c>
      <c r="J70">
        <v>4</v>
      </c>
    </row>
    <row r="71" spans="1:10">
      <c r="A71" t="s">
        <v>170</v>
      </c>
      <c r="B71" t="s">
        <v>171</v>
      </c>
      <c r="C71">
        <v>1103</v>
      </c>
      <c r="D71" t="s">
        <v>12</v>
      </c>
      <c r="E71" t="s">
        <v>27</v>
      </c>
      <c r="F71" t="s">
        <v>43</v>
      </c>
      <c r="G71">
        <v>150</v>
      </c>
      <c r="H71">
        <v>2818</v>
      </c>
      <c r="I71" t="s">
        <v>15</v>
      </c>
    </row>
    <row r="72" spans="1:10">
      <c r="A72" t="s">
        <v>172</v>
      </c>
      <c r="B72" t="s">
        <v>173</v>
      </c>
      <c r="C72">
        <v>1188</v>
      </c>
      <c r="D72" t="s">
        <v>12</v>
      </c>
      <c r="E72" t="s">
        <v>33</v>
      </c>
      <c r="F72" t="s">
        <v>59</v>
      </c>
      <c r="G72">
        <v>98</v>
      </c>
      <c r="H72">
        <v>6022</v>
      </c>
      <c r="I72" t="s">
        <v>20</v>
      </c>
      <c r="J72">
        <v>2</v>
      </c>
    </row>
    <row r="73" spans="1:10">
      <c r="A73" t="s">
        <v>174</v>
      </c>
      <c r="B73" t="s">
        <v>175</v>
      </c>
      <c r="C73">
        <v>1455</v>
      </c>
      <c r="D73" t="s">
        <v>47</v>
      </c>
      <c r="E73" t="s">
        <v>13</v>
      </c>
      <c r="F73" t="s">
        <v>28</v>
      </c>
      <c r="G73">
        <v>9</v>
      </c>
      <c r="I73" t="s">
        <v>29</v>
      </c>
    </row>
    <row r="74" spans="1:10">
      <c r="A74" t="s">
        <v>176</v>
      </c>
      <c r="B74" t="s">
        <v>177</v>
      </c>
      <c r="C74">
        <v>1179</v>
      </c>
      <c r="D74" t="s">
        <v>47</v>
      </c>
      <c r="E74" t="s">
        <v>27</v>
      </c>
      <c r="F74" t="s">
        <v>43</v>
      </c>
      <c r="G74">
        <v>85</v>
      </c>
      <c r="H74">
        <v>3589</v>
      </c>
      <c r="I74" t="s">
        <v>15</v>
      </c>
    </row>
    <row r="75" spans="1:10">
      <c r="A75" t="s">
        <v>178</v>
      </c>
      <c r="B75" t="s">
        <v>179</v>
      </c>
      <c r="C75">
        <v>1974</v>
      </c>
      <c r="D75" t="s">
        <v>47</v>
      </c>
      <c r="E75" t="s">
        <v>13</v>
      </c>
      <c r="F75" t="s">
        <v>59</v>
      </c>
      <c r="G75">
        <v>7</v>
      </c>
      <c r="H75">
        <v>253</v>
      </c>
      <c r="I75" t="s">
        <v>15</v>
      </c>
      <c r="J75">
        <v>5</v>
      </c>
    </row>
    <row r="76" spans="1:10">
      <c r="A76" t="s">
        <v>180</v>
      </c>
      <c r="B76" t="s">
        <v>181</v>
      </c>
      <c r="C76">
        <v>1401</v>
      </c>
      <c r="D76" t="s">
        <v>26</v>
      </c>
      <c r="E76" t="s">
        <v>13</v>
      </c>
      <c r="F76" t="s">
        <v>23</v>
      </c>
      <c r="G76">
        <v>8</v>
      </c>
      <c r="H76">
        <v>196</v>
      </c>
      <c r="I76" t="s">
        <v>15</v>
      </c>
      <c r="J76">
        <v>3</v>
      </c>
    </row>
    <row r="77" spans="1:10">
      <c r="A77" t="s">
        <v>182</v>
      </c>
      <c r="B77" t="s">
        <v>183</v>
      </c>
      <c r="C77">
        <v>1780</v>
      </c>
      <c r="D77" t="s">
        <v>18</v>
      </c>
      <c r="E77" t="s">
        <v>27</v>
      </c>
      <c r="F77" t="s">
        <v>54</v>
      </c>
      <c r="G77">
        <v>100</v>
      </c>
      <c r="H77">
        <v>3400</v>
      </c>
      <c r="I77" t="s">
        <v>20</v>
      </c>
      <c r="J77">
        <v>2</v>
      </c>
    </row>
    <row r="78" spans="1:10">
      <c r="A78" t="s">
        <v>184</v>
      </c>
      <c r="B78" t="s">
        <v>185</v>
      </c>
      <c r="C78">
        <v>1773</v>
      </c>
      <c r="D78" t="s">
        <v>32</v>
      </c>
      <c r="E78" t="s">
        <v>27</v>
      </c>
      <c r="F78" t="s">
        <v>43</v>
      </c>
      <c r="G78">
        <v>75</v>
      </c>
      <c r="H78">
        <v>1890</v>
      </c>
      <c r="I78" t="s">
        <v>15</v>
      </c>
      <c r="J78">
        <v>1</v>
      </c>
    </row>
    <row r="79" spans="1:10">
      <c r="A79" t="s">
        <v>186</v>
      </c>
      <c r="B79" t="s">
        <v>187</v>
      </c>
      <c r="C79">
        <v>1827</v>
      </c>
      <c r="D79" t="s">
        <v>12</v>
      </c>
      <c r="E79" t="s">
        <v>27</v>
      </c>
      <c r="F79" t="s">
        <v>23</v>
      </c>
      <c r="G79">
        <v>110</v>
      </c>
      <c r="H79">
        <v>804</v>
      </c>
      <c r="I79" t="s">
        <v>15</v>
      </c>
    </row>
    <row r="80" spans="1:10">
      <c r="A80" t="s">
        <v>188</v>
      </c>
      <c r="B80" t="s">
        <v>189</v>
      </c>
      <c r="C80">
        <v>1320</v>
      </c>
      <c r="D80" t="s">
        <v>32</v>
      </c>
      <c r="E80" t="s">
        <v>13</v>
      </c>
      <c r="F80" t="s">
        <v>54</v>
      </c>
      <c r="G80">
        <v>12</v>
      </c>
      <c r="I80" t="s">
        <v>29</v>
      </c>
    </row>
    <row r="81" spans="1:10">
      <c r="A81" t="s">
        <v>190</v>
      </c>
      <c r="B81" t="s">
        <v>191</v>
      </c>
      <c r="C81">
        <v>1809</v>
      </c>
      <c r="D81" t="s">
        <v>32</v>
      </c>
      <c r="E81" t="s">
        <v>33</v>
      </c>
      <c r="F81" t="s">
        <v>43</v>
      </c>
      <c r="G81">
        <v>478</v>
      </c>
      <c r="H81">
        <v>7910</v>
      </c>
      <c r="I81" t="s">
        <v>15</v>
      </c>
      <c r="J81">
        <v>1</v>
      </c>
    </row>
    <row r="82" spans="1:10">
      <c r="A82" t="s">
        <v>192</v>
      </c>
      <c r="B82" t="s">
        <v>193</v>
      </c>
      <c r="C82">
        <v>1190</v>
      </c>
      <c r="D82" t="s">
        <v>12</v>
      </c>
      <c r="E82" t="s">
        <v>33</v>
      </c>
      <c r="F82" t="s">
        <v>64</v>
      </c>
      <c r="G82">
        <v>372</v>
      </c>
      <c r="I82" t="s">
        <v>29</v>
      </c>
    </row>
    <row r="83" spans="1:10">
      <c r="A83" t="s">
        <v>194</v>
      </c>
      <c r="B83" t="s">
        <v>195</v>
      </c>
      <c r="C83">
        <v>1525</v>
      </c>
      <c r="D83" t="s">
        <v>18</v>
      </c>
      <c r="E83" t="s">
        <v>33</v>
      </c>
      <c r="F83" t="s">
        <v>59</v>
      </c>
      <c r="G83">
        <v>251</v>
      </c>
      <c r="H83">
        <v>8454</v>
      </c>
      <c r="I83" t="s">
        <v>20</v>
      </c>
    </row>
    <row r="84" spans="1:10">
      <c r="A84" t="s">
        <v>196</v>
      </c>
      <c r="B84" t="s">
        <v>197</v>
      </c>
      <c r="C84">
        <v>1223</v>
      </c>
      <c r="D84" t="s">
        <v>12</v>
      </c>
      <c r="E84" t="s">
        <v>27</v>
      </c>
      <c r="F84" t="s">
        <v>23</v>
      </c>
      <c r="G84">
        <v>154</v>
      </c>
      <c r="H84">
        <v>2138</v>
      </c>
      <c r="I84" t="s">
        <v>15</v>
      </c>
      <c r="J84">
        <v>5</v>
      </c>
    </row>
    <row r="85" spans="1:10">
      <c r="A85" t="s">
        <v>198</v>
      </c>
      <c r="B85" t="s">
        <v>199</v>
      </c>
      <c r="C85">
        <v>1500</v>
      </c>
      <c r="D85" t="s">
        <v>18</v>
      </c>
      <c r="E85" t="s">
        <v>33</v>
      </c>
      <c r="F85" t="s">
        <v>64</v>
      </c>
      <c r="G85">
        <v>397</v>
      </c>
      <c r="H85">
        <v>4199</v>
      </c>
      <c r="I85" t="s">
        <v>20</v>
      </c>
      <c r="J85">
        <v>3</v>
      </c>
    </row>
    <row r="86" spans="1:10">
      <c r="A86" t="s">
        <v>200</v>
      </c>
      <c r="B86" t="s">
        <v>201</v>
      </c>
      <c r="C86">
        <v>1134</v>
      </c>
      <c r="D86" t="s">
        <v>26</v>
      </c>
      <c r="E86" t="s">
        <v>13</v>
      </c>
      <c r="F86" t="s">
        <v>54</v>
      </c>
      <c r="G86">
        <v>8</v>
      </c>
      <c r="I86" t="s">
        <v>44</v>
      </c>
    </row>
    <row r="87" spans="1:10">
      <c r="A87" t="s">
        <v>202</v>
      </c>
      <c r="B87" t="s">
        <v>203</v>
      </c>
      <c r="C87">
        <v>1988</v>
      </c>
      <c r="D87" t="s">
        <v>26</v>
      </c>
      <c r="E87" t="s">
        <v>13</v>
      </c>
      <c r="F87" t="s">
        <v>28</v>
      </c>
      <c r="G87">
        <v>9</v>
      </c>
      <c r="H87">
        <v>171</v>
      </c>
      <c r="I87" t="s">
        <v>15</v>
      </c>
    </row>
    <row r="88" spans="1:10">
      <c r="A88" t="s">
        <v>204</v>
      </c>
      <c r="B88" t="s">
        <v>205</v>
      </c>
      <c r="C88">
        <v>1483</v>
      </c>
      <c r="D88" t="s">
        <v>18</v>
      </c>
      <c r="E88" t="s">
        <v>27</v>
      </c>
      <c r="F88" t="s">
        <v>28</v>
      </c>
      <c r="G88">
        <v>38</v>
      </c>
      <c r="I88" t="s">
        <v>29</v>
      </c>
    </row>
    <row r="89" spans="1:10">
      <c r="A89" t="s">
        <v>206</v>
      </c>
      <c r="B89" t="s">
        <v>207</v>
      </c>
      <c r="C89">
        <v>1668</v>
      </c>
      <c r="D89" t="s">
        <v>26</v>
      </c>
      <c r="E89" t="s">
        <v>33</v>
      </c>
      <c r="F89" t="s">
        <v>34</v>
      </c>
      <c r="G89">
        <v>144</v>
      </c>
      <c r="I89" t="s">
        <v>29</v>
      </c>
    </row>
    <row r="90" spans="1:10">
      <c r="A90" t="s">
        <v>208</v>
      </c>
      <c r="B90" t="s">
        <v>209</v>
      </c>
      <c r="C90">
        <v>1271</v>
      </c>
      <c r="D90" t="s">
        <v>26</v>
      </c>
      <c r="E90" t="s">
        <v>33</v>
      </c>
      <c r="F90" t="s">
        <v>59</v>
      </c>
      <c r="G90">
        <v>443</v>
      </c>
      <c r="H90">
        <v>4495</v>
      </c>
      <c r="I90" t="s">
        <v>15</v>
      </c>
    </row>
    <row r="91" spans="1:10">
      <c r="A91" t="s">
        <v>210</v>
      </c>
      <c r="B91" t="s">
        <v>211</v>
      </c>
      <c r="C91">
        <v>1720</v>
      </c>
      <c r="D91" t="s">
        <v>47</v>
      </c>
      <c r="E91" t="s">
        <v>19</v>
      </c>
      <c r="F91" t="s">
        <v>28</v>
      </c>
      <c r="G91">
        <v>39</v>
      </c>
      <c r="H91">
        <v>1190</v>
      </c>
      <c r="I91" t="s">
        <v>15</v>
      </c>
      <c r="J91">
        <v>2</v>
      </c>
    </row>
    <row r="92" spans="1:10">
      <c r="A92" t="s">
        <v>212</v>
      </c>
      <c r="B92" t="s">
        <v>213</v>
      </c>
      <c r="C92">
        <v>1470</v>
      </c>
      <c r="D92" t="s">
        <v>18</v>
      </c>
      <c r="E92" t="s">
        <v>33</v>
      </c>
      <c r="F92" t="s">
        <v>54</v>
      </c>
      <c r="G92">
        <v>363</v>
      </c>
      <c r="I92" t="s">
        <v>44</v>
      </c>
    </row>
    <row r="93" spans="1:10">
      <c r="A93" t="s">
        <v>214</v>
      </c>
      <c r="B93" t="s">
        <v>215</v>
      </c>
      <c r="C93">
        <v>1646</v>
      </c>
      <c r="D93" t="s">
        <v>32</v>
      </c>
      <c r="E93" t="s">
        <v>33</v>
      </c>
      <c r="F93" t="s">
        <v>14</v>
      </c>
      <c r="G93">
        <v>278</v>
      </c>
      <c r="H93">
        <v>2252</v>
      </c>
      <c r="I93" t="s">
        <v>15</v>
      </c>
      <c r="J93">
        <v>3</v>
      </c>
    </row>
    <row r="94" spans="1:10">
      <c r="A94" t="s">
        <v>216</v>
      </c>
      <c r="B94" t="s">
        <v>217</v>
      </c>
      <c r="C94">
        <v>1486</v>
      </c>
      <c r="D94" t="s">
        <v>12</v>
      </c>
      <c r="E94" t="s">
        <v>19</v>
      </c>
      <c r="F94" t="s">
        <v>54</v>
      </c>
      <c r="G94">
        <v>28</v>
      </c>
      <c r="I94" t="s">
        <v>44</v>
      </c>
    </row>
    <row r="95" spans="1:10">
      <c r="A95" t="s">
        <v>218</v>
      </c>
      <c r="B95" t="s">
        <v>219</v>
      </c>
      <c r="C95">
        <v>1164</v>
      </c>
      <c r="D95" t="s">
        <v>32</v>
      </c>
      <c r="E95" t="s">
        <v>33</v>
      </c>
      <c r="F95" t="s">
        <v>59</v>
      </c>
      <c r="G95">
        <v>182</v>
      </c>
      <c r="H95">
        <v>5584</v>
      </c>
      <c r="I95" t="s">
        <v>15</v>
      </c>
    </row>
    <row r="96" spans="1:10">
      <c r="A96" t="s">
        <v>220</v>
      </c>
      <c r="B96" t="s">
        <v>221</v>
      </c>
      <c r="C96">
        <v>1946</v>
      </c>
      <c r="D96" t="s">
        <v>26</v>
      </c>
      <c r="E96" t="s">
        <v>19</v>
      </c>
      <c r="F96" t="s">
        <v>28</v>
      </c>
      <c r="G96">
        <v>42</v>
      </c>
      <c r="H96">
        <v>906</v>
      </c>
      <c r="I96" t="s">
        <v>20</v>
      </c>
      <c r="J96">
        <v>4</v>
      </c>
    </row>
    <row r="97" spans="1:10">
      <c r="A97" t="s">
        <v>222</v>
      </c>
      <c r="B97" t="s">
        <v>223</v>
      </c>
      <c r="C97">
        <v>1559</v>
      </c>
      <c r="D97" t="s">
        <v>47</v>
      </c>
      <c r="E97" t="s">
        <v>33</v>
      </c>
      <c r="F97" t="s">
        <v>23</v>
      </c>
      <c r="G97">
        <v>341</v>
      </c>
      <c r="H97">
        <v>6958</v>
      </c>
      <c r="I97" t="s">
        <v>15</v>
      </c>
    </row>
    <row r="98" spans="1:10">
      <c r="A98" t="s">
        <v>224</v>
      </c>
      <c r="B98" t="s">
        <v>225</v>
      </c>
      <c r="C98">
        <v>1154</v>
      </c>
      <c r="D98" t="s">
        <v>12</v>
      </c>
      <c r="E98" t="s">
        <v>27</v>
      </c>
      <c r="F98" t="s">
        <v>71</v>
      </c>
      <c r="G98">
        <v>76</v>
      </c>
      <c r="H98">
        <v>3668</v>
      </c>
      <c r="I98" t="s">
        <v>15</v>
      </c>
      <c r="J98">
        <v>3</v>
      </c>
    </row>
    <row r="99" spans="1:10">
      <c r="A99" t="s">
        <v>226</v>
      </c>
      <c r="B99" t="s">
        <v>227</v>
      </c>
      <c r="C99">
        <v>1816</v>
      </c>
      <c r="D99" t="s">
        <v>18</v>
      </c>
      <c r="E99" t="s">
        <v>19</v>
      </c>
      <c r="F99" t="s">
        <v>43</v>
      </c>
      <c r="G99">
        <v>34</v>
      </c>
      <c r="H99">
        <v>828</v>
      </c>
      <c r="I99" t="s">
        <v>15</v>
      </c>
    </row>
    <row r="100" spans="1:10">
      <c r="A100" t="s">
        <v>228</v>
      </c>
      <c r="B100" t="s">
        <v>229</v>
      </c>
      <c r="C100">
        <v>1256</v>
      </c>
      <c r="D100" t="s">
        <v>26</v>
      </c>
      <c r="E100" t="s">
        <v>27</v>
      </c>
      <c r="F100" t="s">
        <v>14</v>
      </c>
      <c r="G100">
        <v>178</v>
      </c>
      <c r="H100">
        <v>1213</v>
      </c>
      <c r="I100" t="s">
        <v>20</v>
      </c>
    </row>
    <row r="101" spans="1:10">
      <c r="A101" t="s">
        <v>230</v>
      </c>
      <c r="B101" t="s">
        <v>231</v>
      </c>
      <c r="C101">
        <v>1389</v>
      </c>
      <c r="D101" t="s">
        <v>32</v>
      </c>
      <c r="E101" t="s">
        <v>19</v>
      </c>
      <c r="F101" t="s">
        <v>59</v>
      </c>
      <c r="G101">
        <v>25</v>
      </c>
      <c r="H101">
        <v>620</v>
      </c>
      <c r="I101" t="s">
        <v>20</v>
      </c>
    </row>
    <row r="102" spans="1:10">
      <c r="A102" t="s">
        <v>232</v>
      </c>
      <c r="B102" t="s">
        <v>233</v>
      </c>
      <c r="C102">
        <v>1082</v>
      </c>
      <c r="D102" t="s">
        <v>32</v>
      </c>
      <c r="E102" t="s">
        <v>27</v>
      </c>
      <c r="F102" t="s">
        <v>59</v>
      </c>
      <c r="G102">
        <v>99</v>
      </c>
      <c r="H102">
        <v>2212</v>
      </c>
      <c r="I102" t="s">
        <v>15</v>
      </c>
    </row>
    <row r="103" spans="1:10">
      <c r="A103" t="s">
        <v>234</v>
      </c>
      <c r="B103" t="s">
        <v>235</v>
      </c>
      <c r="C103">
        <v>1957</v>
      </c>
      <c r="D103" t="s">
        <v>12</v>
      </c>
      <c r="E103" t="s">
        <v>33</v>
      </c>
      <c r="F103" t="s">
        <v>28</v>
      </c>
      <c r="G103">
        <v>125</v>
      </c>
      <c r="I103" t="s">
        <v>44</v>
      </c>
    </row>
    <row r="104" spans="1:10">
      <c r="A104" t="s">
        <v>236</v>
      </c>
      <c r="B104" t="s">
        <v>237</v>
      </c>
      <c r="C104">
        <v>1734</v>
      </c>
      <c r="D104" t="s">
        <v>26</v>
      </c>
      <c r="E104" t="s">
        <v>13</v>
      </c>
      <c r="F104" t="s">
        <v>64</v>
      </c>
      <c r="G104">
        <v>3</v>
      </c>
      <c r="H104">
        <v>143</v>
      </c>
      <c r="I104" t="s">
        <v>15</v>
      </c>
    </row>
    <row r="105" spans="1:10">
      <c r="A105" t="s">
        <v>238</v>
      </c>
      <c r="B105" t="s">
        <v>239</v>
      </c>
      <c r="C105">
        <v>1716</v>
      </c>
      <c r="D105" t="s">
        <v>18</v>
      </c>
      <c r="E105" t="s">
        <v>27</v>
      </c>
      <c r="F105" t="s">
        <v>54</v>
      </c>
      <c r="G105">
        <v>125</v>
      </c>
      <c r="H105">
        <v>1101</v>
      </c>
      <c r="I105" t="s">
        <v>15</v>
      </c>
      <c r="J105">
        <v>1</v>
      </c>
    </row>
    <row r="106" spans="1:10">
      <c r="A106" t="s">
        <v>240</v>
      </c>
      <c r="B106" t="s">
        <v>241</v>
      </c>
      <c r="C106">
        <v>1559</v>
      </c>
      <c r="D106" t="s">
        <v>26</v>
      </c>
      <c r="E106" t="s">
        <v>13</v>
      </c>
      <c r="F106" t="s">
        <v>54</v>
      </c>
      <c r="G106">
        <v>2</v>
      </c>
      <c r="I106" t="s">
        <v>44</v>
      </c>
    </row>
    <row r="107" spans="1:10">
      <c r="A107" t="s">
        <v>242</v>
      </c>
      <c r="B107" t="s">
        <v>243</v>
      </c>
      <c r="C107">
        <v>1997</v>
      </c>
      <c r="D107" t="s">
        <v>12</v>
      </c>
      <c r="E107" t="s">
        <v>33</v>
      </c>
      <c r="F107" t="s">
        <v>64</v>
      </c>
      <c r="G107">
        <v>116</v>
      </c>
      <c r="I107" t="s">
        <v>29</v>
      </c>
    </row>
    <row r="108" spans="1:10">
      <c r="A108" t="s">
        <v>244</v>
      </c>
      <c r="B108" t="s">
        <v>245</v>
      </c>
      <c r="C108">
        <v>1783</v>
      </c>
      <c r="D108" t="s">
        <v>26</v>
      </c>
      <c r="E108" t="s">
        <v>27</v>
      </c>
      <c r="F108" t="s">
        <v>43</v>
      </c>
      <c r="G108">
        <v>29</v>
      </c>
      <c r="H108">
        <v>1884</v>
      </c>
      <c r="I108" t="s">
        <v>15</v>
      </c>
    </row>
    <row r="109" spans="1:10">
      <c r="A109" t="s">
        <v>246</v>
      </c>
      <c r="B109" t="s">
        <v>247</v>
      </c>
      <c r="C109">
        <v>1520</v>
      </c>
      <c r="D109" t="s">
        <v>26</v>
      </c>
      <c r="E109" t="s">
        <v>13</v>
      </c>
      <c r="F109" t="s">
        <v>64</v>
      </c>
      <c r="G109">
        <v>11</v>
      </c>
      <c r="H109">
        <v>268</v>
      </c>
      <c r="I109" t="s">
        <v>20</v>
      </c>
    </row>
    <row r="110" spans="1:10">
      <c r="A110" t="s">
        <v>248</v>
      </c>
      <c r="B110" t="s">
        <v>249</v>
      </c>
      <c r="C110">
        <v>1166</v>
      </c>
      <c r="D110" t="s">
        <v>18</v>
      </c>
      <c r="E110" t="s">
        <v>13</v>
      </c>
      <c r="F110" t="s">
        <v>43</v>
      </c>
      <c r="G110">
        <v>6</v>
      </c>
      <c r="H110">
        <v>234</v>
      </c>
      <c r="I110" t="s">
        <v>15</v>
      </c>
    </row>
    <row r="111" spans="1:10">
      <c r="A111" t="s">
        <v>250</v>
      </c>
      <c r="B111" t="s">
        <v>251</v>
      </c>
      <c r="C111">
        <v>1962</v>
      </c>
      <c r="D111" t="s">
        <v>18</v>
      </c>
      <c r="E111" t="s">
        <v>27</v>
      </c>
      <c r="F111" t="s">
        <v>23</v>
      </c>
      <c r="G111">
        <v>117</v>
      </c>
      <c r="H111">
        <v>1427</v>
      </c>
      <c r="I111" t="s">
        <v>20</v>
      </c>
      <c r="J111">
        <v>5</v>
      </c>
    </row>
    <row r="112" spans="1:10">
      <c r="A112" t="s">
        <v>252</v>
      </c>
      <c r="B112" t="s">
        <v>253</v>
      </c>
      <c r="C112">
        <v>1349</v>
      </c>
      <c r="D112" t="s">
        <v>12</v>
      </c>
      <c r="E112" t="s">
        <v>27</v>
      </c>
      <c r="F112" t="s">
        <v>43</v>
      </c>
      <c r="G112">
        <v>44</v>
      </c>
      <c r="H112">
        <v>537</v>
      </c>
      <c r="I112" t="s">
        <v>15</v>
      </c>
      <c r="J112">
        <v>4</v>
      </c>
    </row>
    <row r="113" spans="1:10">
      <c r="A113" t="s">
        <v>254</v>
      </c>
      <c r="B113" t="s">
        <v>255</v>
      </c>
      <c r="C113">
        <v>1289</v>
      </c>
      <c r="D113" t="s">
        <v>32</v>
      </c>
      <c r="E113" t="s">
        <v>33</v>
      </c>
      <c r="F113" t="s">
        <v>34</v>
      </c>
      <c r="G113">
        <v>448</v>
      </c>
      <c r="H113">
        <v>6622</v>
      </c>
      <c r="I113" t="s">
        <v>15</v>
      </c>
      <c r="J113">
        <v>2</v>
      </c>
    </row>
    <row r="114" spans="1:10">
      <c r="A114" t="s">
        <v>256</v>
      </c>
      <c r="B114" t="s">
        <v>257</v>
      </c>
      <c r="C114">
        <v>1175</v>
      </c>
      <c r="D114" t="s">
        <v>18</v>
      </c>
      <c r="E114" t="s">
        <v>27</v>
      </c>
      <c r="F114" t="s">
        <v>54</v>
      </c>
      <c r="G114">
        <v>165</v>
      </c>
      <c r="H114">
        <v>1120</v>
      </c>
      <c r="I114" t="s">
        <v>15</v>
      </c>
    </row>
    <row r="115" spans="1:10">
      <c r="A115" t="s">
        <v>258</v>
      </c>
      <c r="B115" t="s">
        <v>259</v>
      </c>
      <c r="C115">
        <v>1246</v>
      </c>
      <c r="D115" t="s">
        <v>12</v>
      </c>
      <c r="E115" t="s">
        <v>27</v>
      </c>
      <c r="F115" t="s">
        <v>28</v>
      </c>
      <c r="G115">
        <v>173</v>
      </c>
      <c r="H115">
        <v>2640</v>
      </c>
      <c r="I115" t="s">
        <v>15</v>
      </c>
      <c r="J115">
        <v>1</v>
      </c>
    </row>
    <row r="116" spans="1:10">
      <c r="A116" t="s">
        <v>260</v>
      </c>
      <c r="B116" t="s">
        <v>261</v>
      </c>
      <c r="C116">
        <v>1064</v>
      </c>
      <c r="D116" t="s">
        <v>32</v>
      </c>
      <c r="E116" t="s">
        <v>13</v>
      </c>
      <c r="F116" t="s">
        <v>54</v>
      </c>
      <c r="G116">
        <v>4</v>
      </c>
      <c r="I116" t="s">
        <v>44</v>
      </c>
    </row>
    <row r="117" spans="1:10">
      <c r="A117" t="s">
        <v>262</v>
      </c>
      <c r="B117" t="s">
        <v>263</v>
      </c>
      <c r="C117">
        <v>1545</v>
      </c>
      <c r="D117" t="s">
        <v>18</v>
      </c>
      <c r="E117" t="s">
        <v>27</v>
      </c>
      <c r="F117" t="s">
        <v>59</v>
      </c>
      <c r="G117">
        <v>52</v>
      </c>
      <c r="H117">
        <v>2361</v>
      </c>
      <c r="I117" t="s">
        <v>20</v>
      </c>
      <c r="J117">
        <v>3</v>
      </c>
    </row>
    <row r="118" spans="1:10">
      <c r="A118" t="s">
        <v>264</v>
      </c>
      <c r="B118" t="s">
        <v>265</v>
      </c>
      <c r="C118">
        <v>1775</v>
      </c>
      <c r="D118" t="s">
        <v>32</v>
      </c>
      <c r="E118" t="s">
        <v>13</v>
      </c>
      <c r="F118" t="s">
        <v>54</v>
      </c>
      <c r="G118">
        <v>9</v>
      </c>
      <c r="H118">
        <v>428</v>
      </c>
      <c r="I118" t="s">
        <v>15</v>
      </c>
      <c r="J118">
        <v>3</v>
      </c>
    </row>
    <row r="119" spans="1:10">
      <c r="A119" t="s">
        <v>266</v>
      </c>
      <c r="B119" t="s">
        <v>267</v>
      </c>
      <c r="C119">
        <v>1188</v>
      </c>
      <c r="D119" t="s">
        <v>26</v>
      </c>
      <c r="E119" t="s">
        <v>27</v>
      </c>
      <c r="F119" t="s">
        <v>34</v>
      </c>
      <c r="G119">
        <v>163</v>
      </c>
      <c r="H119">
        <v>3541</v>
      </c>
      <c r="I119" t="s">
        <v>15</v>
      </c>
      <c r="J119">
        <v>3</v>
      </c>
    </row>
    <row r="120" spans="1:10">
      <c r="A120" t="s">
        <v>268</v>
      </c>
      <c r="B120" t="s">
        <v>269</v>
      </c>
      <c r="C120">
        <v>1703</v>
      </c>
      <c r="D120" t="s">
        <v>18</v>
      </c>
      <c r="E120" t="s">
        <v>33</v>
      </c>
      <c r="F120" t="s">
        <v>28</v>
      </c>
      <c r="G120">
        <v>352</v>
      </c>
      <c r="H120">
        <v>8671</v>
      </c>
      <c r="I120" t="s">
        <v>15</v>
      </c>
      <c r="J120">
        <v>1</v>
      </c>
    </row>
    <row r="121" spans="1:10">
      <c r="A121" t="s">
        <v>270</v>
      </c>
      <c r="B121" t="s">
        <v>271</v>
      </c>
      <c r="C121">
        <v>1163</v>
      </c>
      <c r="D121" t="s">
        <v>26</v>
      </c>
      <c r="E121" t="s">
        <v>19</v>
      </c>
      <c r="F121" t="s">
        <v>54</v>
      </c>
      <c r="G121">
        <v>42</v>
      </c>
      <c r="H121">
        <v>520</v>
      </c>
      <c r="I121" t="s">
        <v>15</v>
      </c>
      <c r="J121">
        <v>5</v>
      </c>
    </row>
    <row r="122" spans="1:10">
      <c r="A122" t="s">
        <v>272</v>
      </c>
      <c r="B122" t="s">
        <v>273</v>
      </c>
      <c r="C122">
        <v>1301</v>
      </c>
      <c r="D122" t="s">
        <v>32</v>
      </c>
      <c r="E122" t="s">
        <v>19</v>
      </c>
      <c r="F122" t="s">
        <v>64</v>
      </c>
      <c r="G122">
        <v>21</v>
      </c>
      <c r="H122">
        <v>719</v>
      </c>
      <c r="I122" t="s">
        <v>15</v>
      </c>
      <c r="J122">
        <v>3</v>
      </c>
    </row>
    <row r="123" spans="1:10">
      <c r="A123" t="s">
        <v>274</v>
      </c>
      <c r="B123" t="s">
        <v>275</v>
      </c>
      <c r="C123">
        <v>1131</v>
      </c>
      <c r="D123" t="s">
        <v>32</v>
      </c>
      <c r="E123" t="s">
        <v>27</v>
      </c>
      <c r="F123" t="s">
        <v>28</v>
      </c>
      <c r="G123">
        <v>43</v>
      </c>
      <c r="H123">
        <v>2951</v>
      </c>
      <c r="I123" t="s">
        <v>15</v>
      </c>
      <c r="J123">
        <v>1</v>
      </c>
    </row>
    <row r="124" spans="1:10">
      <c r="A124" t="s">
        <v>276</v>
      </c>
      <c r="B124" t="s">
        <v>277</v>
      </c>
      <c r="C124">
        <v>1499</v>
      </c>
      <c r="D124" t="s">
        <v>18</v>
      </c>
      <c r="E124" t="s">
        <v>33</v>
      </c>
      <c r="F124" t="s">
        <v>23</v>
      </c>
      <c r="G124">
        <v>474</v>
      </c>
      <c r="H124">
        <v>7762</v>
      </c>
      <c r="I124" t="s">
        <v>20</v>
      </c>
      <c r="J124">
        <v>4</v>
      </c>
    </row>
    <row r="125" spans="1:10">
      <c r="A125" t="s">
        <v>278</v>
      </c>
      <c r="B125" t="s">
        <v>279</v>
      </c>
      <c r="C125">
        <v>1990</v>
      </c>
      <c r="D125" t="s">
        <v>26</v>
      </c>
      <c r="E125" t="s">
        <v>13</v>
      </c>
      <c r="F125" t="s">
        <v>34</v>
      </c>
      <c r="G125">
        <v>3</v>
      </c>
      <c r="H125">
        <v>407</v>
      </c>
      <c r="I125" t="s">
        <v>15</v>
      </c>
      <c r="J125">
        <v>4</v>
      </c>
    </row>
    <row r="126" spans="1:10">
      <c r="A126" t="s">
        <v>280</v>
      </c>
      <c r="B126" t="s">
        <v>281</v>
      </c>
      <c r="C126">
        <v>1235</v>
      </c>
      <c r="D126" t="s">
        <v>12</v>
      </c>
      <c r="E126" t="s">
        <v>13</v>
      </c>
      <c r="F126" t="s">
        <v>59</v>
      </c>
      <c r="G126">
        <v>11</v>
      </c>
      <c r="I126" t="s">
        <v>44</v>
      </c>
    </row>
    <row r="127" spans="1:10">
      <c r="A127" t="s">
        <v>282</v>
      </c>
      <c r="B127" t="s">
        <v>283</v>
      </c>
      <c r="C127">
        <v>1898</v>
      </c>
      <c r="D127" t="s">
        <v>18</v>
      </c>
      <c r="E127" t="s">
        <v>33</v>
      </c>
      <c r="F127" t="s">
        <v>54</v>
      </c>
      <c r="G127">
        <v>132</v>
      </c>
      <c r="H127">
        <v>5609</v>
      </c>
      <c r="I127" t="s">
        <v>15</v>
      </c>
      <c r="J127">
        <v>5</v>
      </c>
    </row>
    <row r="128" spans="1:10">
      <c r="A128" t="s">
        <v>284</v>
      </c>
      <c r="B128" t="s">
        <v>285</v>
      </c>
      <c r="C128">
        <v>1843</v>
      </c>
      <c r="D128" t="s">
        <v>26</v>
      </c>
      <c r="E128" t="s">
        <v>19</v>
      </c>
      <c r="F128" t="s">
        <v>54</v>
      </c>
      <c r="G128">
        <v>44</v>
      </c>
      <c r="H128">
        <v>690</v>
      </c>
      <c r="I128" t="s">
        <v>15</v>
      </c>
      <c r="J128">
        <v>3</v>
      </c>
    </row>
    <row r="129" spans="1:10">
      <c r="A129" t="s">
        <v>286</v>
      </c>
      <c r="B129" t="s">
        <v>287</v>
      </c>
      <c r="C129">
        <v>1876</v>
      </c>
      <c r="D129" t="s">
        <v>12</v>
      </c>
      <c r="E129" t="s">
        <v>13</v>
      </c>
      <c r="F129" t="s">
        <v>23</v>
      </c>
      <c r="G129">
        <v>7</v>
      </c>
      <c r="H129">
        <v>83</v>
      </c>
      <c r="I129" t="s">
        <v>15</v>
      </c>
    </row>
    <row r="130" spans="1:10">
      <c r="A130" t="s">
        <v>288</v>
      </c>
      <c r="B130" t="s">
        <v>289</v>
      </c>
      <c r="C130">
        <v>1172</v>
      </c>
      <c r="D130" t="s">
        <v>18</v>
      </c>
      <c r="E130" t="s">
        <v>13</v>
      </c>
      <c r="F130" t="s">
        <v>59</v>
      </c>
      <c r="G130">
        <v>6</v>
      </c>
      <c r="H130">
        <v>167</v>
      </c>
      <c r="I130" t="s">
        <v>15</v>
      </c>
      <c r="J130">
        <v>1</v>
      </c>
    </row>
    <row r="131" spans="1:10">
      <c r="A131" t="s">
        <v>290</v>
      </c>
      <c r="B131" t="s">
        <v>291</v>
      </c>
      <c r="C131">
        <v>1620</v>
      </c>
      <c r="D131" t="s">
        <v>12</v>
      </c>
      <c r="E131" t="s">
        <v>13</v>
      </c>
      <c r="F131" t="s">
        <v>23</v>
      </c>
      <c r="G131">
        <v>7</v>
      </c>
      <c r="H131">
        <v>74</v>
      </c>
      <c r="I131" t="s">
        <v>20</v>
      </c>
      <c r="J131">
        <v>1</v>
      </c>
    </row>
    <row r="132" spans="1:10">
      <c r="A132" t="s">
        <v>292</v>
      </c>
      <c r="B132" t="s">
        <v>293</v>
      </c>
      <c r="C132">
        <v>1963</v>
      </c>
      <c r="D132" t="s">
        <v>12</v>
      </c>
      <c r="E132" t="s">
        <v>19</v>
      </c>
      <c r="F132" t="s">
        <v>43</v>
      </c>
      <c r="G132">
        <v>21</v>
      </c>
      <c r="H132">
        <v>209</v>
      </c>
      <c r="I132" t="s">
        <v>15</v>
      </c>
      <c r="J132">
        <v>1</v>
      </c>
    </row>
    <row r="133" spans="1:10">
      <c r="A133" t="s">
        <v>294</v>
      </c>
      <c r="B133" t="s">
        <v>295</v>
      </c>
      <c r="C133">
        <v>1178</v>
      </c>
      <c r="D133" t="s">
        <v>32</v>
      </c>
      <c r="E133" t="s">
        <v>33</v>
      </c>
      <c r="F133" t="s">
        <v>43</v>
      </c>
      <c r="G133">
        <v>360</v>
      </c>
      <c r="H133">
        <v>4951</v>
      </c>
      <c r="I133" t="s">
        <v>15</v>
      </c>
    </row>
    <row r="134" spans="1:10">
      <c r="A134" t="s">
        <v>296</v>
      </c>
      <c r="B134" t="s">
        <v>297</v>
      </c>
      <c r="C134">
        <v>1100</v>
      </c>
      <c r="D134" t="s">
        <v>18</v>
      </c>
      <c r="E134" t="s">
        <v>19</v>
      </c>
      <c r="F134" t="s">
        <v>34</v>
      </c>
      <c r="G134">
        <v>26</v>
      </c>
      <c r="H134">
        <v>1110</v>
      </c>
      <c r="I134" t="s">
        <v>15</v>
      </c>
    </row>
    <row r="135" spans="1:10">
      <c r="A135" t="s">
        <v>298</v>
      </c>
      <c r="B135" t="s">
        <v>299</v>
      </c>
      <c r="C135">
        <v>1154</v>
      </c>
      <c r="D135" t="s">
        <v>26</v>
      </c>
      <c r="E135" t="s">
        <v>19</v>
      </c>
      <c r="F135" t="s">
        <v>23</v>
      </c>
      <c r="G135">
        <v>17</v>
      </c>
      <c r="H135">
        <v>651</v>
      </c>
      <c r="I135" t="s">
        <v>20</v>
      </c>
      <c r="J135">
        <v>3</v>
      </c>
    </row>
    <row r="136" spans="1:10">
      <c r="A136" t="s">
        <v>300</v>
      </c>
      <c r="B136" t="s">
        <v>301</v>
      </c>
      <c r="C136">
        <v>1845</v>
      </c>
      <c r="D136" t="s">
        <v>12</v>
      </c>
      <c r="E136" t="s">
        <v>13</v>
      </c>
      <c r="F136" t="s">
        <v>28</v>
      </c>
      <c r="G136">
        <v>6</v>
      </c>
      <c r="H136">
        <v>207</v>
      </c>
      <c r="I136" t="s">
        <v>20</v>
      </c>
      <c r="J136">
        <v>5</v>
      </c>
    </row>
    <row r="137" spans="1:10">
      <c r="A137" t="s">
        <v>302</v>
      </c>
      <c r="B137" t="s">
        <v>303</v>
      </c>
      <c r="C137">
        <v>1154</v>
      </c>
      <c r="D137" t="s">
        <v>12</v>
      </c>
      <c r="E137" t="s">
        <v>13</v>
      </c>
      <c r="F137" t="s">
        <v>64</v>
      </c>
      <c r="G137">
        <v>6</v>
      </c>
      <c r="H137">
        <v>230</v>
      </c>
      <c r="I137" t="s">
        <v>15</v>
      </c>
    </row>
    <row r="138" spans="1:10">
      <c r="A138" t="s">
        <v>304</v>
      </c>
      <c r="B138" t="s">
        <v>305</v>
      </c>
      <c r="C138">
        <v>1269</v>
      </c>
      <c r="D138" t="s">
        <v>26</v>
      </c>
      <c r="E138" t="s">
        <v>27</v>
      </c>
      <c r="F138" t="s">
        <v>54</v>
      </c>
      <c r="G138">
        <v>88</v>
      </c>
      <c r="H138">
        <v>2568</v>
      </c>
      <c r="I138" t="s">
        <v>15</v>
      </c>
    </row>
    <row r="139" spans="1:10">
      <c r="A139" t="s">
        <v>306</v>
      </c>
      <c r="B139" t="s">
        <v>307</v>
      </c>
      <c r="C139">
        <v>1391</v>
      </c>
      <c r="D139" t="s">
        <v>26</v>
      </c>
      <c r="E139" t="s">
        <v>27</v>
      </c>
      <c r="F139" t="s">
        <v>43</v>
      </c>
      <c r="G139">
        <v>35</v>
      </c>
      <c r="I139" t="s">
        <v>44</v>
      </c>
    </row>
    <row r="140" spans="1:10">
      <c r="A140" t="s">
        <v>308</v>
      </c>
      <c r="B140" t="s">
        <v>309</v>
      </c>
      <c r="C140">
        <v>1585</v>
      </c>
      <c r="D140" t="s">
        <v>32</v>
      </c>
      <c r="E140" t="s">
        <v>19</v>
      </c>
      <c r="F140" t="s">
        <v>28</v>
      </c>
      <c r="G140">
        <v>38</v>
      </c>
      <c r="H140">
        <v>283</v>
      </c>
      <c r="I140" t="s">
        <v>20</v>
      </c>
      <c r="J140">
        <v>5</v>
      </c>
    </row>
    <row r="141" spans="1:10">
      <c r="A141" t="s">
        <v>310</v>
      </c>
      <c r="B141" t="s">
        <v>311</v>
      </c>
      <c r="C141">
        <v>1601</v>
      </c>
      <c r="D141" t="s">
        <v>12</v>
      </c>
      <c r="E141" t="s">
        <v>27</v>
      </c>
      <c r="F141" t="s">
        <v>64</v>
      </c>
      <c r="G141">
        <v>88</v>
      </c>
      <c r="H141">
        <v>448</v>
      </c>
      <c r="I141" t="s">
        <v>15</v>
      </c>
      <c r="J141">
        <v>3</v>
      </c>
    </row>
    <row r="142" spans="1:10">
      <c r="A142" t="s">
        <v>312</v>
      </c>
      <c r="B142" t="s">
        <v>313</v>
      </c>
      <c r="C142">
        <v>1074</v>
      </c>
      <c r="D142" t="s">
        <v>12</v>
      </c>
      <c r="E142" t="s">
        <v>19</v>
      </c>
      <c r="F142" t="s">
        <v>14</v>
      </c>
      <c r="G142">
        <v>17</v>
      </c>
      <c r="H142">
        <v>142</v>
      </c>
      <c r="I142" t="s">
        <v>20</v>
      </c>
    </row>
    <row r="143" spans="1:10">
      <c r="A143" t="s">
        <v>314</v>
      </c>
      <c r="B143" t="s">
        <v>315</v>
      </c>
      <c r="C143">
        <v>1105</v>
      </c>
      <c r="D143" t="s">
        <v>18</v>
      </c>
      <c r="E143" t="s">
        <v>27</v>
      </c>
      <c r="F143" t="s">
        <v>71</v>
      </c>
      <c r="G143">
        <v>112</v>
      </c>
      <c r="H143">
        <v>1235</v>
      </c>
      <c r="I143" t="s">
        <v>15</v>
      </c>
    </row>
    <row r="144" spans="1:10">
      <c r="A144" t="s">
        <v>316</v>
      </c>
      <c r="B144" t="s">
        <v>317</v>
      </c>
      <c r="C144">
        <v>1793</v>
      </c>
      <c r="D144" t="s">
        <v>47</v>
      </c>
      <c r="E144" t="s">
        <v>33</v>
      </c>
      <c r="F144" t="s">
        <v>59</v>
      </c>
      <c r="G144">
        <v>363</v>
      </c>
      <c r="I144" t="s">
        <v>44</v>
      </c>
    </row>
    <row r="145" spans="1:10">
      <c r="A145" t="s">
        <v>318</v>
      </c>
      <c r="B145" t="s">
        <v>319</v>
      </c>
      <c r="C145">
        <v>1587</v>
      </c>
      <c r="D145" t="s">
        <v>26</v>
      </c>
      <c r="E145" t="s">
        <v>13</v>
      </c>
      <c r="F145" t="s">
        <v>23</v>
      </c>
      <c r="G145">
        <v>11</v>
      </c>
      <c r="H145">
        <v>420</v>
      </c>
      <c r="I145" t="s">
        <v>15</v>
      </c>
    </row>
    <row r="146" spans="1:10">
      <c r="A146" t="s">
        <v>320</v>
      </c>
      <c r="B146" t="s">
        <v>321</v>
      </c>
      <c r="C146">
        <v>1545</v>
      </c>
      <c r="D146" t="s">
        <v>32</v>
      </c>
      <c r="E146" t="s">
        <v>27</v>
      </c>
      <c r="F146" t="s">
        <v>43</v>
      </c>
      <c r="G146">
        <v>128</v>
      </c>
      <c r="H146">
        <v>670</v>
      </c>
      <c r="I146" t="s">
        <v>20</v>
      </c>
      <c r="J146">
        <v>1</v>
      </c>
    </row>
    <row r="147" spans="1:10">
      <c r="A147" t="s">
        <v>322</v>
      </c>
      <c r="B147" t="s">
        <v>323</v>
      </c>
      <c r="C147">
        <v>1743</v>
      </c>
      <c r="D147" t="s">
        <v>18</v>
      </c>
      <c r="E147" t="s">
        <v>33</v>
      </c>
      <c r="F147" t="s">
        <v>54</v>
      </c>
      <c r="G147">
        <v>402</v>
      </c>
      <c r="H147">
        <v>5495</v>
      </c>
      <c r="I147" t="s">
        <v>15</v>
      </c>
      <c r="J147">
        <v>4</v>
      </c>
    </row>
    <row r="148" spans="1:10">
      <c r="A148" t="s">
        <v>324</v>
      </c>
      <c r="B148" t="s">
        <v>325</v>
      </c>
      <c r="C148">
        <v>1549</v>
      </c>
      <c r="D148" t="s">
        <v>12</v>
      </c>
      <c r="E148" t="s">
        <v>19</v>
      </c>
      <c r="F148" t="s">
        <v>28</v>
      </c>
      <c r="G148">
        <v>13</v>
      </c>
      <c r="H148">
        <v>1019</v>
      </c>
      <c r="I148" t="s">
        <v>15</v>
      </c>
    </row>
    <row r="149" spans="1:10">
      <c r="A149" t="s">
        <v>326</v>
      </c>
      <c r="B149" t="s">
        <v>327</v>
      </c>
      <c r="C149">
        <v>1141</v>
      </c>
      <c r="D149" t="s">
        <v>26</v>
      </c>
      <c r="E149" t="s">
        <v>27</v>
      </c>
      <c r="F149" t="s">
        <v>54</v>
      </c>
      <c r="G149">
        <v>101</v>
      </c>
      <c r="H149">
        <v>2593</v>
      </c>
      <c r="I149" t="s">
        <v>15</v>
      </c>
      <c r="J149">
        <v>2</v>
      </c>
    </row>
    <row r="150" spans="1:10">
      <c r="A150" t="s">
        <v>328</v>
      </c>
      <c r="B150" t="s">
        <v>329</v>
      </c>
      <c r="C150">
        <v>1472</v>
      </c>
      <c r="D150" t="s">
        <v>18</v>
      </c>
      <c r="E150" t="s">
        <v>19</v>
      </c>
      <c r="F150" t="s">
        <v>59</v>
      </c>
      <c r="G150">
        <v>35</v>
      </c>
      <c r="H150">
        <v>688</v>
      </c>
      <c r="I150" t="s">
        <v>15</v>
      </c>
    </row>
    <row r="151" spans="1:10">
      <c r="A151" t="s">
        <v>330</v>
      </c>
      <c r="B151" t="s">
        <v>331</v>
      </c>
      <c r="C151">
        <v>1918</v>
      </c>
      <c r="D151" t="s">
        <v>47</v>
      </c>
      <c r="E151" t="s">
        <v>27</v>
      </c>
      <c r="F151" t="s">
        <v>59</v>
      </c>
      <c r="G151">
        <v>128</v>
      </c>
      <c r="H151">
        <v>1600</v>
      </c>
      <c r="I151" t="s">
        <v>15</v>
      </c>
      <c r="J151">
        <v>5</v>
      </c>
    </row>
    <row r="152" spans="1:10">
      <c r="A152" t="s">
        <v>332</v>
      </c>
      <c r="B152" t="s">
        <v>333</v>
      </c>
      <c r="C152">
        <v>1584</v>
      </c>
      <c r="D152" t="s">
        <v>12</v>
      </c>
      <c r="E152" t="s">
        <v>13</v>
      </c>
      <c r="F152" t="s">
        <v>71</v>
      </c>
      <c r="G152">
        <v>9</v>
      </c>
      <c r="H152">
        <v>114</v>
      </c>
      <c r="I152" t="s">
        <v>20</v>
      </c>
      <c r="J152">
        <v>4</v>
      </c>
    </row>
    <row r="153" spans="1:10">
      <c r="A153" t="s">
        <v>334</v>
      </c>
      <c r="B153" t="s">
        <v>335</v>
      </c>
      <c r="C153">
        <v>1715</v>
      </c>
      <c r="D153" t="s">
        <v>47</v>
      </c>
      <c r="E153" t="s">
        <v>13</v>
      </c>
      <c r="F153" t="s">
        <v>71</v>
      </c>
      <c r="G153">
        <v>5</v>
      </c>
      <c r="H153">
        <v>392</v>
      </c>
      <c r="I153" t="s">
        <v>15</v>
      </c>
      <c r="J153">
        <v>1</v>
      </c>
    </row>
    <row r="154" spans="1:10">
      <c r="A154" t="s">
        <v>336</v>
      </c>
      <c r="B154" t="s">
        <v>337</v>
      </c>
      <c r="C154">
        <v>1162</v>
      </c>
      <c r="D154" t="s">
        <v>18</v>
      </c>
      <c r="E154" t="s">
        <v>27</v>
      </c>
      <c r="F154" t="s">
        <v>59</v>
      </c>
      <c r="G154">
        <v>160</v>
      </c>
      <c r="H154">
        <v>2242</v>
      </c>
      <c r="I154" t="s">
        <v>20</v>
      </c>
      <c r="J154">
        <v>5</v>
      </c>
    </row>
    <row r="155" spans="1:10">
      <c r="A155" t="s">
        <v>338</v>
      </c>
      <c r="B155" t="s">
        <v>339</v>
      </c>
      <c r="C155">
        <v>1401</v>
      </c>
      <c r="D155" t="s">
        <v>26</v>
      </c>
      <c r="E155" t="s">
        <v>19</v>
      </c>
      <c r="F155" t="s">
        <v>71</v>
      </c>
      <c r="G155">
        <v>25</v>
      </c>
      <c r="H155">
        <v>852</v>
      </c>
      <c r="I155" t="s">
        <v>15</v>
      </c>
      <c r="J155">
        <v>3</v>
      </c>
    </row>
    <row r="156" spans="1:10">
      <c r="A156" t="s">
        <v>340</v>
      </c>
      <c r="B156" t="s">
        <v>341</v>
      </c>
      <c r="C156">
        <v>1658</v>
      </c>
      <c r="D156" t="s">
        <v>12</v>
      </c>
      <c r="E156" t="s">
        <v>19</v>
      </c>
      <c r="F156" t="s">
        <v>54</v>
      </c>
      <c r="G156">
        <v>15</v>
      </c>
      <c r="I156" t="s">
        <v>44</v>
      </c>
    </row>
    <row r="157" spans="1:10">
      <c r="A157" t="s">
        <v>342</v>
      </c>
      <c r="B157" t="s">
        <v>343</v>
      </c>
      <c r="C157">
        <v>1166</v>
      </c>
      <c r="D157" t="s">
        <v>32</v>
      </c>
      <c r="E157" t="s">
        <v>33</v>
      </c>
      <c r="F157" t="s">
        <v>14</v>
      </c>
      <c r="G157">
        <v>368</v>
      </c>
      <c r="H157">
        <v>2029</v>
      </c>
      <c r="I157" t="s">
        <v>15</v>
      </c>
      <c r="J157">
        <v>3</v>
      </c>
    </row>
    <row r="158" spans="1:10">
      <c r="A158" t="s">
        <v>344</v>
      </c>
      <c r="B158" t="s">
        <v>345</v>
      </c>
      <c r="C158">
        <v>1847</v>
      </c>
      <c r="D158" t="s">
        <v>18</v>
      </c>
      <c r="E158" t="s">
        <v>27</v>
      </c>
      <c r="F158" t="s">
        <v>14</v>
      </c>
      <c r="G158">
        <v>54</v>
      </c>
      <c r="H158">
        <v>1096</v>
      </c>
      <c r="I158" t="s">
        <v>20</v>
      </c>
    </row>
    <row r="159" spans="1:10">
      <c r="A159" t="s">
        <v>346</v>
      </c>
      <c r="B159" t="s">
        <v>347</v>
      </c>
      <c r="C159">
        <v>1295</v>
      </c>
      <c r="D159" t="s">
        <v>32</v>
      </c>
      <c r="E159" t="s">
        <v>33</v>
      </c>
      <c r="F159" t="s">
        <v>59</v>
      </c>
      <c r="G159">
        <v>75</v>
      </c>
      <c r="I159" t="s">
        <v>44</v>
      </c>
    </row>
    <row r="160" spans="1:10">
      <c r="A160" t="s">
        <v>348</v>
      </c>
      <c r="B160" t="s">
        <v>349</v>
      </c>
      <c r="C160">
        <v>1767</v>
      </c>
      <c r="D160" t="s">
        <v>18</v>
      </c>
      <c r="E160" t="s">
        <v>19</v>
      </c>
      <c r="F160" t="s">
        <v>54</v>
      </c>
      <c r="G160">
        <v>14</v>
      </c>
      <c r="H160">
        <v>804</v>
      </c>
      <c r="I160" t="s">
        <v>15</v>
      </c>
    </row>
    <row r="161" spans="1:10">
      <c r="A161" t="s">
        <v>350</v>
      </c>
      <c r="B161" t="s">
        <v>351</v>
      </c>
      <c r="C161">
        <v>1184</v>
      </c>
      <c r="D161" t="s">
        <v>12</v>
      </c>
      <c r="E161" t="s">
        <v>27</v>
      </c>
      <c r="F161" t="s">
        <v>59</v>
      </c>
      <c r="G161">
        <v>70</v>
      </c>
      <c r="H161">
        <v>2718</v>
      </c>
      <c r="I161" t="s">
        <v>15</v>
      </c>
      <c r="J161">
        <v>1</v>
      </c>
    </row>
    <row r="162" spans="1:10">
      <c r="A162" t="s">
        <v>352</v>
      </c>
      <c r="B162" t="s">
        <v>353</v>
      </c>
      <c r="C162">
        <v>1368</v>
      </c>
      <c r="D162" t="s">
        <v>26</v>
      </c>
      <c r="E162" t="s">
        <v>33</v>
      </c>
      <c r="F162" t="s">
        <v>64</v>
      </c>
      <c r="G162">
        <v>270</v>
      </c>
      <c r="H162">
        <v>5143</v>
      </c>
      <c r="I162" t="s">
        <v>15</v>
      </c>
    </row>
    <row r="163" spans="1:10">
      <c r="A163" t="s">
        <v>354</v>
      </c>
      <c r="B163" t="s">
        <v>355</v>
      </c>
      <c r="C163">
        <v>1307</v>
      </c>
      <c r="D163" t="s">
        <v>32</v>
      </c>
      <c r="E163" t="s">
        <v>33</v>
      </c>
      <c r="F163" t="s">
        <v>23</v>
      </c>
      <c r="G163">
        <v>77</v>
      </c>
      <c r="H163">
        <v>2380</v>
      </c>
      <c r="I163" t="s">
        <v>20</v>
      </c>
      <c r="J163">
        <v>1</v>
      </c>
    </row>
    <row r="164" spans="1:10">
      <c r="A164" t="s">
        <v>356</v>
      </c>
      <c r="B164" t="s">
        <v>357</v>
      </c>
      <c r="C164">
        <v>1289</v>
      </c>
      <c r="D164" t="s">
        <v>18</v>
      </c>
      <c r="E164" t="s">
        <v>27</v>
      </c>
      <c r="F164" t="s">
        <v>64</v>
      </c>
      <c r="G164">
        <v>90</v>
      </c>
      <c r="H164">
        <v>1537</v>
      </c>
      <c r="I164" t="s">
        <v>15</v>
      </c>
      <c r="J164">
        <v>3</v>
      </c>
    </row>
    <row r="165" spans="1:10">
      <c r="A165" t="s">
        <v>358</v>
      </c>
      <c r="B165" t="s">
        <v>359</v>
      </c>
      <c r="C165">
        <v>1578</v>
      </c>
      <c r="D165" t="s">
        <v>18</v>
      </c>
      <c r="E165" t="s">
        <v>13</v>
      </c>
      <c r="F165" t="s">
        <v>43</v>
      </c>
      <c r="G165">
        <v>8</v>
      </c>
      <c r="H165">
        <v>94</v>
      </c>
      <c r="I165" t="s">
        <v>20</v>
      </c>
    </row>
    <row r="166" spans="1:10">
      <c r="A166" t="s">
        <v>360</v>
      </c>
      <c r="B166" t="s">
        <v>361</v>
      </c>
      <c r="C166">
        <v>1250</v>
      </c>
      <c r="D166" t="s">
        <v>32</v>
      </c>
      <c r="E166" t="s">
        <v>27</v>
      </c>
      <c r="F166" t="s">
        <v>23</v>
      </c>
      <c r="G166">
        <v>45</v>
      </c>
      <c r="H166">
        <v>2199</v>
      </c>
      <c r="I166" t="s">
        <v>15</v>
      </c>
    </row>
    <row r="167" spans="1:10">
      <c r="A167" t="s">
        <v>362</v>
      </c>
      <c r="B167" t="s">
        <v>363</v>
      </c>
      <c r="C167">
        <v>1438</v>
      </c>
      <c r="D167" t="s">
        <v>18</v>
      </c>
      <c r="E167" t="s">
        <v>13</v>
      </c>
      <c r="F167" t="s">
        <v>28</v>
      </c>
      <c r="G167">
        <v>12</v>
      </c>
      <c r="H167">
        <v>419</v>
      </c>
      <c r="I167" t="s">
        <v>15</v>
      </c>
    </row>
    <row r="168" spans="1:10">
      <c r="A168" t="s">
        <v>364</v>
      </c>
      <c r="B168" t="s">
        <v>365</v>
      </c>
      <c r="C168">
        <v>1715</v>
      </c>
      <c r="D168" t="s">
        <v>18</v>
      </c>
      <c r="E168" t="s">
        <v>13</v>
      </c>
      <c r="F168" t="s">
        <v>59</v>
      </c>
      <c r="G168">
        <v>8</v>
      </c>
      <c r="H168">
        <v>197</v>
      </c>
      <c r="I168" t="s">
        <v>15</v>
      </c>
    </row>
    <row r="169" spans="1:10">
      <c r="A169" t="s">
        <v>366</v>
      </c>
      <c r="B169" t="s">
        <v>367</v>
      </c>
      <c r="C169">
        <v>1694</v>
      </c>
      <c r="D169" t="s">
        <v>18</v>
      </c>
      <c r="E169" t="s">
        <v>27</v>
      </c>
      <c r="F169" t="s">
        <v>28</v>
      </c>
      <c r="G169">
        <v>31</v>
      </c>
      <c r="H169">
        <v>604</v>
      </c>
      <c r="I169" t="s">
        <v>15</v>
      </c>
    </row>
    <row r="170" spans="1:10">
      <c r="A170" t="s">
        <v>368</v>
      </c>
      <c r="B170" t="s">
        <v>369</v>
      </c>
      <c r="C170">
        <v>1485</v>
      </c>
      <c r="D170" t="s">
        <v>26</v>
      </c>
      <c r="E170" t="s">
        <v>27</v>
      </c>
      <c r="F170" t="s">
        <v>28</v>
      </c>
      <c r="G170">
        <v>98</v>
      </c>
      <c r="H170">
        <v>490</v>
      </c>
      <c r="I170" t="s">
        <v>20</v>
      </c>
    </row>
    <row r="171" spans="1:10">
      <c r="A171" t="s">
        <v>370</v>
      </c>
      <c r="B171" t="s">
        <v>371</v>
      </c>
      <c r="C171">
        <v>1089</v>
      </c>
      <c r="D171" t="s">
        <v>18</v>
      </c>
      <c r="E171" t="s">
        <v>27</v>
      </c>
      <c r="F171" t="s">
        <v>14</v>
      </c>
      <c r="G171">
        <v>124</v>
      </c>
      <c r="H171">
        <v>3369</v>
      </c>
      <c r="I171" t="s">
        <v>15</v>
      </c>
      <c r="J171">
        <v>1</v>
      </c>
    </row>
    <row r="172" spans="1:10">
      <c r="A172" t="s">
        <v>372</v>
      </c>
      <c r="B172" t="s">
        <v>373</v>
      </c>
      <c r="C172">
        <v>1782</v>
      </c>
      <c r="D172" t="s">
        <v>18</v>
      </c>
      <c r="E172" t="s">
        <v>27</v>
      </c>
      <c r="F172" t="s">
        <v>34</v>
      </c>
      <c r="G172">
        <v>169</v>
      </c>
      <c r="H172">
        <v>3156</v>
      </c>
      <c r="I172" t="s">
        <v>15</v>
      </c>
      <c r="J172">
        <v>5</v>
      </c>
    </row>
    <row r="173" spans="1:10">
      <c r="A173" t="s">
        <v>374</v>
      </c>
      <c r="B173" t="s">
        <v>375</v>
      </c>
      <c r="C173">
        <v>1379</v>
      </c>
      <c r="D173" t="s">
        <v>32</v>
      </c>
      <c r="E173" t="s">
        <v>33</v>
      </c>
      <c r="F173" t="s">
        <v>28</v>
      </c>
      <c r="G173">
        <v>146</v>
      </c>
      <c r="H173">
        <v>3956</v>
      </c>
      <c r="I173" t="s">
        <v>15</v>
      </c>
    </row>
    <row r="174" spans="1:10">
      <c r="A174" t="s">
        <v>376</v>
      </c>
      <c r="B174" t="s">
        <v>377</v>
      </c>
      <c r="C174">
        <v>1812</v>
      </c>
      <c r="D174" t="s">
        <v>26</v>
      </c>
      <c r="E174" t="s">
        <v>33</v>
      </c>
      <c r="F174" t="s">
        <v>59</v>
      </c>
      <c r="G174">
        <v>267</v>
      </c>
      <c r="H174">
        <v>1309</v>
      </c>
      <c r="I174" t="s">
        <v>20</v>
      </c>
      <c r="J174">
        <v>3</v>
      </c>
    </row>
    <row r="175" spans="1:10">
      <c r="A175" t="s">
        <v>378</v>
      </c>
      <c r="B175" t="s">
        <v>379</v>
      </c>
      <c r="C175">
        <v>1275</v>
      </c>
      <c r="D175" t="s">
        <v>32</v>
      </c>
      <c r="E175" t="s">
        <v>27</v>
      </c>
      <c r="F175" t="s">
        <v>34</v>
      </c>
      <c r="G175">
        <v>175</v>
      </c>
      <c r="H175">
        <v>3427</v>
      </c>
      <c r="I175" t="s">
        <v>15</v>
      </c>
      <c r="J175">
        <v>5</v>
      </c>
    </row>
    <row r="176" spans="1:10">
      <c r="A176" t="s">
        <v>380</v>
      </c>
      <c r="B176" t="s">
        <v>381</v>
      </c>
      <c r="C176">
        <v>1550</v>
      </c>
      <c r="D176" t="s">
        <v>12</v>
      </c>
      <c r="E176" t="s">
        <v>13</v>
      </c>
      <c r="F176" t="s">
        <v>71</v>
      </c>
      <c r="G176">
        <v>5</v>
      </c>
      <c r="H176">
        <v>281</v>
      </c>
      <c r="I176" t="s">
        <v>15</v>
      </c>
    </row>
    <row r="177" spans="1:10">
      <c r="A177" t="s">
        <v>382</v>
      </c>
      <c r="B177" t="s">
        <v>383</v>
      </c>
      <c r="C177">
        <v>1296</v>
      </c>
      <c r="D177" t="s">
        <v>32</v>
      </c>
      <c r="E177" t="s">
        <v>33</v>
      </c>
      <c r="F177" t="s">
        <v>64</v>
      </c>
      <c r="G177">
        <v>295</v>
      </c>
      <c r="H177">
        <v>4077</v>
      </c>
      <c r="I177" t="s">
        <v>15</v>
      </c>
      <c r="J177">
        <v>4</v>
      </c>
    </row>
    <row r="178" spans="1:10">
      <c r="A178" t="s">
        <v>384</v>
      </c>
      <c r="B178" t="s">
        <v>385</v>
      </c>
      <c r="C178">
        <v>1640</v>
      </c>
      <c r="D178" t="s">
        <v>18</v>
      </c>
      <c r="E178" t="s">
        <v>19</v>
      </c>
      <c r="F178" t="s">
        <v>64</v>
      </c>
      <c r="G178">
        <v>13</v>
      </c>
      <c r="H178">
        <v>1051</v>
      </c>
      <c r="I178" t="s">
        <v>15</v>
      </c>
      <c r="J178">
        <v>3</v>
      </c>
    </row>
    <row r="179" spans="1:10">
      <c r="A179" t="s">
        <v>386</v>
      </c>
      <c r="B179" t="s">
        <v>387</v>
      </c>
      <c r="C179">
        <v>1365</v>
      </c>
      <c r="D179" t="s">
        <v>26</v>
      </c>
      <c r="E179" t="s">
        <v>27</v>
      </c>
      <c r="F179" t="s">
        <v>54</v>
      </c>
      <c r="G179">
        <v>150</v>
      </c>
      <c r="H179">
        <v>1870</v>
      </c>
      <c r="I179" t="s">
        <v>15</v>
      </c>
      <c r="J179">
        <v>2</v>
      </c>
    </row>
    <row r="180" spans="1:10">
      <c r="A180" t="s">
        <v>388</v>
      </c>
      <c r="B180" t="s">
        <v>389</v>
      </c>
      <c r="C180">
        <v>1240</v>
      </c>
      <c r="D180" t="s">
        <v>12</v>
      </c>
      <c r="E180" t="s">
        <v>27</v>
      </c>
      <c r="F180" t="s">
        <v>23</v>
      </c>
      <c r="G180">
        <v>121</v>
      </c>
      <c r="I180" t="s">
        <v>44</v>
      </c>
    </row>
    <row r="181" spans="1:10">
      <c r="A181" t="s">
        <v>390</v>
      </c>
      <c r="B181" t="s">
        <v>391</v>
      </c>
      <c r="C181">
        <v>1362</v>
      </c>
      <c r="D181" t="s">
        <v>18</v>
      </c>
      <c r="E181" t="s">
        <v>19</v>
      </c>
      <c r="F181" t="s">
        <v>54</v>
      </c>
      <c r="G181">
        <v>40</v>
      </c>
      <c r="H181">
        <v>1239</v>
      </c>
      <c r="I181" t="s">
        <v>15</v>
      </c>
      <c r="J181">
        <v>2</v>
      </c>
    </row>
    <row r="182" spans="1:10">
      <c r="A182" t="s">
        <v>392</v>
      </c>
      <c r="B182" t="s">
        <v>393</v>
      </c>
      <c r="C182">
        <v>1205</v>
      </c>
      <c r="D182" t="s">
        <v>26</v>
      </c>
      <c r="E182" t="s">
        <v>27</v>
      </c>
      <c r="F182" t="s">
        <v>28</v>
      </c>
      <c r="G182">
        <v>47</v>
      </c>
      <c r="H182">
        <v>2804</v>
      </c>
      <c r="I182" t="s">
        <v>15</v>
      </c>
      <c r="J182">
        <v>5</v>
      </c>
    </row>
    <row r="183" spans="1:10">
      <c r="A183" t="s">
        <v>394</v>
      </c>
      <c r="B183" t="s">
        <v>395</v>
      </c>
      <c r="C183">
        <v>1217</v>
      </c>
      <c r="D183" t="s">
        <v>32</v>
      </c>
      <c r="E183" t="s">
        <v>33</v>
      </c>
      <c r="F183" t="s">
        <v>71</v>
      </c>
      <c r="G183">
        <v>73</v>
      </c>
      <c r="H183">
        <v>6965</v>
      </c>
      <c r="I183" t="s">
        <v>15</v>
      </c>
    </row>
    <row r="184" spans="1:10">
      <c r="A184" t="s">
        <v>396</v>
      </c>
      <c r="B184" t="s">
        <v>397</v>
      </c>
      <c r="C184">
        <v>1770</v>
      </c>
      <c r="D184" t="s">
        <v>32</v>
      </c>
      <c r="E184" t="s">
        <v>33</v>
      </c>
      <c r="F184" t="s">
        <v>64</v>
      </c>
      <c r="G184">
        <v>269</v>
      </c>
      <c r="H184">
        <v>8621</v>
      </c>
      <c r="I184" t="s">
        <v>15</v>
      </c>
    </row>
    <row r="185" spans="1:10">
      <c r="A185" t="s">
        <v>398</v>
      </c>
      <c r="B185" t="s">
        <v>399</v>
      </c>
      <c r="C185">
        <v>1629</v>
      </c>
      <c r="D185" t="s">
        <v>47</v>
      </c>
      <c r="E185" t="s">
        <v>27</v>
      </c>
      <c r="F185" t="s">
        <v>34</v>
      </c>
      <c r="G185">
        <v>130</v>
      </c>
      <c r="I185" t="s">
        <v>44</v>
      </c>
    </row>
    <row r="186" spans="1:10">
      <c r="A186" t="s">
        <v>400</v>
      </c>
      <c r="B186" t="s">
        <v>401</v>
      </c>
      <c r="C186">
        <v>1027</v>
      </c>
      <c r="D186" t="s">
        <v>18</v>
      </c>
      <c r="E186" t="s">
        <v>19</v>
      </c>
      <c r="F186" t="s">
        <v>14</v>
      </c>
      <c r="G186">
        <v>9</v>
      </c>
      <c r="H186">
        <v>1073</v>
      </c>
      <c r="I186" t="s">
        <v>15</v>
      </c>
    </row>
    <row r="187" spans="1:10">
      <c r="A187" t="s">
        <v>402</v>
      </c>
      <c r="B187" t="s">
        <v>403</v>
      </c>
      <c r="C187">
        <v>1506</v>
      </c>
      <c r="D187" t="s">
        <v>26</v>
      </c>
      <c r="E187" t="s">
        <v>33</v>
      </c>
      <c r="F187" t="s">
        <v>34</v>
      </c>
      <c r="G187">
        <v>252</v>
      </c>
      <c r="H187">
        <v>1481</v>
      </c>
      <c r="I187" t="s">
        <v>15</v>
      </c>
      <c r="J187">
        <v>5</v>
      </c>
    </row>
    <row r="188" spans="1:10">
      <c r="A188" t="s">
        <v>404</v>
      </c>
      <c r="B188" t="s">
        <v>405</v>
      </c>
      <c r="C188">
        <v>1112</v>
      </c>
      <c r="D188" t="s">
        <v>47</v>
      </c>
      <c r="E188" t="s">
        <v>19</v>
      </c>
      <c r="F188" t="s">
        <v>23</v>
      </c>
      <c r="G188">
        <v>24</v>
      </c>
      <c r="H188">
        <v>150</v>
      </c>
      <c r="I188" t="s">
        <v>15</v>
      </c>
      <c r="J188">
        <v>1</v>
      </c>
    </row>
    <row r="189" spans="1:10">
      <c r="A189" t="s">
        <v>406</v>
      </c>
      <c r="B189" t="s">
        <v>407</v>
      </c>
      <c r="C189">
        <v>1361</v>
      </c>
      <c r="D189" t="s">
        <v>26</v>
      </c>
      <c r="E189" t="s">
        <v>13</v>
      </c>
      <c r="F189" t="s">
        <v>59</v>
      </c>
      <c r="G189">
        <v>6</v>
      </c>
      <c r="H189">
        <v>176</v>
      </c>
      <c r="I189" t="s">
        <v>15</v>
      </c>
      <c r="J189">
        <v>4</v>
      </c>
    </row>
    <row r="190" spans="1:10">
      <c r="A190" t="s">
        <v>408</v>
      </c>
      <c r="B190" t="s">
        <v>409</v>
      </c>
      <c r="C190">
        <v>1643</v>
      </c>
      <c r="D190" t="s">
        <v>12</v>
      </c>
      <c r="E190" t="s">
        <v>33</v>
      </c>
      <c r="F190" t="s">
        <v>71</v>
      </c>
      <c r="G190">
        <v>460</v>
      </c>
      <c r="H190">
        <v>1604</v>
      </c>
      <c r="I190" t="s">
        <v>15</v>
      </c>
      <c r="J190">
        <v>4</v>
      </c>
    </row>
    <row r="191" spans="1:10">
      <c r="A191" t="s">
        <v>410</v>
      </c>
      <c r="B191" t="s">
        <v>411</v>
      </c>
      <c r="C191">
        <v>1478</v>
      </c>
      <c r="D191" t="s">
        <v>12</v>
      </c>
      <c r="E191" t="s">
        <v>13</v>
      </c>
      <c r="F191" t="s">
        <v>54</v>
      </c>
      <c r="G191">
        <v>9</v>
      </c>
      <c r="I191" t="s">
        <v>44</v>
      </c>
    </row>
    <row r="192" spans="1:10">
      <c r="A192" t="s">
        <v>412</v>
      </c>
      <c r="B192" t="s">
        <v>413</v>
      </c>
      <c r="C192">
        <v>1866</v>
      </c>
      <c r="D192" t="s">
        <v>32</v>
      </c>
      <c r="E192" t="s">
        <v>27</v>
      </c>
      <c r="F192" t="s">
        <v>54</v>
      </c>
      <c r="G192">
        <v>176</v>
      </c>
      <c r="I192" t="s">
        <v>44</v>
      </c>
    </row>
    <row r="193" spans="1:10">
      <c r="A193" t="s">
        <v>414</v>
      </c>
      <c r="B193" t="s">
        <v>415</v>
      </c>
      <c r="C193">
        <v>1505</v>
      </c>
      <c r="D193" t="s">
        <v>18</v>
      </c>
      <c r="E193" t="s">
        <v>13</v>
      </c>
      <c r="F193" t="s">
        <v>54</v>
      </c>
      <c r="G193">
        <v>3</v>
      </c>
      <c r="H193">
        <v>94</v>
      </c>
      <c r="I193" t="s">
        <v>15</v>
      </c>
    </row>
    <row r="194" spans="1:10">
      <c r="A194" t="s">
        <v>416</v>
      </c>
      <c r="B194" t="s">
        <v>417</v>
      </c>
      <c r="C194">
        <v>1413</v>
      </c>
      <c r="D194" t="s">
        <v>26</v>
      </c>
      <c r="E194" t="s">
        <v>19</v>
      </c>
      <c r="F194" t="s">
        <v>59</v>
      </c>
      <c r="G194">
        <v>32</v>
      </c>
      <c r="H194">
        <v>926</v>
      </c>
      <c r="I194" t="s">
        <v>15</v>
      </c>
      <c r="J194">
        <v>5</v>
      </c>
    </row>
    <row r="195" spans="1:10">
      <c r="A195" t="s">
        <v>418</v>
      </c>
      <c r="B195" t="s">
        <v>419</v>
      </c>
      <c r="C195">
        <v>1855</v>
      </c>
      <c r="D195" t="s">
        <v>26</v>
      </c>
      <c r="E195" t="s">
        <v>33</v>
      </c>
      <c r="F195" t="s">
        <v>64</v>
      </c>
      <c r="G195">
        <v>373</v>
      </c>
      <c r="H195">
        <v>6244</v>
      </c>
      <c r="I195" t="s">
        <v>20</v>
      </c>
      <c r="J195">
        <v>5</v>
      </c>
    </row>
    <row r="196" spans="1:10">
      <c r="A196" t="s">
        <v>420</v>
      </c>
      <c r="B196" t="s">
        <v>421</v>
      </c>
      <c r="C196">
        <v>1066</v>
      </c>
      <c r="D196" t="s">
        <v>12</v>
      </c>
      <c r="E196" t="s">
        <v>19</v>
      </c>
      <c r="F196" t="s">
        <v>34</v>
      </c>
      <c r="G196">
        <v>45</v>
      </c>
      <c r="H196">
        <v>651</v>
      </c>
      <c r="I196" t="s">
        <v>20</v>
      </c>
    </row>
    <row r="197" spans="1:10">
      <c r="A197" t="s">
        <v>422</v>
      </c>
      <c r="B197" t="s">
        <v>423</v>
      </c>
      <c r="C197">
        <v>1252</v>
      </c>
      <c r="D197" t="s">
        <v>26</v>
      </c>
      <c r="E197" t="s">
        <v>33</v>
      </c>
      <c r="F197" t="s">
        <v>28</v>
      </c>
      <c r="G197">
        <v>332</v>
      </c>
      <c r="H197">
        <v>2889</v>
      </c>
      <c r="I197" t="s">
        <v>15</v>
      </c>
      <c r="J197">
        <v>2</v>
      </c>
    </row>
    <row r="198" spans="1:10">
      <c r="A198" t="s">
        <v>424</v>
      </c>
      <c r="B198" t="s">
        <v>425</v>
      </c>
      <c r="C198">
        <v>1015</v>
      </c>
      <c r="D198" t="s">
        <v>47</v>
      </c>
      <c r="E198" t="s">
        <v>19</v>
      </c>
      <c r="F198" t="s">
        <v>64</v>
      </c>
      <c r="G198">
        <v>17</v>
      </c>
      <c r="I198" t="s">
        <v>44</v>
      </c>
    </row>
    <row r="199" spans="1:10">
      <c r="A199" t="s">
        <v>426</v>
      </c>
      <c r="B199" t="s">
        <v>427</v>
      </c>
      <c r="C199">
        <v>1415</v>
      </c>
      <c r="D199" t="s">
        <v>32</v>
      </c>
      <c r="E199" t="s">
        <v>33</v>
      </c>
      <c r="F199" t="s">
        <v>64</v>
      </c>
      <c r="G199">
        <v>259</v>
      </c>
      <c r="I199" t="s">
        <v>44</v>
      </c>
    </row>
    <row r="200" spans="1:10">
      <c r="A200" t="s">
        <v>428</v>
      </c>
      <c r="B200" t="s">
        <v>429</v>
      </c>
      <c r="C200">
        <v>1978</v>
      </c>
      <c r="D200" t="s">
        <v>47</v>
      </c>
      <c r="E200" t="s">
        <v>19</v>
      </c>
      <c r="F200" t="s">
        <v>14</v>
      </c>
      <c r="G200">
        <v>28</v>
      </c>
      <c r="H200">
        <v>246</v>
      </c>
      <c r="I200" t="s">
        <v>15</v>
      </c>
      <c r="J200">
        <v>4</v>
      </c>
    </row>
    <row r="201" spans="1:10">
      <c r="A201" t="s">
        <v>430</v>
      </c>
      <c r="B201" t="s">
        <v>431</v>
      </c>
      <c r="C201">
        <v>1061</v>
      </c>
      <c r="D201" t="s">
        <v>18</v>
      </c>
      <c r="E201" t="s">
        <v>13</v>
      </c>
      <c r="F201" t="s">
        <v>64</v>
      </c>
      <c r="G201">
        <v>3</v>
      </c>
      <c r="I201" t="s">
        <v>44</v>
      </c>
    </row>
    <row r="202" spans="1:10">
      <c r="A202" t="s">
        <v>432</v>
      </c>
      <c r="B202" t="s">
        <v>433</v>
      </c>
      <c r="C202">
        <v>1214</v>
      </c>
      <c r="D202" t="s">
        <v>26</v>
      </c>
      <c r="E202" t="s">
        <v>27</v>
      </c>
      <c r="F202" t="s">
        <v>54</v>
      </c>
      <c r="G202">
        <v>72</v>
      </c>
      <c r="H202">
        <v>2342</v>
      </c>
      <c r="I202" t="s">
        <v>15</v>
      </c>
      <c r="J202">
        <v>2</v>
      </c>
    </row>
    <row r="203" spans="1:10">
      <c r="A203" t="s">
        <v>434</v>
      </c>
      <c r="B203" t="s">
        <v>435</v>
      </c>
      <c r="C203">
        <v>1997</v>
      </c>
      <c r="D203" t="s">
        <v>47</v>
      </c>
      <c r="E203" t="s">
        <v>27</v>
      </c>
      <c r="F203" t="s">
        <v>54</v>
      </c>
      <c r="G203">
        <v>54</v>
      </c>
      <c r="H203">
        <v>1956</v>
      </c>
      <c r="I203" t="s">
        <v>15</v>
      </c>
      <c r="J203">
        <v>3</v>
      </c>
    </row>
    <row r="204" spans="1:10">
      <c r="A204" t="s">
        <v>436</v>
      </c>
      <c r="B204" t="s">
        <v>437</v>
      </c>
      <c r="C204">
        <v>1605</v>
      </c>
      <c r="D204" t="s">
        <v>47</v>
      </c>
      <c r="E204" t="s">
        <v>27</v>
      </c>
      <c r="F204" t="s">
        <v>59</v>
      </c>
      <c r="G204">
        <v>49</v>
      </c>
      <c r="H204">
        <v>2629</v>
      </c>
      <c r="I204" t="s">
        <v>15</v>
      </c>
    </row>
    <row r="205" spans="1:10">
      <c r="A205" t="s">
        <v>438</v>
      </c>
      <c r="B205" t="s">
        <v>439</v>
      </c>
      <c r="C205">
        <v>1622</v>
      </c>
      <c r="D205" t="s">
        <v>47</v>
      </c>
      <c r="E205" t="s">
        <v>27</v>
      </c>
      <c r="F205" t="s">
        <v>23</v>
      </c>
      <c r="G205">
        <v>49</v>
      </c>
      <c r="H205">
        <v>1901</v>
      </c>
      <c r="I205" t="s">
        <v>15</v>
      </c>
      <c r="J205">
        <v>3</v>
      </c>
    </row>
    <row r="206" spans="1:10">
      <c r="A206" t="s">
        <v>440</v>
      </c>
      <c r="B206" t="s">
        <v>441</v>
      </c>
      <c r="C206">
        <v>1882</v>
      </c>
      <c r="D206" t="s">
        <v>32</v>
      </c>
      <c r="E206" t="s">
        <v>27</v>
      </c>
      <c r="F206" t="s">
        <v>64</v>
      </c>
      <c r="G206">
        <v>42</v>
      </c>
      <c r="H206">
        <v>1487</v>
      </c>
      <c r="I206" t="s">
        <v>15</v>
      </c>
      <c r="J206">
        <v>5</v>
      </c>
    </row>
    <row r="207" spans="1:10">
      <c r="A207" t="s">
        <v>442</v>
      </c>
      <c r="B207" t="s">
        <v>443</v>
      </c>
      <c r="C207">
        <v>1169</v>
      </c>
      <c r="D207" t="s">
        <v>18</v>
      </c>
      <c r="E207" t="s">
        <v>13</v>
      </c>
      <c r="F207" t="s">
        <v>23</v>
      </c>
      <c r="G207">
        <v>7</v>
      </c>
      <c r="H207">
        <v>194</v>
      </c>
      <c r="I207" t="s">
        <v>15</v>
      </c>
      <c r="J207">
        <v>5</v>
      </c>
    </row>
    <row r="208" spans="1:10">
      <c r="A208" t="s">
        <v>444</v>
      </c>
      <c r="B208" t="s">
        <v>445</v>
      </c>
      <c r="C208">
        <v>1631</v>
      </c>
      <c r="D208" t="s">
        <v>26</v>
      </c>
      <c r="E208" t="s">
        <v>13</v>
      </c>
      <c r="F208" t="s">
        <v>71</v>
      </c>
      <c r="G208">
        <v>10</v>
      </c>
      <c r="H208">
        <v>111</v>
      </c>
      <c r="I208" t="s">
        <v>20</v>
      </c>
      <c r="J208">
        <v>1</v>
      </c>
    </row>
    <row r="209" spans="1:10">
      <c r="A209" t="s">
        <v>446</v>
      </c>
      <c r="B209" t="s">
        <v>447</v>
      </c>
      <c r="C209">
        <v>1233</v>
      </c>
      <c r="D209" t="s">
        <v>18</v>
      </c>
      <c r="E209" t="s">
        <v>27</v>
      </c>
      <c r="F209" t="s">
        <v>71</v>
      </c>
      <c r="G209">
        <v>133</v>
      </c>
      <c r="H209">
        <v>3342</v>
      </c>
      <c r="I209" t="s">
        <v>15</v>
      </c>
    </row>
    <row r="210" spans="1:10">
      <c r="A210" t="s">
        <v>448</v>
      </c>
      <c r="B210" t="s">
        <v>449</v>
      </c>
      <c r="C210">
        <v>1520</v>
      </c>
      <c r="D210" t="s">
        <v>26</v>
      </c>
      <c r="E210" t="s">
        <v>13</v>
      </c>
      <c r="F210" t="s">
        <v>23</v>
      </c>
      <c r="G210">
        <v>3</v>
      </c>
      <c r="H210">
        <v>199</v>
      </c>
      <c r="I210" t="s">
        <v>15</v>
      </c>
    </row>
    <row r="211" spans="1:10">
      <c r="A211" t="s">
        <v>450</v>
      </c>
      <c r="B211" t="s">
        <v>451</v>
      </c>
      <c r="C211">
        <v>1820</v>
      </c>
      <c r="D211" t="s">
        <v>47</v>
      </c>
      <c r="E211" t="s">
        <v>27</v>
      </c>
      <c r="F211" t="s">
        <v>64</v>
      </c>
      <c r="G211">
        <v>77</v>
      </c>
      <c r="I211" t="s">
        <v>44</v>
      </c>
    </row>
    <row r="212" spans="1:10">
      <c r="A212" t="s">
        <v>452</v>
      </c>
      <c r="B212" t="s">
        <v>453</v>
      </c>
      <c r="C212">
        <v>1235</v>
      </c>
      <c r="D212" t="s">
        <v>12</v>
      </c>
      <c r="E212" t="s">
        <v>33</v>
      </c>
      <c r="F212" t="s">
        <v>59</v>
      </c>
      <c r="G212">
        <v>132</v>
      </c>
      <c r="H212">
        <v>6767</v>
      </c>
      <c r="I212" t="s">
        <v>15</v>
      </c>
    </row>
    <row r="213" spans="1:10">
      <c r="A213" t="s">
        <v>454</v>
      </c>
      <c r="B213" t="s">
        <v>455</v>
      </c>
      <c r="C213">
        <v>1352</v>
      </c>
      <c r="D213" t="s">
        <v>12</v>
      </c>
      <c r="E213" t="s">
        <v>33</v>
      </c>
      <c r="F213" t="s">
        <v>54</v>
      </c>
      <c r="G213">
        <v>323</v>
      </c>
      <c r="H213">
        <v>2923</v>
      </c>
      <c r="I213" t="s">
        <v>15</v>
      </c>
    </row>
    <row r="214" spans="1:10">
      <c r="A214" t="s">
        <v>456</v>
      </c>
      <c r="B214" t="s">
        <v>457</v>
      </c>
      <c r="C214">
        <v>1209</v>
      </c>
      <c r="D214" t="s">
        <v>12</v>
      </c>
      <c r="E214" t="s">
        <v>27</v>
      </c>
      <c r="F214" t="s">
        <v>43</v>
      </c>
      <c r="G214">
        <v>150</v>
      </c>
      <c r="H214">
        <v>3371</v>
      </c>
      <c r="I214" t="s">
        <v>15</v>
      </c>
      <c r="J214">
        <v>2</v>
      </c>
    </row>
    <row r="215" spans="1:10">
      <c r="A215" t="s">
        <v>458</v>
      </c>
      <c r="B215" t="s">
        <v>459</v>
      </c>
      <c r="C215">
        <v>1568</v>
      </c>
      <c r="D215" t="s">
        <v>32</v>
      </c>
      <c r="E215" t="s">
        <v>19</v>
      </c>
      <c r="F215" t="s">
        <v>54</v>
      </c>
      <c r="G215">
        <v>43</v>
      </c>
      <c r="H215">
        <v>785</v>
      </c>
      <c r="I215" t="s">
        <v>20</v>
      </c>
      <c r="J215">
        <v>3</v>
      </c>
    </row>
    <row r="216" spans="1:10">
      <c r="A216" t="s">
        <v>460</v>
      </c>
      <c r="B216" t="s">
        <v>461</v>
      </c>
      <c r="C216">
        <v>1478</v>
      </c>
      <c r="D216" t="s">
        <v>12</v>
      </c>
      <c r="E216" t="s">
        <v>27</v>
      </c>
      <c r="F216" t="s">
        <v>59</v>
      </c>
      <c r="G216">
        <v>148</v>
      </c>
      <c r="I216" t="s">
        <v>29</v>
      </c>
    </row>
    <row r="217" spans="1:10">
      <c r="A217" t="s">
        <v>462</v>
      </c>
      <c r="B217" t="s">
        <v>463</v>
      </c>
      <c r="C217">
        <v>1647</v>
      </c>
      <c r="D217" t="s">
        <v>18</v>
      </c>
      <c r="E217" t="s">
        <v>33</v>
      </c>
      <c r="F217" t="s">
        <v>71</v>
      </c>
      <c r="G217">
        <v>357</v>
      </c>
      <c r="H217">
        <v>2446</v>
      </c>
      <c r="I217" t="s">
        <v>15</v>
      </c>
      <c r="J217">
        <v>2</v>
      </c>
    </row>
    <row r="218" spans="1:10">
      <c r="A218" t="s">
        <v>464</v>
      </c>
      <c r="B218" t="s">
        <v>465</v>
      </c>
      <c r="C218">
        <v>1521</v>
      </c>
      <c r="D218" t="s">
        <v>32</v>
      </c>
      <c r="E218" t="s">
        <v>13</v>
      </c>
      <c r="F218" t="s">
        <v>71</v>
      </c>
      <c r="G218">
        <v>2</v>
      </c>
      <c r="H218">
        <v>365</v>
      </c>
      <c r="I218" t="s">
        <v>15</v>
      </c>
    </row>
    <row r="219" spans="1:10">
      <c r="A219" t="s">
        <v>466</v>
      </c>
      <c r="B219" t="s">
        <v>467</v>
      </c>
      <c r="C219">
        <v>1700</v>
      </c>
      <c r="D219" t="s">
        <v>26</v>
      </c>
      <c r="E219" t="s">
        <v>27</v>
      </c>
      <c r="F219" t="s">
        <v>59</v>
      </c>
      <c r="G219">
        <v>128</v>
      </c>
      <c r="H219">
        <v>3163</v>
      </c>
      <c r="I219" t="s">
        <v>15</v>
      </c>
      <c r="J219">
        <v>2</v>
      </c>
    </row>
    <row r="220" spans="1:10">
      <c r="A220" t="s">
        <v>468</v>
      </c>
      <c r="B220" t="s">
        <v>469</v>
      </c>
      <c r="C220">
        <v>1532</v>
      </c>
      <c r="D220" t="s">
        <v>47</v>
      </c>
      <c r="E220" t="s">
        <v>27</v>
      </c>
      <c r="F220" t="s">
        <v>14</v>
      </c>
      <c r="G220">
        <v>38</v>
      </c>
      <c r="H220">
        <v>1032</v>
      </c>
      <c r="I220" t="s">
        <v>15</v>
      </c>
      <c r="J220">
        <v>2</v>
      </c>
    </row>
    <row r="221" spans="1:10">
      <c r="A221" t="s">
        <v>470</v>
      </c>
      <c r="B221" t="s">
        <v>471</v>
      </c>
      <c r="C221">
        <v>1379</v>
      </c>
      <c r="D221" t="s">
        <v>18</v>
      </c>
      <c r="E221" t="s">
        <v>33</v>
      </c>
      <c r="F221" t="s">
        <v>59</v>
      </c>
      <c r="G221">
        <v>149</v>
      </c>
      <c r="H221">
        <v>5140</v>
      </c>
      <c r="I221" t="s">
        <v>20</v>
      </c>
      <c r="J221">
        <v>3</v>
      </c>
    </row>
    <row r="222" spans="1:10">
      <c r="A222" t="s">
        <v>472</v>
      </c>
      <c r="B222" t="s">
        <v>473</v>
      </c>
      <c r="C222">
        <v>1385</v>
      </c>
      <c r="D222" t="s">
        <v>32</v>
      </c>
      <c r="E222" t="s">
        <v>13</v>
      </c>
      <c r="F222" t="s">
        <v>28</v>
      </c>
      <c r="G222">
        <v>10</v>
      </c>
      <c r="H222">
        <v>381</v>
      </c>
      <c r="I222" t="s">
        <v>20</v>
      </c>
      <c r="J222">
        <v>3</v>
      </c>
    </row>
    <row r="223" spans="1:10">
      <c r="A223" t="s">
        <v>474</v>
      </c>
      <c r="B223" t="s">
        <v>475</v>
      </c>
      <c r="C223">
        <v>1779</v>
      </c>
      <c r="D223" t="s">
        <v>26</v>
      </c>
      <c r="E223" t="s">
        <v>27</v>
      </c>
      <c r="F223" t="s">
        <v>71</v>
      </c>
      <c r="G223">
        <v>101</v>
      </c>
      <c r="I223" t="s">
        <v>29</v>
      </c>
    </row>
    <row r="224" spans="1:10">
      <c r="A224" t="s">
        <v>476</v>
      </c>
      <c r="B224" t="s">
        <v>477</v>
      </c>
      <c r="C224">
        <v>1123</v>
      </c>
      <c r="D224" t="s">
        <v>47</v>
      </c>
      <c r="E224" t="s">
        <v>19</v>
      </c>
      <c r="F224" t="s">
        <v>28</v>
      </c>
      <c r="G224">
        <v>16</v>
      </c>
      <c r="H224">
        <v>168</v>
      </c>
      <c r="I224" t="s">
        <v>15</v>
      </c>
      <c r="J224">
        <v>2</v>
      </c>
    </row>
    <row r="225" spans="1:10">
      <c r="A225" t="s">
        <v>478</v>
      </c>
      <c r="B225" t="s">
        <v>479</v>
      </c>
      <c r="C225">
        <v>1587</v>
      </c>
      <c r="D225" t="s">
        <v>26</v>
      </c>
      <c r="E225" t="s">
        <v>19</v>
      </c>
      <c r="F225" t="s">
        <v>71</v>
      </c>
      <c r="G225">
        <v>45</v>
      </c>
      <c r="H225">
        <v>910</v>
      </c>
      <c r="I225" t="s">
        <v>15</v>
      </c>
    </row>
    <row r="226" spans="1:10">
      <c r="A226" t="s">
        <v>480</v>
      </c>
      <c r="B226" t="s">
        <v>481</v>
      </c>
      <c r="C226">
        <v>1884</v>
      </c>
      <c r="D226" t="s">
        <v>12</v>
      </c>
      <c r="E226" t="s">
        <v>33</v>
      </c>
      <c r="F226" t="s">
        <v>23</v>
      </c>
      <c r="G226">
        <v>187</v>
      </c>
      <c r="H226">
        <v>6532</v>
      </c>
      <c r="I226" t="s">
        <v>20</v>
      </c>
      <c r="J226">
        <v>4</v>
      </c>
    </row>
    <row r="227" spans="1:10">
      <c r="A227" t="s">
        <v>482</v>
      </c>
      <c r="B227" t="s">
        <v>483</v>
      </c>
      <c r="C227">
        <v>1706</v>
      </c>
      <c r="D227" t="s">
        <v>47</v>
      </c>
      <c r="E227" t="s">
        <v>19</v>
      </c>
      <c r="F227" t="s">
        <v>34</v>
      </c>
      <c r="G227">
        <v>19</v>
      </c>
      <c r="H227">
        <v>346</v>
      </c>
      <c r="I227" t="s">
        <v>20</v>
      </c>
    </row>
    <row r="228" spans="1:10">
      <c r="A228" t="s">
        <v>484</v>
      </c>
      <c r="B228" t="s">
        <v>485</v>
      </c>
      <c r="C228">
        <v>1923</v>
      </c>
      <c r="D228" t="s">
        <v>32</v>
      </c>
      <c r="E228" t="s">
        <v>27</v>
      </c>
      <c r="F228" t="s">
        <v>59</v>
      </c>
      <c r="G228">
        <v>75</v>
      </c>
      <c r="I228" t="s">
        <v>29</v>
      </c>
    </row>
    <row r="229" spans="1:10">
      <c r="A229" t="s">
        <v>486</v>
      </c>
      <c r="B229" t="s">
        <v>487</v>
      </c>
      <c r="C229">
        <v>1830</v>
      </c>
      <c r="D229" t="s">
        <v>26</v>
      </c>
      <c r="E229" t="s">
        <v>27</v>
      </c>
      <c r="F229" t="s">
        <v>54</v>
      </c>
      <c r="G229">
        <v>138</v>
      </c>
      <c r="H229">
        <v>3297</v>
      </c>
      <c r="I229" t="s">
        <v>15</v>
      </c>
      <c r="J229">
        <v>1</v>
      </c>
    </row>
    <row r="230" spans="1:10">
      <c r="A230" t="s">
        <v>488</v>
      </c>
      <c r="B230" t="s">
        <v>489</v>
      </c>
      <c r="C230">
        <v>1766</v>
      </c>
      <c r="D230" t="s">
        <v>12</v>
      </c>
      <c r="E230" t="s">
        <v>27</v>
      </c>
      <c r="F230" t="s">
        <v>28</v>
      </c>
      <c r="G230">
        <v>158</v>
      </c>
      <c r="H230">
        <v>1335</v>
      </c>
      <c r="I230" t="s">
        <v>15</v>
      </c>
      <c r="J230">
        <v>1</v>
      </c>
    </row>
    <row r="231" spans="1:10">
      <c r="A231" t="s">
        <v>490</v>
      </c>
      <c r="B231" t="s">
        <v>491</v>
      </c>
      <c r="C231">
        <v>1858</v>
      </c>
      <c r="D231" t="s">
        <v>18</v>
      </c>
      <c r="E231" t="s">
        <v>33</v>
      </c>
      <c r="F231" t="s">
        <v>34</v>
      </c>
      <c r="G231">
        <v>244</v>
      </c>
      <c r="H231">
        <v>6732</v>
      </c>
      <c r="I231" t="s">
        <v>15</v>
      </c>
      <c r="J231">
        <v>2</v>
      </c>
    </row>
    <row r="232" spans="1:10">
      <c r="A232" t="s">
        <v>492</v>
      </c>
      <c r="B232" t="s">
        <v>493</v>
      </c>
      <c r="C232">
        <v>1337</v>
      </c>
      <c r="D232" t="s">
        <v>18</v>
      </c>
      <c r="E232" t="s">
        <v>27</v>
      </c>
      <c r="F232" t="s">
        <v>54</v>
      </c>
      <c r="G232">
        <v>57</v>
      </c>
      <c r="H232">
        <v>2322</v>
      </c>
      <c r="I232" t="s">
        <v>20</v>
      </c>
    </row>
    <row r="233" spans="1:10">
      <c r="A233" t="s">
        <v>494</v>
      </c>
      <c r="B233" t="s">
        <v>495</v>
      </c>
      <c r="C233">
        <v>1058</v>
      </c>
      <c r="D233" t="s">
        <v>12</v>
      </c>
      <c r="E233" t="s">
        <v>27</v>
      </c>
      <c r="F233" t="s">
        <v>23</v>
      </c>
      <c r="G233">
        <v>55</v>
      </c>
      <c r="I233" t="s">
        <v>29</v>
      </c>
    </row>
    <row r="234" spans="1:10">
      <c r="A234" t="s">
        <v>496</v>
      </c>
      <c r="B234" t="s">
        <v>497</v>
      </c>
      <c r="C234">
        <v>1166</v>
      </c>
      <c r="D234" t="s">
        <v>18</v>
      </c>
      <c r="E234" t="s">
        <v>27</v>
      </c>
      <c r="F234" t="s">
        <v>54</v>
      </c>
      <c r="G234">
        <v>129</v>
      </c>
      <c r="H234">
        <v>1091</v>
      </c>
      <c r="I234" t="s">
        <v>15</v>
      </c>
      <c r="J234">
        <v>3</v>
      </c>
    </row>
    <row r="235" spans="1:10">
      <c r="A235" t="s">
        <v>498</v>
      </c>
      <c r="B235" t="s">
        <v>499</v>
      </c>
      <c r="C235">
        <v>1150</v>
      </c>
      <c r="D235" t="s">
        <v>18</v>
      </c>
      <c r="E235" t="s">
        <v>13</v>
      </c>
      <c r="F235" t="s">
        <v>28</v>
      </c>
      <c r="G235">
        <v>4</v>
      </c>
      <c r="H235">
        <v>354</v>
      </c>
      <c r="I235" t="s">
        <v>15</v>
      </c>
    </row>
    <row r="236" spans="1:10">
      <c r="A236" t="s">
        <v>500</v>
      </c>
      <c r="B236" t="s">
        <v>501</v>
      </c>
      <c r="C236">
        <v>1254</v>
      </c>
      <c r="D236" t="s">
        <v>12</v>
      </c>
      <c r="E236" t="s">
        <v>33</v>
      </c>
      <c r="F236" t="s">
        <v>64</v>
      </c>
      <c r="G236">
        <v>277</v>
      </c>
      <c r="I236" t="s">
        <v>29</v>
      </c>
    </row>
    <row r="237" spans="1:10">
      <c r="A237" t="s">
        <v>502</v>
      </c>
      <c r="B237" t="s">
        <v>503</v>
      </c>
      <c r="C237">
        <v>1135</v>
      </c>
      <c r="D237" t="s">
        <v>26</v>
      </c>
      <c r="E237" t="s">
        <v>27</v>
      </c>
      <c r="F237" t="s">
        <v>23</v>
      </c>
      <c r="G237">
        <v>74</v>
      </c>
      <c r="H237">
        <v>2470</v>
      </c>
      <c r="I237" t="s">
        <v>15</v>
      </c>
      <c r="J237">
        <v>3</v>
      </c>
    </row>
    <row r="238" spans="1:10">
      <c r="A238" t="s">
        <v>504</v>
      </c>
      <c r="B238" t="s">
        <v>505</v>
      </c>
      <c r="C238">
        <v>1756</v>
      </c>
      <c r="D238" t="s">
        <v>26</v>
      </c>
      <c r="E238" t="s">
        <v>19</v>
      </c>
      <c r="F238" t="s">
        <v>71</v>
      </c>
      <c r="G238">
        <v>31</v>
      </c>
      <c r="H238">
        <v>470</v>
      </c>
      <c r="I238" t="s">
        <v>20</v>
      </c>
    </row>
    <row r="239" spans="1:10">
      <c r="A239" t="s">
        <v>506</v>
      </c>
      <c r="B239" t="s">
        <v>507</v>
      </c>
      <c r="C239">
        <v>1680</v>
      </c>
      <c r="D239" t="s">
        <v>47</v>
      </c>
      <c r="E239" t="s">
        <v>33</v>
      </c>
      <c r="F239" t="s">
        <v>71</v>
      </c>
      <c r="G239">
        <v>119</v>
      </c>
      <c r="H239">
        <v>4055</v>
      </c>
      <c r="I239" t="s">
        <v>20</v>
      </c>
    </row>
    <row r="240" spans="1:10">
      <c r="A240" t="s">
        <v>508</v>
      </c>
      <c r="B240" t="s">
        <v>509</v>
      </c>
      <c r="C240">
        <v>1204</v>
      </c>
      <c r="D240" t="s">
        <v>12</v>
      </c>
      <c r="E240" t="s">
        <v>27</v>
      </c>
      <c r="F240" t="s">
        <v>54</v>
      </c>
      <c r="G240">
        <v>107</v>
      </c>
      <c r="I240" t="s">
        <v>29</v>
      </c>
    </row>
    <row r="241" spans="1:10">
      <c r="A241" t="s">
        <v>510</v>
      </c>
      <c r="B241" t="s">
        <v>511</v>
      </c>
      <c r="C241">
        <v>1654</v>
      </c>
      <c r="D241" t="s">
        <v>47</v>
      </c>
      <c r="E241" t="s">
        <v>27</v>
      </c>
      <c r="F241" t="s">
        <v>64</v>
      </c>
      <c r="G241">
        <v>81</v>
      </c>
      <c r="H241">
        <v>2878</v>
      </c>
      <c r="I241" t="s">
        <v>15</v>
      </c>
      <c r="J241">
        <v>2</v>
      </c>
    </row>
    <row r="242" spans="1:10">
      <c r="A242" t="s">
        <v>512</v>
      </c>
      <c r="B242" t="s">
        <v>513</v>
      </c>
      <c r="C242">
        <v>1051</v>
      </c>
      <c r="D242" t="s">
        <v>12</v>
      </c>
      <c r="E242" t="s">
        <v>27</v>
      </c>
      <c r="F242" t="s">
        <v>23</v>
      </c>
      <c r="G242">
        <v>162</v>
      </c>
      <c r="H242">
        <v>823</v>
      </c>
      <c r="I242" t="s">
        <v>15</v>
      </c>
      <c r="J242">
        <v>4</v>
      </c>
    </row>
    <row r="243" spans="1:10">
      <c r="A243" t="s">
        <v>514</v>
      </c>
      <c r="B243" t="s">
        <v>515</v>
      </c>
      <c r="C243">
        <v>1011</v>
      </c>
      <c r="D243" t="s">
        <v>12</v>
      </c>
      <c r="E243" t="s">
        <v>27</v>
      </c>
      <c r="F243" t="s">
        <v>14</v>
      </c>
      <c r="G243">
        <v>33</v>
      </c>
      <c r="H243">
        <v>435</v>
      </c>
      <c r="I243" t="s">
        <v>15</v>
      </c>
      <c r="J243">
        <v>5</v>
      </c>
    </row>
    <row r="244" spans="1:10">
      <c r="A244" t="s">
        <v>516</v>
      </c>
      <c r="B244" t="s">
        <v>517</v>
      </c>
      <c r="C244">
        <v>1619</v>
      </c>
      <c r="D244" t="s">
        <v>12</v>
      </c>
      <c r="E244" t="s">
        <v>27</v>
      </c>
      <c r="F244" t="s">
        <v>54</v>
      </c>
      <c r="G244">
        <v>107</v>
      </c>
      <c r="H244">
        <v>1596</v>
      </c>
      <c r="I244" t="s">
        <v>15</v>
      </c>
      <c r="J244">
        <v>4</v>
      </c>
    </row>
    <row r="245" spans="1:10">
      <c r="A245" t="s">
        <v>518</v>
      </c>
      <c r="B245" t="s">
        <v>519</v>
      </c>
      <c r="C245">
        <v>1233</v>
      </c>
      <c r="D245" t="s">
        <v>18</v>
      </c>
      <c r="E245" t="s">
        <v>19</v>
      </c>
      <c r="F245" t="s">
        <v>54</v>
      </c>
      <c r="G245">
        <v>50</v>
      </c>
      <c r="I245" t="s">
        <v>29</v>
      </c>
    </row>
    <row r="246" spans="1:10">
      <c r="A246" t="s">
        <v>520</v>
      </c>
      <c r="B246" t="s">
        <v>521</v>
      </c>
      <c r="C246">
        <v>1853</v>
      </c>
      <c r="D246" t="s">
        <v>47</v>
      </c>
      <c r="E246" t="s">
        <v>27</v>
      </c>
      <c r="F246" t="s">
        <v>28</v>
      </c>
      <c r="G246">
        <v>57</v>
      </c>
      <c r="H246">
        <v>3554</v>
      </c>
      <c r="I246" t="s">
        <v>15</v>
      </c>
      <c r="J246">
        <v>4</v>
      </c>
    </row>
    <row r="247" spans="1:10">
      <c r="A247" t="s">
        <v>522</v>
      </c>
      <c r="B247" t="s">
        <v>523</v>
      </c>
      <c r="C247">
        <v>1907</v>
      </c>
      <c r="D247" t="s">
        <v>47</v>
      </c>
      <c r="E247" t="s">
        <v>13</v>
      </c>
      <c r="F247" t="s">
        <v>34</v>
      </c>
      <c r="G247">
        <v>6</v>
      </c>
      <c r="H247">
        <v>59</v>
      </c>
      <c r="I247" t="s">
        <v>15</v>
      </c>
      <c r="J247">
        <v>1</v>
      </c>
    </row>
    <row r="248" spans="1:10">
      <c r="A248" t="s">
        <v>524</v>
      </c>
      <c r="B248" t="s">
        <v>525</v>
      </c>
      <c r="C248">
        <v>1794</v>
      </c>
      <c r="D248" t="s">
        <v>12</v>
      </c>
      <c r="E248" t="s">
        <v>27</v>
      </c>
      <c r="F248" t="s">
        <v>43</v>
      </c>
      <c r="G248">
        <v>139</v>
      </c>
      <c r="H248">
        <v>1873</v>
      </c>
      <c r="I248" t="s">
        <v>15</v>
      </c>
    </row>
    <row r="249" spans="1:10">
      <c r="A249" t="s">
        <v>526</v>
      </c>
      <c r="B249" t="s">
        <v>527</v>
      </c>
      <c r="C249">
        <v>1335</v>
      </c>
      <c r="D249" t="s">
        <v>12</v>
      </c>
      <c r="E249" t="s">
        <v>33</v>
      </c>
      <c r="F249" t="s">
        <v>54</v>
      </c>
      <c r="G249">
        <v>471</v>
      </c>
      <c r="H249">
        <v>1488</v>
      </c>
      <c r="I249" t="s">
        <v>15</v>
      </c>
      <c r="J249">
        <v>5</v>
      </c>
    </row>
    <row r="250" spans="1:10">
      <c r="A250" t="s">
        <v>528</v>
      </c>
      <c r="B250" t="s">
        <v>529</v>
      </c>
      <c r="C250">
        <v>1675</v>
      </c>
      <c r="D250" t="s">
        <v>18</v>
      </c>
      <c r="E250" t="s">
        <v>27</v>
      </c>
      <c r="F250" t="s">
        <v>64</v>
      </c>
      <c r="G250">
        <v>167</v>
      </c>
      <c r="I250" t="s">
        <v>44</v>
      </c>
    </row>
    <row r="251" spans="1:10">
      <c r="A251" t="s">
        <v>530</v>
      </c>
      <c r="B251" t="s">
        <v>531</v>
      </c>
      <c r="C251">
        <v>1600</v>
      </c>
      <c r="D251" t="s">
        <v>12</v>
      </c>
      <c r="E251" t="s">
        <v>27</v>
      </c>
      <c r="F251" t="s">
        <v>14</v>
      </c>
      <c r="G251">
        <v>82</v>
      </c>
      <c r="I251" t="s">
        <v>44</v>
      </c>
    </row>
    <row r="252" spans="1:10">
      <c r="A252" t="s">
        <v>532</v>
      </c>
      <c r="B252" t="s">
        <v>533</v>
      </c>
      <c r="C252">
        <v>1087</v>
      </c>
      <c r="D252" t="s">
        <v>12</v>
      </c>
      <c r="E252" t="s">
        <v>13</v>
      </c>
      <c r="F252" t="s">
        <v>43</v>
      </c>
      <c r="G252">
        <v>6</v>
      </c>
      <c r="H252">
        <v>142</v>
      </c>
      <c r="I252" t="s">
        <v>15</v>
      </c>
      <c r="J252">
        <v>2</v>
      </c>
    </row>
    <row r="253" spans="1:10">
      <c r="A253" t="s">
        <v>534</v>
      </c>
      <c r="B253" t="s">
        <v>535</v>
      </c>
      <c r="C253">
        <v>1343</v>
      </c>
      <c r="D253" t="s">
        <v>18</v>
      </c>
      <c r="E253" t="s">
        <v>27</v>
      </c>
      <c r="F253" t="s">
        <v>59</v>
      </c>
      <c r="G253">
        <v>176</v>
      </c>
      <c r="I253" t="s">
        <v>44</v>
      </c>
    </row>
    <row r="254" spans="1:10">
      <c r="A254" t="s">
        <v>536</v>
      </c>
      <c r="B254" t="s">
        <v>537</v>
      </c>
      <c r="C254">
        <v>1817</v>
      </c>
      <c r="D254" t="s">
        <v>32</v>
      </c>
      <c r="E254" t="s">
        <v>19</v>
      </c>
      <c r="F254" t="s">
        <v>59</v>
      </c>
      <c r="G254">
        <v>31</v>
      </c>
      <c r="H254">
        <v>1013</v>
      </c>
      <c r="I254" t="s">
        <v>20</v>
      </c>
    </row>
    <row r="255" spans="1:10">
      <c r="A255" t="s">
        <v>538</v>
      </c>
      <c r="B255" t="s">
        <v>539</v>
      </c>
      <c r="C255">
        <v>1113</v>
      </c>
      <c r="D255" t="s">
        <v>32</v>
      </c>
      <c r="E255" t="s">
        <v>27</v>
      </c>
      <c r="F255" t="s">
        <v>23</v>
      </c>
      <c r="G255">
        <v>71</v>
      </c>
      <c r="H255">
        <v>2715</v>
      </c>
      <c r="I255" t="s">
        <v>15</v>
      </c>
      <c r="J255">
        <v>4</v>
      </c>
    </row>
    <row r="256" spans="1:10">
      <c r="A256" t="s">
        <v>540</v>
      </c>
      <c r="B256" t="s">
        <v>541</v>
      </c>
      <c r="C256">
        <v>1781</v>
      </c>
      <c r="D256" t="s">
        <v>26</v>
      </c>
      <c r="E256" t="s">
        <v>13</v>
      </c>
      <c r="F256" t="s">
        <v>71</v>
      </c>
      <c r="G256">
        <v>12</v>
      </c>
      <c r="H256">
        <v>384</v>
      </c>
      <c r="I256" t="s">
        <v>15</v>
      </c>
    </row>
    <row r="257" spans="1:10">
      <c r="A257" t="s">
        <v>542</v>
      </c>
      <c r="B257" t="s">
        <v>543</v>
      </c>
      <c r="C257">
        <v>1043</v>
      </c>
      <c r="D257" t="s">
        <v>12</v>
      </c>
      <c r="E257" t="s">
        <v>33</v>
      </c>
      <c r="F257" t="s">
        <v>14</v>
      </c>
      <c r="G257">
        <v>123</v>
      </c>
      <c r="H257">
        <v>1500</v>
      </c>
      <c r="I257" t="s">
        <v>15</v>
      </c>
    </row>
    <row r="258" spans="1:10">
      <c r="A258" t="s">
        <v>544</v>
      </c>
      <c r="B258" t="s">
        <v>545</v>
      </c>
      <c r="C258">
        <v>1226</v>
      </c>
      <c r="D258" t="s">
        <v>12</v>
      </c>
      <c r="E258" t="s">
        <v>13</v>
      </c>
      <c r="F258" t="s">
        <v>71</v>
      </c>
      <c r="G258">
        <v>5</v>
      </c>
      <c r="H258">
        <v>95</v>
      </c>
      <c r="I258" t="s">
        <v>20</v>
      </c>
      <c r="J258">
        <v>2</v>
      </c>
    </row>
    <row r="259" spans="1:10">
      <c r="A259" t="s">
        <v>546</v>
      </c>
      <c r="B259" t="s">
        <v>547</v>
      </c>
      <c r="C259">
        <v>1581</v>
      </c>
      <c r="D259" t="s">
        <v>18</v>
      </c>
      <c r="E259" t="s">
        <v>13</v>
      </c>
      <c r="F259" t="s">
        <v>59</v>
      </c>
      <c r="G259">
        <v>8</v>
      </c>
      <c r="I259" t="s">
        <v>29</v>
      </c>
    </row>
    <row r="260" spans="1:10">
      <c r="A260" t="s">
        <v>548</v>
      </c>
      <c r="B260" t="s">
        <v>549</v>
      </c>
      <c r="C260">
        <v>1729</v>
      </c>
      <c r="D260" t="s">
        <v>12</v>
      </c>
      <c r="E260" t="s">
        <v>19</v>
      </c>
      <c r="F260" t="s">
        <v>71</v>
      </c>
      <c r="G260">
        <v>15</v>
      </c>
      <c r="H260">
        <v>267</v>
      </c>
      <c r="I260" t="s">
        <v>15</v>
      </c>
      <c r="J260">
        <v>2</v>
      </c>
    </row>
    <row r="261" spans="1:10">
      <c r="A261" t="s">
        <v>550</v>
      </c>
      <c r="B261" t="s">
        <v>551</v>
      </c>
      <c r="C261">
        <v>1829</v>
      </c>
      <c r="D261" t="s">
        <v>32</v>
      </c>
      <c r="E261" t="s">
        <v>13</v>
      </c>
      <c r="F261" t="s">
        <v>59</v>
      </c>
      <c r="G261">
        <v>2</v>
      </c>
      <c r="H261">
        <v>98</v>
      </c>
      <c r="I261" t="s">
        <v>15</v>
      </c>
      <c r="J261">
        <v>1</v>
      </c>
    </row>
    <row r="262" spans="1:10">
      <c r="A262" t="s">
        <v>552</v>
      </c>
      <c r="B262" t="s">
        <v>553</v>
      </c>
      <c r="C262">
        <v>1609</v>
      </c>
      <c r="D262" t="s">
        <v>12</v>
      </c>
      <c r="E262" t="s">
        <v>27</v>
      </c>
      <c r="F262" t="s">
        <v>64</v>
      </c>
      <c r="G262">
        <v>120</v>
      </c>
      <c r="H262">
        <v>2836</v>
      </c>
      <c r="I262" t="s">
        <v>15</v>
      </c>
    </row>
    <row r="263" spans="1:10">
      <c r="A263" t="s">
        <v>554</v>
      </c>
      <c r="B263" t="s">
        <v>555</v>
      </c>
      <c r="C263">
        <v>1992</v>
      </c>
      <c r="D263" t="s">
        <v>26</v>
      </c>
      <c r="E263" t="s">
        <v>13</v>
      </c>
      <c r="F263" t="s">
        <v>59</v>
      </c>
      <c r="G263">
        <v>12</v>
      </c>
      <c r="H263">
        <v>393</v>
      </c>
      <c r="I263" t="s">
        <v>15</v>
      </c>
      <c r="J263">
        <v>4</v>
      </c>
    </row>
    <row r="264" spans="1:10">
      <c r="A264" t="s">
        <v>556</v>
      </c>
      <c r="B264" t="s">
        <v>557</v>
      </c>
      <c r="C264">
        <v>1163</v>
      </c>
      <c r="D264" t="s">
        <v>18</v>
      </c>
      <c r="E264" t="s">
        <v>27</v>
      </c>
      <c r="F264" t="s">
        <v>14</v>
      </c>
      <c r="G264">
        <v>83</v>
      </c>
      <c r="H264">
        <v>1033</v>
      </c>
      <c r="I264" t="s">
        <v>15</v>
      </c>
      <c r="J264">
        <v>3</v>
      </c>
    </row>
    <row r="265" spans="1:10">
      <c r="A265" t="s">
        <v>558</v>
      </c>
      <c r="B265" t="s">
        <v>559</v>
      </c>
      <c r="C265">
        <v>1379</v>
      </c>
      <c r="D265" t="s">
        <v>18</v>
      </c>
      <c r="E265" t="s">
        <v>27</v>
      </c>
      <c r="F265" t="s">
        <v>23</v>
      </c>
      <c r="G265">
        <v>117</v>
      </c>
      <c r="H265">
        <v>1127</v>
      </c>
      <c r="I265" t="s">
        <v>20</v>
      </c>
      <c r="J265">
        <v>3</v>
      </c>
    </row>
    <row r="266" spans="1:10">
      <c r="A266" t="s">
        <v>560</v>
      </c>
      <c r="B266" t="s">
        <v>561</v>
      </c>
      <c r="C266">
        <v>1703</v>
      </c>
      <c r="D266" t="s">
        <v>12</v>
      </c>
      <c r="E266" t="s">
        <v>27</v>
      </c>
      <c r="F266" t="s">
        <v>23</v>
      </c>
      <c r="G266">
        <v>90</v>
      </c>
      <c r="H266">
        <v>1696</v>
      </c>
      <c r="I266" t="s">
        <v>15</v>
      </c>
      <c r="J266">
        <v>1</v>
      </c>
    </row>
    <row r="267" spans="1:10">
      <c r="A267" t="s">
        <v>562</v>
      </c>
      <c r="B267" t="s">
        <v>563</v>
      </c>
      <c r="C267">
        <v>1254</v>
      </c>
      <c r="D267" t="s">
        <v>18</v>
      </c>
      <c r="E267" t="s">
        <v>19</v>
      </c>
      <c r="F267" t="s">
        <v>28</v>
      </c>
      <c r="G267">
        <v>9</v>
      </c>
      <c r="H267">
        <v>809</v>
      </c>
      <c r="I267" t="s">
        <v>15</v>
      </c>
      <c r="J267">
        <v>1</v>
      </c>
    </row>
    <row r="268" spans="1:10">
      <c r="A268" t="s">
        <v>564</v>
      </c>
      <c r="B268" t="s">
        <v>565</v>
      </c>
      <c r="C268">
        <v>1414</v>
      </c>
      <c r="D268" t="s">
        <v>47</v>
      </c>
      <c r="E268" t="s">
        <v>13</v>
      </c>
      <c r="F268" t="s">
        <v>54</v>
      </c>
      <c r="G268">
        <v>5</v>
      </c>
      <c r="H268">
        <v>126</v>
      </c>
      <c r="I268" t="s">
        <v>15</v>
      </c>
      <c r="J268">
        <v>3</v>
      </c>
    </row>
    <row r="269" spans="1:10">
      <c r="A269" t="s">
        <v>566</v>
      </c>
      <c r="B269" t="s">
        <v>567</v>
      </c>
      <c r="C269">
        <v>1645</v>
      </c>
      <c r="D269" t="s">
        <v>18</v>
      </c>
      <c r="E269" t="s">
        <v>33</v>
      </c>
      <c r="F269" t="s">
        <v>64</v>
      </c>
      <c r="G269">
        <v>389</v>
      </c>
      <c r="H269">
        <v>3164</v>
      </c>
      <c r="I269" t="s">
        <v>20</v>
      </c>
      <c r="J269">
        <v>1</v>
      </c>
    </row>
    <row r="270" spans="1:10">
      <c r="A270" t="s">
        <v>568</v>
      </c>
      <c r="B270" t="s">
        <v>569</v>
      </c>
      <c r="C270">
        <v>1656</v>
      </c>
      <c r="D270" t="s">
        <v>12</v>
      </c>
      <c r="E270" t="s">
        <v>13</v>
      </c>
      <c r="F270" t="s">
        <v>34</v>
      </c>
      <c r="G270">
        <v>9</v>
      </c>
      <c r="H270">
        <v>318</v>
      </c>
      <c r="I270" t="s">
        <v>15</v>
      </c>
    </row>
    <row r="271" spans="1:10">
      <c r="A271" t="s">
        <v>570</v>
      </c>
      <c r="B271" t="s">
        <v>571</v>
      </c>
      <c r="C271">
        <v>1727</v>
      </c>
      <c r="D271" t="s">
        <v>12</v>
      </c>
      <c r="E271" t="s">
        <v>33</v>
      </c>
      <c r="F271" t="s">
        <v>54</v>
      </c>
      <c r="G271">
        <v>256</v>
      </c>
      <c r="H271">
        <v>5523</v>
      </c>
      <c r="I271" t="s">
        <v>20</v>
      </c>
      <c r="J271">
        <v>3</v>
      </c>
    </row>
    <row r="272" spans="1:10">
      <c r="A272" t="s">
        <v>572</v>
      </c>
      <c r="B272" t="s">
        <v>573</v>
      </c>
      <c r="C272">
        <v>1312</v>
      </c>
      <c r="D272" t="s">
        <v>32</v>
      </c>
      <c r="E272" t="s">
        <v>19</v>
      </c>
      <c r="F272" t="s">
        <v>54</v>
      </c>
      <c r="G272">
        <v>25</v>
      </c>
      <c r="I272" t="s">
        <v>29</v>
      </c>
    </row>
    <row r="273" spans="1:10">
      <c r="A273" t="s">
        <v>574</v>
      </c>
      <c r="B273" t="s">
        <v>575</v>
      </c>
      <c r="C273">
        <v>1006</v>
      </c>
      <c r="D273" t="s">
        <v>12</v>
      </c>
      <c r="E273" t="s">
        <v>33</v>
      </c>
      <c r="F273" t="s">
        <v>54</v>
      </c>
      <c r="G273">
        <v>400</v>
      </c>
      <c r="H273">
        <v>7427</v>
      </c>
      <c r="I273" t="s">
        <v>20</v>
      </c>
      <c r="J273">
        <v>4</v>
      </c>
    </row>
    <row r="274" spans="1:10">
      <c r="A274" t="s">
        <v>576</v>
      </c>
      <c r="B274" t="s">
        <v>577</v>
      </c>
      <c r="C274">
        <v>1092</v>
      </c>
      <c r="D274" t="s">
        <v>47</v>
      </c>
      <c r="E274" t="s">
        <v>33</v>
      </c>
      <c r="F274" t="s">
        <v>71</v>
      </c>
      <c r="G274">
        <v>257</v>
      </c>
      <c r="H274">
        <v>6666</v>
      </c>
      <c r="I274" t="s">
        <v>20</v>
      </c>
      <c r="J274">
        <v>3</v>
      </c>
    </row>
    <row r="275" spans="1:10">
      <c r="A275" t="s">
        <v>578</v>
      </c>
      <c r="B275" t="s">
        <v>579</v>
      </c>
      <c r="C275">
        <v>1005</v>
      </c>
      <c r="D275" t="s">
        <v>47</v>
      </c>
      <c r="E275" t="s">
        <v>27</v>
      </c>
      <c r="F275" t="s">
        <v>43</v>
      </c>
      <c r="G275">
        <v>142</v>
      </c>
      <c r="H275">
        <v>2275</v>
      </c>
      <c r="I275" t="s">
        <v>15</v>
      </c>
    </row>
    <row r="276" spans="1:10">
      <c r="A276" t="s">
        <v>580</v>
      </c>
      <c r="B276" t="s">
        <v>581</v>
      </c>
      <c r="C276">
        <v>1492</v>
      </c>
      <c r="D276" t="s">
        <v>32</v>
      </c>
      <c r="E276" t="s">
        <v>27</v>
      </c>
      <c r="F276" t="s">
        <v>43</v>
      </c>
      <c r="G276">
        <v>104</v>
      </c>
      <c r="H276">
        <v>3255</v>
      </c>
      <c r="I276" t="s">
        <v>15</v>
      </c>
      <c r="J276">
        <v>2</v>
      </c>
    </row>
    <row r="277" spans="1:10">
      <c r="A277" t="s">
        <v>582</v>
      </c>
      <c r="B277" t="s">
        <v>583</v>
      </c>
      <c r="C277">
        <v>1278</v>
      </c>
      <c r="D277" t="s">
        <v>32</v>
      </c>
      <c r="E277" t="s">
        <v>13</v>
      </c>
      <c r="F277" t="s">
        <v>54</v>
      </c>
      <c r="G277">
        <v>10</v>
      </c>
      <c r="H277">
        <v>338</v>
      </c>
      <c r="I277" t="s">
        <v>20</v>
      </c>
      <c r="J277">
        <v>3</v>
      </c>
    </row>
    <row r="278" spans="1:10">
      <c r="A278" t="s">
        <v>584</v>
      </c>
      <c r="B278" t="s">
        <v>585</v>
      </c>
      <c r="C278">
        <v>1069</v>
      </c>
      <c r="D278" t="s">
        <v>12</v>
      </c>
      <c r="E278" t="s">
        <v>27</v>
      </c>
      <c r="F278" t="s">
        <v>59</v>
      </c>
      <c r="G278">
        <v>40</v>
      </c>
      <c r="H278">
        <v>2227</v>
      </c>
      <c r="I278" t="s">
        <v>20</v>
      </c>
    </row>
    <row r="279" spans="1:10">
      <c r="A279" t="s">
        <v>586</v>
      </c>
      <c r="B279" t="s">
        <v>587</v>
      </c>
      <c r="C279">
        <v>1216</v>
      </c>
      <c r="D279" t="s">
        <v>18</v>
      </c>
      <c r="E279" t="s">
        <v>13</v>
      </c>
      <c r="F279" t="s">
        <v>71</v>
      </c>
      <c r="G279">
        <v>7</v>
      </c>
      <c r="H279">
        <v>342</v>
      </c>
      <c r="I279" t="s">
        <v>15</v>
      </c>
      <c r="J279">
        <v>2</v>
      </c>
    </row>
    <row r="280" spans="1:10">
      <c r="A280" t="s">
        <v>588</v>
      </c>
      <c r="B280" t="s">
        <v>589</v>
      </c>
      <c r="C280">
        <v>1416</v>
      </c>
      <c r="D280" t="s">
        <v>32</v>
      </c>
      <c r="E280" t="s">
        <v>13</v>
      </c>
      <c r="F280" t="s">
        <v>28</v>
      </c>
      <c r="G280">
        <v>3</v>
      </c>
      <c r="H280">
        <v>350</v>
      </c>
      <c r="I280" t="s">
        <v>20</v>
      </c>
    </row>
    <row r="281" spans="1:10">
      <c r="A281" t="s">
        <v>590</v>
      </c>
      <c r="B281" t="s">
        <v>591</v>
      </c>
      <c r="C281">
        <v>1602</v>
      </c>
      <c r="D281" t="s">
        <v>32</v>
      </c>
      <c r="E281" t="s">
        <v>27</v>
      </c>
      <c r="F281" t="s">
        <v>23</v>
      </c>
      <c r="G281">
        <v>62</v>
      </c>
      <c r="H281">
        <v>3627</v>
      </c>
      <c r="I281" t="s">
        <v>20</v>
      </c>
      <c r="J281">
        <v>5</v>
      </c>
    </row>
    <row r="282" spans="1:10">
      <c r="A282" t="s">
        <v>592</v>
      </c>
      <c r="B282" t="s">
        <v>593</v>
      </c>
      <c r="C282">
        <v>1836</v>
      </c>
      <c r="D282" t="s">
        <v>18</v>
      </c>
      <c r="E282" t="s">
        <v>27</v>
      </c>
      <c r="F282" t="s">
        <v>54</v>
      </c>
      <c r="G282">
        <v>130</v>
      </c>
      <c r="H282">
        <v>3088</v>
      </c>
      <c r="I282" t="s">
        <v>15</v>
      </c>
      <c r="J282">
        <v>5</v>
      </c>
    </row>
    <row r="283" spans="1:10">
      <c r="A283" t="s">
        <v>594</v>
      </c>
      <c r="B283" t="s">
        <v>595</v>
      </c>
      <c r="C283">
        <v>1126</v>
      </c>
      <c r="D283" t="s">
        <v>26</v>
      </c>
      <c r="E283" t="s">
        <v>13</v>
      </c>
      <c r="F283" t="s">
        <v>28</v>
      </c>
      <c r="G283">
        <v>2</v>
      </c>
      <c r="I283" t="s">
        <v>29</v>
      </c>
    </row>
    <row r="284" spans="1:10">
      <c r="A284" t="s">
        <v>596</v>
      </c>
      <c r="B284" t="s">
        <v>597</v>
      </c>
      <c r="C284">
        <v>1184</v>
      </c>
      <c r="D284" t="s">
        <v>32</v>
      </c>
      <c r="E284" t="s">
        <v>19</v>
      </c>
      <c r="F284" t="s">
        <v>59</v>
      </c>
      <c r="G284">
        <v>34</v>
      </c>
      <c r="H284">
        <v>658</v>
      </c>
      <c r="I284" t="s">
        <v>15</v>
      </c>
    </row>
    <row r="285" spans="1:10">
      <c r="A285" t="s">
        <v>598</v>
      </c>
      <c r="B285" t="s">
        <v>599</v>
      </c>
      <c r="C285">
        <v>1100</v>
      </c>
      <c r="D285" t="s">
        <v>12</v>
      </c>
      <c r="E285" t="s">
        <v>27</v>
      </c>
      <c r="F285" t="s">
        <v>54</v>
      </c>
      <c r="G285">
        <v>36</v>
      </c>
      <c r="H285">
        <v>2924</v>
      </c>
      <c r="I285" t="s">
        <v>20</v>
      </c>
      <c r="J285">
        <v>5</v>
      </c>
    </row>
    <row r="286" spans="1:10">
      <c r="A286" t="s">
        <v>600</v>
      </c>
      <c r="B286" t="s">
        <v>601</v>
      </c>
      <c r="C286">
        <v>1371</v>
      </c>
      <c r="D286" t="s">
        <v>12</v>
      </c>
      <c r="E286" t="s">
        <v>27</v>
      </c>
      <c r="F286" t="s">
        <v>23</v>
      </c>
      <c r="G286">
        <v>87</v>
      </c>
      <c r="H286">
        <v>685</v>
      </c>
      <c r="I286" t="s">
        <v>15</v>
      </c>
    </row>
    <row r="287" spans="1:10">
      <c r="A287" t="s">
        <v>602</v>
      </c>
      <c r="B287" t="s">
        <v>603</v>
      </c>
      <c r="C287">
        <v>1199</v>
      </c>
      <c r="D287" t="s">
        <v>12</v>
      </c>
      <c r="E287" t="s">
        <v>27</v>
      </c>
      <c r="F287" t="s">
        <v>43</v>
      </c>
      <c r="G287">
        <v>156</v>
      </c>
      <c r="H287">
        <v>1880</v>
      </c>
      <c r="I287" t="s">
        <v>15</v>
      </c>
      <c r="J287">
        <v>2</v>
      </c>
    </row>
    <row r="288" spans="1:10">
      <c r="A288" t="s">
        <v>604</v>
      </c>
      <c r="B288" t="s">
        <v>605</v>
      </c>
      <c r="C288">
        <v>1110</v>
      </c>
      <c r="D288" t="s">
        <v>18</v>
      </c>
      <c r="E288" t="s">
        <v>13</v>
      </c>
      <c r="F288" t="s">
        <v>34</v>
      </c>
      <c r="G288">
        <v>9</v>
      </c>
      <c r="H288">
        <v>369</v>
      </c>
      <c r="I288" t="s">
        <v>15</v>
      </c>
      <c r="J288">
        <v>1</v>
      </c>
    </row>
    <row r="289" spans="1:10">
      <c r="A289" t="s">
        <v>606</v>
      </c>
      <c r="B289" t="s">
        <v>607</v>
      </c>
      <c r="C289">
        <v>1543</v>
      </c>
      <c r="D289" t="s">
        <v>47</v>
      </c>
      <c r="E289" t="s">
        <v>13</v>
      </c>
      <c r="F289" t="s">
        <v>23</v>
      </c>
      <c r="G289">
        <v>7</v>
      </c>
      <c r="H289">
        <v>419</v>
      </c>
      <c r="I289" t="s">
        <v>15</v>
      </c>
    </row>
    <row r="290" spans="1:10">
      <c r="A290" t="s">
        <v>608</v>
      </c>
      <c r="B290" t="s">
        <v>609</v>
      </c>
      <c r="C290">
        <v>1478</v>
      </c>
      <c r="D290" t="s">
        <v>26</v>
      </c>
      <c r="E290" t="s">
        <v>19</v>
      </c>
      <c r="F290" t="s">
        <v>54</v>
      </c>
      <c r="G290">
        <v>25</v>
      </c>
      <c r="H290">
        <v>976</v>
      </c>
      <c r="I290" t="s">
        <v>15</v>
      </c>
      <c r="J290">
        <v>4</v>
      </c>
    </row>
    <row r="291" spans="1:10">
      <c r="A291" t="s">
        <v>610</v>
      </c>
      <c r="B291" t="s">
        <v>611</v>
      </c>
      <c r="C291">
        <v>1264</v>
      </c>
      <c r="D291" t="s">
        <v>18</v>
      </c>
      <c r="E291" t="s">
        <v>27</v>
      </c>
      <c r="F291" t="s">
        <v>43</v>
      </c>
      <c r="G291">
        <v>175</v>
      </c>
      <c r="H291">
        <v>1266</v>
      </c>
      <c r="I291" t="s">
        <v>15</v>
      </c>
      <c r="J291">
        <v>4</v>
      </c>
    </row>
    <row r="292" spans="1:10">
      <c r="A292" t="s">
        <v>612</v>
      </c>
      <c r="B292" t="s">
        <v>613</v>
      </c>
      <c r="C292">
        <v>1742</v>
      </c>
      <c r="D292" t="s">
        <v>32</v>
      </c>
      <c r="E292" t="s">
        <v>27</v>
      </c>
      <c r="F292" t="s">
        <v>14</v>
      </c>
      <c r="G292">
        <v>28</v>
      </c>
      <c r="I292" t="s">
        <v>29</v>
      </c>
    </row>
    <row r="293" spans="1:10">
      <c r="A293" t="s">
        <v>614</v>
      </c>
      <c r="B293" t="s">
        <v>615</v>
      </c>
      <c r="C293">
        <v>1431</v>
      </c>
      <c r="D293" t="s">
        <v>47</v>
      </c>
      <c r="E293" t="s">
        <v>27</v>
      </c>
      <c r="F293" t="s">
        <v>28</v>
      </c>
      <c r="G293">
        <v>88</v>
      </c>
      <c r="H293">
        <v>1264</v>
      </c>
      <c r="I293" t="s">
        <v>15</v>
      </c>
      <c r="J293">
        <v>2</v>
      </c>
    </row>
    <row r="294" spans="1:10">
      <c r="A294" t="s">
        <v>616</v>
      </c>
      <c r="B294" t="s">
        <v>617</v>
      </c>
      <c r="C294">
        <v>1989</v>
      </c>
      <c r="D294" t="s">
        <v>18</v>
      </c>
      <c r="E294" t="s">
        <v>27</v>
      </c>
      <c r="F294" t="s">
        <v>23</v>
      </c>
      <c r="G294">
        <v>165</v>
      </c>
      <c r="H294">
        <v>3428</v>
      </c>
      <c r="I294" t="s">
        <v>20</v>
      </c>
      <c r="J294">
        <v>4</v>
      </c>
    </row>
    <row r="295" spans="1:10">
      <c r="A295" t="s">
        <v>618</v>
      </c>
      <c r="B295" t="s">
        <v>619</v>
      </c>
      <c r="C295">
        <v>1160</v>
      </c>
      <c r="D295" t="s">
        <v>47</v>
      </c>
      <c r="E295" t="s">
        <v>19</v>
      </c>
      <c r="F295" t="s">
        <v>14</v>
      </c>
      <c r="G295">
        <v>28</v>
      </c>
      <c r="H295">
        <v>769</v>
      </c>
      <c r="I295" t="s">
        <v>20</v>
      </c>
    </row>
    <row r="296" spans="1:10">
      <c r="A296" t="s">
        <v>620</v>
      </c>
      <c r="B296" t="s">
        <v>621</v>
      </c>
      <c r="C296">
        <v>1970</v>
      </c>
      <c r="D296" t="s">
        <v>18</v>
      </c>
      <c r="E296" t="s">
        <v>27</v>
      </c>
      <c r="F296" t="s">
        <v>14</v>
      </c>
      <c r="G296">
        <v>151</v>
      </c>
      <c r="I296" t="s">
        <v>29</v>
      </c>
    </row>
    <row r="297" spans="1:10">
      <c r="A297" t="s">
        <v>622</v>
      </c>
      <c r="B297" t="s">
        <v>623</v>
      </c>
      <c r="C297">
        <v>1421</v>
      </c>
      <c r="D297" t="s">
        <v>47</v>
      </c>
      <c r="E297" t="s">
        <v>33</v>
      </c>
      <c r="F297" t="s">
        <v>34</v>
      </c>
      <c r="G297">
        <v>102</v>
      </c>
      <c r="H297">
        <v>6020</v>
      </c>
      <c r="I297" t="s">
        <v>15</v>
      </c>
      <c r="J297">
        <v>3</v>
      </c>
    </row>
    <row r="298" spans="1:10">
      <c r="A298" t="s">
        <v>624</v>
      </c>
      <c r="B298" t="s">
        <v>625</v>
      </c>
      <c r="C298">
        <v>1816</v>
      </c>
      <c r="D298" t="s">
        <v>47</v>
      </c>
      <c r="E298" t="s">
        <v>19</v>
      </c>
      <c r="F298" t="s">
        <v>54</v>
      </c>
      <c r="G298">
        <v>35</v>
      </c>
      <c r="H298">
        <v>392</v>
      </c>
      <c r="I298" t="s">
        <v>15</v>
      </c>
      <c r="J298">
        <v>4</v>
      </c>
    </row>
    <row r="299" spans="1:10">
      <c r="A299" t="s">
        <v>626</v>
      </c>
      <c r="B299" t="s">
        <v>627</v>
      </c>
      <c r="C299">
        <v>1036</v>
      </c>
      <c r="D299" t="s">
        <v>47</v>
      </c>
      <c r="E299" t="s">
        <v>27</v>
      </c>
      <c r="F299" t="s">
        <v>71</v>
      </c>
      <c r="G299">
        <v>151</v>
      </c>
      <c r="H299">
        <v>2104</v>
      </c>
      <c r="I299" t="s">
        <v>15</v>
      </c>
      <c r="J299">
        <v>4</v>
      </c>
    </row>
    <row r="300" spans="1:10">
      <c r="A300" t="s">
        <v>628</v>
      </c>
      <c r="B300" t="s">
        <v>629</v>
      </c>
      <c r="C300">
        <v>1182</v>
      </c>
      <c r="D300" t="s">
        <v>26</v>
      </c>
      <c r="E300" t="s">
        <v>27</v>
      </c>
      <c r="F300" t="s">
        <v>64</v>
      </c>
      <c r="G300">
        <v>80</v>
      </c>
      <c r="H300">
        <v>3117</v>
      </c>
      <c r="I300" t="s">
        <v>15</v>
      </c>
      <c r="J300">
        <v>5</v>
      </c>
    </row>
    <row r="301" spans="1:10">
      <c r="A301" t="s">
        <v>630</v>
      </c>
      <c r="B301" t="s">
        <v>631</v>
      </c>
      <c r="C301">
        <v>1587</v>
      </c>
      <c r="D301" t="s">
        <v>12</v>
      </c>
      <c r="E301" t="s">
        <v>27</v>
      </c>
      <c r="F301" t="s">
        <v>59</v>
      </c>
      <c r="G301">
        <v>133</v>
      </c>
      <c r="H301">
        <v>743</v>
      </c>
      <c r="I301" t="s">
        <v>20</v>
      </c>
      <c r="J301">
        <v>2</v>
      </c>
    </row>
    <row r="302" spans="1:10">
      <c r="A302" t="s">
        <v>632</v>
      </c>
      <c r="B302" t="s">
        <v>633</v>
      </c>
      <c r="C302">
        <v>1887</v>
      </c>
      <c r="D302" t="s">
        <v>32</v>
      </c>
      <c r="E302" t="s">
        <v>27</v>
      </c>
      <c r="F302" t="s">
        <v>43</v>
      </c>
      <c r="G302">
        <v>140</v>
      </c>
      <c r="H302">
        <v>2112</v>
      </c>
      <c r="I302" t="s">
        <v>15</v>
      </c>
    </row>
    <row r="303" spans="1:10">
      <c r="A303" t="s">
        <v>634</v>
      </c>
      <c r="B303" t="s">
        <v>635</v>
      </c>
      <c r="C303">
        <v>1280</v>
      </c>
      <c r="D303" t="s">
        <v>47</v>
      </c>
      <c r="E303" t="s">
        <v>27</v>
      </c>
      <c r="F303" t="s">
        <v>71</v>
      </c>
      <c r="G303">
        <v>141</v>
      </c>
      <c r="I303" t="s">
        <v>29</v>
      </c>
    </row>
    <row r="304" spans="1:10">
      <c r="A304" t="s">
        <v>636</v>
      </c>
      <c r="B304" t="s">
        <v>637</v>
      </c>
      <c r="C304">
        <v>1733</v>
      </c>
      <c r="D304" t="s">
        <v>32</v>
      </c>
      <c r="E304" t="s">
        <v>19</v>
      </c>
      <c r="F304" t="s">
        <v>23</v>
      </c>
      <c r="G304">
        <v>42</v>
      </c>
      <c r="H304">
        <v>764</v>
      </c>
      <c r="I304" t="s">
        <v>20</v>
      </c>
      <c r="J304">
        <v>2</v>
      </c>
    </row>
    <row r="305" spans="1:10">
      <c r="A305" t="s">
        <v>638</v>
      </c>
      <c r="B305" t="s">
        <v>639</v>
      </c>
      <c r="C305">
        <v>1269</v>
      </c>
      <c r="D305" t="s">
        <v>12</v>
      </c>
      <c r="E305" t="s">
        <v>27</v>
      </c>
      <c r="F305" t="s">
        <v>14</v>
      </c>
      <c r="G305">
        <v>135</v>
      </c>
      <c r="H305">
        <v>2759</v>
      </c>
      <c r="I305" t="s">
        <v>20</v>
      </c>
      <c r="J305">
        <v>5</v>
      </c>
    </row>
    <row r="306" spans="1:10">
      <c r="A306" t="s">
        <v>640</v>
      </c>
      <c r="B306" t="s">
        <v>641</v>
      </c>
      <c r="C306">
        <v>1059</v>
      </c>
      <c r="D306" t="s">
        <v>26</v>
      </c>
      <c r="E306" t="s">
        <v>13</v>
      </c>
      <c r="F306" t="s">
        <v>34</v>
      </c>
      <c r="G306">
        <v>10</v>
      </c>
      <c r="H306">
        <v>346</v>
      </c>
      <c r="I306" t="s">
        <v>15</v>
      </c>
    </row>
    <row r="307" spans="1:10">
      <c r="A307" t="s">
        <v>642</v>
      </c>
      <c r="B307" t="s">
        <v>643</v>
      </c>
      <c r="C307">
        <v>1510</v>
      </c>
      <c r="D307" t="s">
        <v>12</v>
      </c>
      <c r="E307" t="s">
        <v>27</v>
      </c>
      <c r="F307" t="s">
        <v>34</v>
      </c>
      <c r="G307">
        <v>63</v>
      </c>
      <c r="H307">
        <v>2006</v>
      </c>
      <c r="I307" t="s">
        <v>15</v>
      </c>
    </row>
    <row r="308" spans="1:10">
      <c r="A308" t="s">
        <v>644</v>
      </c>
      <c r="B308" t="s">
        <v>645</v>
      </c>
      <c r="C308">
        <v>1556</v>
      </c>
      <c r="D308" t="s">
        <v>18</v>
      </c>
      <c r="E308" t="s">
        <v>33</v>
      </c>
      <c r="F308" t="s">
        <v>23</v>
      </c>
      <c r="G308">
        <v>355</v>
      </c>
      <c r="I308" t="s">
        <v>29</v>
      </c>
    </row>
    <row r="309" spans="1:10">
      <c r="A309" t="s">
        <v>646</v>
      </c>
      <c r="B309" t="s">
        <v>647</v>
      </c>
      <c r="C309">
        <v>1744</v>
      </c>
      <c r="D309" t="s">
        <v>47</v>
      </c>
      <c r="E309" t="s">
        <v>27</v>
      </c>
      <c r="F309" t="s">
        <v>34</v>
      </c>
      <c r="G309">
        <v>117</v>
      </c>
      <c r="I309" t="s">
        <v>44</v>
      </c>
    </row>
    <row r="310" spans="1:10">
      <c r="A310" t="s">
        <v>648</v>
      </c>
      <c r="B310" t="s">
        <v>649</v>
      </c>
      <c r="C310">
        <v>1578</v>
      </c>
      <c r="D310" t="s">
        <v>26</v>
      </c>
      <c r="E310" t="s">
        <v>27</v>
      </c>
      <c r="F310" t="s">
        <v>23</v>
      </c>
      <c r="G310">
        <v>86</v>
      </c>
      <c r="H310">
        <v>3085</v>
      </c>
      <c r="I310" t="s">
        <v>15</v>
      </c>
      <c r="J310">
        <v>1</v>
      </c>
    </row>
    <row r="311" spans="1:10">
      <c r="A311" t="s">
        <v>650</v>
      </c>
      <c r="B311" t="s">
        <v>651</v>
      </c>
      <c r="C311">
        <v>1995</v>
      </c>
      <c r="D311" t="s">
        <v>32</v>
      </c>
      <c r="E311" t="s">
        <v>27</v>
      </c>
      <c r="F311" t="s">
        <v>23</v>
      </c>
      <c r="G311">
        <v>173</v>
      </c>
      <c r="H311">
        <v>1609</v>
      </c>
      <c r="I311" t="s">
        <v>15</v>
      </c>
      <c r="J311">
        <v>2</v>
      </c>
    </row>
    <row r="312" spans="1:10">
      <c r="A312" t="s">
        <v>652</v>
      </c>
      <c r="B312" t="s">
        <v>653</v>
      </c>
      <c r="C312">
        <v>1121</v>
      </c>
      <c r="D312" t="s">
        <v>12</v>
      </c>
      <c r="E312" t="s">
        <v>27</v>
      </c>
      <c r="F312" t="s">
        <v>23</v>
      </c>
      <c r="G312">
        <v>33</v>
      </c>
      <c r="H312">
        <v>1448</v>
      </c>
      <c r="I312" t="s">
        <v>20</v>
      </c>
      <c r="J312">
        <v>3</v>
      </c>
    </row>
    <row r="313" spans="1:10">
      <c r="A313" t="s">
        <v>654</v>
      </c>
      <c r="B313" t="s">
        <v>655</v>
      </c>
      <c r="C313">
        <v>1507</v>
      </c>
      <c r="D313" t="s">
        <v>12</v>
      </c>
      <c r="E313" t="s">
        <v>27</v>
      </c>
      <c r="F313" t="s">
        <v>54</v>
      </c>
      <c r="G313">
        <v>122</v>
      </c>
      <c r="I313" t="s">
        <v>29</v>
      </c>
    </row>
    <row r="314" spans="1:10">
      <c r="A314" t="s">
        <v>656</v>
      </c>
      <c r="B314" t="s">
        <v>657</v>
      </c>
      <c r="C314">
        <v>1404</v>
      </c>
      <c r="D314" t="s">
        <v>47</v>
      </c>
      <c r="E314" t="s">
        <v>33</v>
      </c>
      <c r="F314" t="s">
        <v>28</v>
      </c>
      <c r="G314">
        <v>311</v>
      </c>
      <c r="H314">
        <v>4267</v>
      </c>
      <c r="I314" t="s">
        <v>15</v>
      </c>
      <c r="J314">
        <v>4</v>
      </c>
    </row>
    <row r="315" spans="1:10">
      <c r="A315" t="s">
        <v>658</v>
      </c>
      <c r="B315" t="s">
        <v>659</v>
      </c>
      <c r="C315">
        <v>1598</v>
      </c>
      <c r="D315" t="s">
        <v>12</v>
      </c>
      <c r="E315" t="s">
        <v>13</v>
      </c>
      <c r="F315" t="s">
        <v>71</v>
      </c>
      <c r="G315">
        <v>5</v>
      </c>
      <c r="I315" t="s">
        <v>29</v>
      </c>
    </row>
    <row r="316" spans="1:10">
      <c r="A316" t="s">
        <v>660</v>
      </c>
      <c r="B316" t="s">
        <v>661</v>
      </c>
      <c r="C316">
        <v>1794</v>
      </c>
      <c r="D316" t="s">
        <v>18</v>
      </c>
      <c r="E316" t="s">
        <v>27</v>
      </c>
      <c r="F316" t="s">
        <v>23</v>
      </c>
      <c r="G316">
        <v>102</v>
      </c>
      <c r="I316" t="s">
        <v>29</v>
      </c>
    </row>
    <row r="317" spans="1:10">
      <c r="A317" t="s">
        <v>662</v>
      </c>
      <c r="B317" t="s">
        <v>663</v>
      </c>
      <c r="C317">
        <v>1297</v>
      </c>
      <c r="D317" t="s">
        <v>18</v>
      </c>
      <c r="E317" t="s">
        <v>13</v>
      </c>
      <c r="F317" t="s">
        <v>14</v>
      </c>
      <c r="G317">
        <v>8</v>
      </c>
      <c r="H317">
        <v>375</v>
      </c>
      <c r="I317" t="s">
        <v>15</v>
      </c>
    </row>
    <row r="318" spans="1:10">
      <c r="A318" t="s">
        <v>664</v>
      </c>
      <c r="B318" t="s">
        <v>665</v>
      </c>
      <c r="C318">
        <v>1631</v>
      </c>
      <c r="D318" t="s">
        <v>47</v>
      </c>
      <c r="E318" t="s">
        <v>19</v>
      </c>
      <c r="F318" t="s">
        <v>54</v>
      </c>
      <c r="G318">
        <v>8</v>
      </c>
      <c r="H318">
        <v>782</v>
      </c>
      <c r="I318" t="s">
        <v>15</v>
      </c>
      <c r="J318">
        <v>4</v>
      </c>
    </row>
    <row r="319" spans="1:10">
      <c r="A319" t="s">
        <v>666</v>
      </c>
      <c r="B319" t="s">
        <v>667</v>
      </c>
      <c r="C319">
        <v>1255</v>
      </c>
      <c r="D319" t="s">
        <v>26</v>
      </c>
      <c r="E319" t="s">
        <v>19</v>
      </c>
      <c r="F319" t="s">
        <v>71</v>
      </c>
      <c r="G319">
        <v>31</v>
      </c>
      <c r="H319">
        <v>456</v>
      </c>
      <c r="I319" t="s">
        <v>15</v>
      </c>
    </row>
    <row r="320" spans="1:10">
      <c r="A320" t="s">
        <v>668</v>
      </c>
      <c r="B320" t="s">
        <v>669</v>
      </c>
      <c r="C320">
        <v>1831</v>
      </c>
      <c r="D320" t="s">
        <v>26</v>
      </c>
      <c r="E320" t="s">
        <v>33</v>
      </c>
      <c r="F320" t="s">
        <v>43</v>
      </c>
      <c r="G320">
        <v>224</v>
      </c>
      <c r="I320" t="s">
        <v>44</v>
      </c>
    </row>
    <row r="321" spans="1:10">
      <c r="A321" t="s">
        <v>670</v>
      </c>
      <c r="B321" t="s">
        <v>671</v>
      </c>
      <c r="C321">
        <v>1045</v>
      </c>
      <c r="D321" t="s">
        <v>26</v>
      </c>
      <c r="E321" t="s">
        <v>27</v>
      </c>
      <c r="F321" t="s">
        <v>23</v>
      </c>
      <c r="G321">
        <v>111</v>
      </c>
      <c r="H321">
        <v>1803</v>
      </c>
      <c r="I321" t="s">
        <v>15</v>
      </c>
      <c r="J321">
        <v>3</v>
      </c>
    </row>
    <row r="322" spans="1:10">
      <c r="A322" t="s">
        <v>672</v>
      </c>
      <c r="B322" t="s">
        <v>673</v>
      </c>
      <c r="C322">
        <v>1751</v>
      </c>
      <c r="D322" t="s">
        <v>26</v>
      </c>
      <c r="E322" t="s">
        <v>27</v>
      </c>
      <c r="F322" t="s">
        <v>34</v>
      </c>
      <c r="G322">
        <v>164</v>
      </c>
      <c r="H322">
        <v>1925</v>
      </c>
      <c r="I322" t="s">
        <v>15</v>
      </c>
      <c r="J322">
        <v>3</v>
      </c>
    </row>
    <row r="323" spans="1:10">
      <c r="A323" t="s">
        <v>674</v>
      </c>
      <c r="B323" t="s">
        <v>675</v>
      </c>
      <c r="C323">
        <v>1208</v>
      </c>
      <c r="D323" t="s">
        <v>26</v>
      </c>
      <c r="E323" t="s">
        <v>19</v>
      </c>
      <c r="F323" t="s">
        <v>28</v>
      </c>
      <c r="G323">
        <v>17</v>
      </c>
      <c r="H323">
        <v>1150</v>
      </c>
      <c r="I323" t="s">
        <v>15</v>
      </c>
      <c r="J323">
        <v>1</v>
      </c>
    </row>
    <row r="324" spans="1:10">
      <c r="A324" t="s">
        <v>676</v>
      </c>
      <c r="B324" t="s">
        <v>677</v>
      </c>
      <c r="C324">
        <v>1400</v>
      </c>
      <c r="D324" t="s">
        <v>18</v>
      </c>
      <c r="E324" t="s">
        <v>27</v>
      </c>
      <c r="F324" t="s">
        <v>28</v>
      </c>
      <c r="G324">
        <v>56</v>
      </c>
      <c r="H324">
        <v>2591</v>
      </c>
      <c r="I324" t="s">
        <v>20</v>
      </c>
      <c r="J324">
        <v>5</v>
      </c>
    </row>
    <row r="325" spans="1:10">
      <c r="A325" t="s">
        <v>678</v>
      </c>
      <c r="B325" t="s">
        <v>679</v>
      </c>
      <c r="C325">
        <v>1850</v>
      </c>
      <c r="D325" t="s">
        <v>12</v>
      </c>
      <c r="E325" t="s">
        <v>27</v>
      </c>
      <c r="F325" t="s">
        <v>23</v>
      </c>
      <c r="G325">
        <v>75</v>
      </c>
      <c r="H325">
        <v>1607</v>
      </c>
      <c r="I325" t="s">
        <v>15</v>
      </c>
      <c r="J325">
        <v>1</v>
      </c>
    </row>
    <row r="326" spans="1:10">
      <c r="A326" t="s">
        <v>680</v>
      </c>
      <c r="B326" t="s">
        <v>681</v>
      </c>
      <c r="C326">
        <v>1664</v>
      </c>
      <c r="D326" t="s">
        <v>12</v>
      </c>
      <c r="E326" t="s">
        <v>27</v>
      </c>
      <c r="F326" t="s">
        <v>28</v>
      </c>
      <c r="G326">
        <v>35</v>
      </c>
      <c r="H326">
        <v>3401</v>
      </c>
      <c r="I326" t="s">
        <v>15</v>
      </c>
      <c r="J326">
        <v>5</v>
      </c>
    </row>
    <row r="327" spans="1:10">
      <c r="A327" t="s">
        <v>682</v>
      </c>
      <c r="B327" t="s">
        <v>683</v>
      </c>
      <c r="C327">
        <v>1730</v>
      </c>
      <c r="D327" t="s">
        <v>26</v>
      </c>
      <c r="E327" t="s">
        <v>33</v>
      </c>
      <c r="F327" t="s">
        <v>14</v>
      </c>
      <c r="G327">
        <v>212</v>
      </c>
      <c r="I327" t="s">
        <v>29</v>
      </c>
    </row>
    <row r="328" spans="1:10">
      <c r="A328" t="s">
        <v>684</v>
      </c>
      <c r="B328" t="s">
        <v>685</v>
      </c>
      <c r="C328">
        <v>1431</v>
      </c>
      <c r="D328" t="s">
        <v>32</v>
      </c>
      <c r="E328" t="s">
        <v>13</v>
      </c>
      <c r="F328" t="s">
        <v>64</v>
      </c>
      <c r="G328">
        <v>9</v>
      </c>
      <c r="H328">
        <v>68</v>
      </c>
      <c r="I328" t="s">
        <v>15</v>
      </c>
      <c r="J328">
        <v>5</v>
      </c>
    </row>
    <row r="329" spans="1:10">
      <c r="A329" t="s">
        <v>686</v>
      </c>
      <c r="B329" t="s">
        <v>687</v>
      </c>
      <c r="C329">
        <v>1879</v>
      </c>
      <c r="D329" t="s">
        <v>12</v>
      </c>
      <c r="E329" t="s">
        <v>19</v>
      </c>
      <c r="F329" t="s">
        <v>64</v>
      </c>
      <c r="G329">
        <v>16</v>
      </c>
      <c r="H329">
        <v>703</v>
      </c>
      <c r="I329" t="s">
        <v>15</v>
      </c>
      <c r="J329">
        <v>2</v>
      </c>
    </row>
    <row r="330" spans="1:10">
      <c r="A330" t="s">
        <v>688</v>
      </c>
      <c r="B330" t="s">
        <v>689</v>
      </c>
      <c r="C330">
        <v>1113</v>
      </c>
      <c r="D330" t="s">
        <v>12</v>
      </c>
      <c r="E330" t="s">
        <v>19</v>
      </c>
      <c r="F330" t="s">
        <v>23</v>
      </c>
      <c r="G330">
        <v>12</v>
      </c>
      <c r="H330">
        <v>180</v>
      </c>
      <c r="I330" t="s">
        <v>15</v>
      </c>
      <c r="J330">
        <v>2</v>
      </c>
    </row>
    <row r="331" spans="1:10">
      <c r="A331" t="s">
        <v>690</v>
      </c>
      <c r="B331" t="s">
        <v>691</v>
      </c>
      <c r="C331">
        <v>1535</v>
      </c>
      <c r="D331" t="s">
        <v>26</v>
      </c>
      <c r="E331" t="s">
        <v>27</v>
      </c>
      <c r="F331" t="s">
        <v>23</v>
      </c>
      <c r="G331">
        <v>126</v>
      </c>
      <c r="H331">
        <v>2484</v>
      </c>
      <c r="I331" t="s">
        <v>20</v>
      </c>
      <c r="J331">
        <v>4</v>
      </c>
    </row>
    <row r="332" spans="1:10">
      <c r="A332" t="s">
        <v>692</v>
      </c>
      <c r="B332" t="s">
        <v>693</v>
      </c>
      <c r="C332">
        <v>1395</v>
      </c>
      <c r="D332" t="s">
        <v>47</v>
      </c>
      <c r="E332" t="s">
        <v>13</v>
      </c>
      <c r="F332" t="s">
        <v>71</v>
      </c>
      <c r="G332">
        <v>10</v>
      </c>
      <c r="H332">
        <v>67</v>
      </c>
      <c r="I332" t="s">
        <v>15</v>
      </c>
    </row>
    <row r="333" spans="1:10">
      <c r="A333" t="s">
        <v>694</v>
      </c>
      <c r="B333" t="s">
        <v>695</v>
      </c>
      <c r="C333">
        <v>1831</v>
      </c>
      <c r="D333" t="s">
        <v>12</v>
      </c>
      <c r="E333" t="s">
        <v>13</v>
      </c>
      <c r="F333" t="s">
        <v>71</v>
      </c>
      <c r="G333">
        <v>7</v>
      </c>
      <c r="I333" t="s">
        <v>29</v>
      </c>
    </row>
    <row r="334" spans="1:10">
      <c r="A334" t="s">
        <v>696</v>
      </c>
      <c r="B334" t="s">
        <v>697</v>
      </c>
      <c r="C334">
        <v>1737</v>
      </c>
      <c r="D334" t="s">
        <v>26</v>
      </c>
      <c r="E334" t="s">
        <v>27</v>
      </c>
      <c r="F334" t="s">
        <v>34</v>
      </c>
      <c r="G334">
        <v>167</v>
      </c>
      <c r="H334">
        <v>2970</v>
      </c>
      <c r="I334" t="s">
        <v>15</v>
      </c>
      <c r="J334">
        <v>2</v>
      </c>
    </row>
    <row r="335" spans="1:10">
      <c r="A335" t="s">
        <v>698</v>
      </c>
      <c r="B335" t="s">
        <v>699</v>
      </c>
      <c r="C335">
        <v>1430</v>
      </c>
      <c r="D335" t="s">
        <v>26</v>
      </c>
      <c r="E335" t="s">
        <v>19</v>
      </c>
      <c r="F335" t="s">
        <v>34</v>
      </c>
      <c r="G335">
        <v>26</v>
      </c>
      <c r="H335">
        <v>571</v>
      </c>
      <c r="I335" t="s">
        <v>15</v>
      </c>
      <c r="J335">
        <v>3</v>
      </c>
    </row>
    <row r="336" spans="1:10">
      <c r="A336" t="s">
        <v>700</v>
      </c>
      <c r="B336" t="s">
        <v>701</v>
      </c>
      <c r="C336">
        <v>1753</v>
      </c>
      <c r="D336" t="s">
        <v>12</v>
      </c>
      <c r="E336" t="s">
        <v>27</v>
      </c>
      <c r="F336" t="s">
        <v>43</v>
      </c>
      <c r="G336">
        <v>33</v>
      </c>
      <c r="H336">
        <v>2486</v>
      </c>
      <c r="I336" t="s">
        <v>20</v>
      </c>
      <c r="J336">
        <v>2</v>
      </c>
    </row>
    <row r="337" spans="1:10">
      <c r="A337" t="s">
        <v>702</v>
      </c>
      <c r="B337" t="s">
        <v>703</v>
      </c>
      <c r="C337">
        <v>1848</v>
      </c>
      <c r="D337" t="s">
        <v>47</v>
      </c>
      <c r="E337" t="s">
        <v>13</v>
      </c>
      <c r="F337" t="s">
        <v>23</v>
      </c>
      <c r="G337">
        <v>3</v>
      </c>
      <c r="H337">
        <v>123</v>
      </c>
      <c r="I337" t="s">
        <v>15</v>
      </c>
      <c r="J337">
        <v>4</v>
      </c>
    </row>
    <row r="338" spans="1:10">
      <c r="A338" t="s">
        <v>704</v>
      </c>
      <c r="B338" t="s">
        <v>705</v>
      </c>
      <c r="C338">
        <v>1865</v>
      </c>
      <c r="D338" t="s">
        <v>47</v>
      </c>
      <c r="E338" t="s">
        <v>27</v>
      </c>
      <c r="F338" t="s">
        <v>64</v>
      </c>
      <c r="G338">
        <v>97</v>
      </c>
      <c r="H338">
        <v>2001</v>
      </c>
      <c r="I338" t="s">
        <v>20</v>
      </c>
      <c r="J338">
        <v>4</v>
      </c>
    </row>
    <row r="339" spans="1:10">
      <c r="A339" t="s">
        <v>706</v>
      </c>
      <c r="B339" t="s">
        <v>707</v>
      </c>
      <c r="C339">
        <v>1042</v>
      </c>
      <c r="D339" t="s">
        <v>32</v>
      </c>
      <c r="E339" t="s">
        <v>33</v>
      </c>
      <c r="F339" t="s">
        <v>28</v>
      </c>
      <c r="G339">
        <v>371</v>
      </c>
      <c r="H339">
        <v>2214</v>
      </c>
      <c r="I339" t="s">
        <v>20</v>
      </c>
      <c r="J339">
        <v>1</v>
      </c>
    </row>
    <row r="340" spans="1:10">
      <c r="A340" t="s">
        <v>708</v>
      </c>
      <c r="B340" t="s">
        <v>709</v>
      </c>
      <c r="C340">
        <v>1690</v>
      </c>
      <c r="D340" t="s">
        <v>26</v>
      </c>
      <c r="E340" t="s">
        <v>27</v>
      </c>
      <c r="F340" t="s">
        <v>28</v>
      </c>
      <c r="G340">
        <v>110</v>
      </c>
      <c r="H340">
        <v>3565</v>
      </c>
      <c r="I340" t="s">
        <v>20</v>
      </c>
    </row>
    <row r="341" spans="1:10">
      <c r="A341" t="s">
        <v>710</v>
      </c>
      <c r="B341" t="s">
        <v>711</v>
      </c>
      <c r="C341">
        <v>1966</v>
      </c>
      <c r="D341" t="s">
        <v>18</v>
      </c>
      <c r="E341" t="s">
        <v>27</v>
      </c>
      <c r="F341" t="s">
        <v>23</v>
      </c>
      <c r="G341">
        <v>39</v>
      </c>
      <c r="H341">
        <v>1717</v>
      </c>
      <c r="I341" t="s">
        <v>15</v>
      </c>
    </row>
    <row r="342" spans="1:10">
      <c r="A342" t="s">
        <v>712</v>
      </c>
      <c r="B342" t="s">
        <v>713</v>
      </c>
      <c r="C342">
        <v>1074</v>
      </c>
      <c r="D342" t="s">
        <v>12</v>
      </c>
      <c r="E342" t="s">
        <v>19</v>
      </c>
      <c r="F342" t="s">
        <v>54</v>
      </c>
      <c r="G342">
        <v>41</v>
      </c>
      <c r="H342">
        <v>979</v>
      </c>
      <c r="I342" t="s">
        <v>15</v>
      </c>
      <c r="J342">
        <v>1</v>
      </c>
    </row>
    <row r="343" spans="1:10">
      <c r="A343" t="s">
        <v>714</v>
      </c>
      <c r="B343" t="s">
        <v>715</v>
      </c>
      <c r="C343">
        <v>1845</v>
      </c>
      <c r="D343" t="s">
        <v>26</v>
      </c>
      <c r="E343" t="s">
        <v>27</v>
      </c>
      <c r="F343" t="s">
        <v>54</v>
      </c>
      <c r="G343">
        <v>42</v>
      </c>
      <c r="H343">
        <v>1762</v>
      </c>
      <c r="I343" t="s">
        <v>15</v>
      </c>
    </row>
    <row r="344" spans="1:10">
      <c r="A344" t="s">
        <v>716</v>
      </c>
      <c r="B344" t="s">
        <v>717</v>
      </c>
      <c r="C344">
        <v>1105</v>
      </c>
      <c r="D344" t="s">
        <v>12</v>
      </c>
      <c r="E344" t="s">
        <v>27</v>
      </c>
      <c r="F344" t="s">
        <v>64</v>
      </c>
      <c r="G344">
        <v>141</v>
      </c>
      <c r="H344">
        <v>1823</v>
      </c>
      <c r="I344" t="s">
        <v>15</v>
      </c>
    </row>
    <row r="345" spans="1:10">
      <c r="A345" t="s">
        <v>718</v>
      </c>
      <c r="B345" t="s">
        <v>719</v>
      </c>
      <c r="C345">
        <v>1235</v>
      </c>
      <c r="D345" t="s">
        <v>47</v>
      </c>
      <c r="E345" t="s">
        <v>27</v>
      </c>
      <c r="F345" t="s">
        <v>23</v>
      </c>
      <c r="G345">
        <v>127</v>
      </c>
      <c r="H345">
        <v>3261</v>
      </c>
      <c r="I345" t="s">
        <v>15</v>
      </c>
      <c r="J345">
        <v>2</v>
      </c>
    </row>
    <row r="346" spans="1:10">
      <c r="A346" t="s">
        <v>720</v>
      </c>
      <c r="B346" t="s">
        <v>721</v>
      </c>
      <c r="C346">
        <v>1845</v>
      </c>
      <c r="D346" t="s">
        <v>47</v>
      </c>
      <c r="E346" t="s">
        <v>13</v>
      </c>
      <c r="F346" t="s">
        <v>43</v>
      </c>
      <c r="G346">
        <v>11</v>
      </c>
      <c r="H346">
        <v>244</v>
      </c>
      <c r="I346" t="s">
        <v>15</v>
      </c>
    </row>
    <row r="347" spans="1:10">
      <c r="A347" t="s">
        <v>722</v>
      </c>
      <c r="B347" t="s">
        <v>723</v>
      </c>
      <c r="C347">
        <v>1562</v>
      </c>
      <c r="D347" t="s">
        <v>32</v>
      </c>
      <c r="E347" t="s">
        <v>33</v>
      </c>
      <c r="F347" t="s">
        <v>54</v>
      </c>
      <c r="G347">
        <v>314</v>
      </c>
      <c r="H347">
        <v>6918</v>
      </c>
      <c r="I347" t="s">
        <v>15</v>
      </c>
    </row>
    <row r="348" spans="1:10">
      <c r="A348" t="s">
        <v>724</v>
      </c>
      <c r="B348" t="s">
        <v>725</v>
      </c>
      <c r="C348">
        <v>1460</v>
      </c>
      <c r="D348" t="s">
        <v>47</v>
      </c>
      <c r="E348" t="s">
        <v>19</v>
      </c>
      <c r="F348" t="s">
        <v>43</v>
      </c>
      <c r="G348">
        <v>28</v>
      </c>
      <c r="H348">
        <v>1185</v>
      </c>
      <c r="I348" t="s">
        <v>15</v>
      </c>
    </row>
    <row r="349" spans="1:10">
      <c r="A349" t="s">
        <v>726</v>
      </c>
      <c r="B349" t="s">
        <v>727</v>
      </c>
      <c r="C349">
        <v>1028</v>
      </c>
      <c r="D349" t="s">
        <v>32</v>
      </c>
      <c r="E349" t="s">
        <v>27</v>
      </c>
      <c r="F349" t="s">
        <v>64</v>
      </c>
      <c r="G349">
        <v>29</v>
      </c>
      <c r="H349">
        <v>463</v>
      </c>
      <c r="I349" t="s">
        <v>15</v>
      </c>
      <c r="J349">
        <v>4</v>
      </c>
    </row>
    <row r="350" spans="1:10">
      <c r="A350" t="s">
        <v>728</v>
      </c>
      <c r="B350" t="s">
        <v>729</v>
      </c>
      <c r="C350">
        <v>1477</v>
      </c>
      <c r="D350" t="s">
        <v>12</v>
      </c>
      <c r="E350" t="s">
        <v>33</v>
      </c>
      <c r="F350" t="s">
        <v>43</v>
      </c>
      <c r="G350">
        <v>220</v>
      </c>
      <c r="H350">
        <v>4009</v>
      </c>
      <c r="I350" t="s">
        <v>15</v>
      </c>
      <c r="J350">
        <v>1</v>
      </c>
    </row>
    <row r="351" spans="1:10">
      <c r="A351" t="s">
        <v>730</v>
      </c>
      <c r="B351" t="s">
        <v>731</v>
      </c>
      <c r="C351">
        <v>1109</v>
      </c>
      <c r="D351" t="s">
        <v>32</v>
      </c>
      <c r="E351" t="s">
        <v>13</v>
      </c>
      <c r="F351" t="s">
        <v>34</v>
      </c>
      <c r="G351">
        <v>10</v>
      </c>
      <c r="H351">
        <v>223</v>
      </c>
      <c r="I351" t="s">
        <v>15</v>
      </c>
    </row>
    <row r="352" spans="1:10">
      <c r="A352" t="s">
        <v>732</v>
      </c>
      <c r="B352" t="s">
        <v>733</v>
      </c>
      <c r="C352">
        <v>1986</v>
      </c>
      <c r="D352" t="s">
        <v>26</v>
      </c>
      <c r="E352" t="s">
        <v>27</v>
      </c>
      <c r="F352" t="s">
        <v>14</v>
      </c>
      <c r="G352">
        <v>160</v>
      </c>
      <c r="H352">
        <v>1009</v>
      </c>
      <c r="I352" t="s">
        <v>15</v>
      </c>
      <c r="J352">
        <v>5</v>
      </c>
    </row>
    <row r="353" spans="1:10">
      <c r="A353" t="s">
        <v>734</v>
      </c>
      <c r="B353" t="s">
        <v>735</v>
      </c>
      <c r="C353">
        <v>1554</v>
      </c>
      <c r="D353" t="s">
        <v>47</v>
      </c>
      <c r="E353" t="s">
        <v>19</v>
      </c>
      <c r="F353" t="s">
        <v>14</v>
      </c>
      <c r="G353">
        <v>36</v>
      </c>
      <c r="H353">
        <v>820</v>
      </c>
      <c r="I353" t="s">
        <v>20</v>
      </c>
    </row>
    <row r="354" spans="1:10">
      <c r="A354" t="s">
        <v>736</v>
      </c>
      <c r="B354" t="s">
        <v>737</v>
      </c>
      <c r="C354">
        <v>1817</v>
      </c>
      <c r="D354" t="s">
        <v>18</v>
      </c>
      <c r="E354" t="s">
        <v>19</v>
      </c>
      <c r="F354" t="s">
        <v>28</v>
      </c>
      <c r="G354">
        <v>17</v>
      </c>
      <c r="H354">
        <v>661</v>
      </c>
      <c r="I354" t="s">
        <v>15</v>
      </c>
      <c r="J354">
        <v>1</v>
      </c>
    </row>
    <row r="355" spans="1:10">
      <c r="A355" t="s">
        <v>738</v>
      </c>
      <c r="B355" t="s">
        <v>739</v>
      </c>
      <c r="C355">
        <v>1268</v>
      </c>
      <c r="D355" t="s">
        <v>12</v>
      </c>
      <c r="E355" t="s">
        <v>19</v>
      </c>
      <c r="F355" t="s">
        <v>64</v>
      </c>
      <c r="G355">
        <v>22</v>
      </c>
      <c r="H355">
        <v>826</v>
      </c>
      <c r="I355" t="s">
        <v>20</v>
      </c>
    </row>
    <row r="356" spans="1:10">
      <c r="A356" t="s">
        <v>740</v>
      </c>
      <c r="B356" t="s">
        <v>741</v>
      </c>
      <c r="C356">
        <v>1123</v>
      </c>
      <c r="D356" t="s">
        <v>32</v>
      </c>
      <c r="E356" t="s">
        <v>27</v>
      </c>
      <c r="F356" t="s">
        <v>54</v>
      </c>
      <c r="G356">
        <v>109</v>
      </c>
      <c r="H356">
        <v>2817</v>
      </c>
      <c r="I356" t="s">
        <v>15</v>
      </c>
      <c r="J356">
        <v>3</v>
      </c>
    </row>
    <row r="357" spans="1:10">
      <c r="A357" t="s">
        <v>742</v>
      </c>
      <c r="B357" t="s">
        <v>743</v>
      </c>
      <c r="C357">
        <v>1900</v>
      </c>
      <c r="D357" t="s">
        <v>18</v>
      </c>
      <c r="E357" t="s">
        <v>13</v>
      </c>
      <c r="F357" t="s">
        <v>54</v>
      </c>
      <c r="G357">
        <v>9</v>
      </c>
      <c r="H357">
        <v>254</v>
      </c>
      <c r="I357" t="s">
        <v>15</v>
      </c>
      <c r="J357">
        <v>5</v>
      </c>
    </row>
    <row r="358" spans="1:10">
      <c r="A358" t="s">
        <v>744</v>
      </c>
      <c r="B358" t="s">
        <v>745</v>
      </c>
      <c r="C358">
        <v>1239</v>
      </c>
      <c r="D358" t="s">
        <v>18</v>
      </c>
      <c r="E358" t="s">
        <v>13</v>
      </c>
      <c r="F358" t="s">
        <v>23</v>
      </c>
      <c r="G358">
        <v>12</v>
      </c>
      <c r="H358">
        <v>108</v>
      </c>
      <c r="I358" t="s">
        <v>15</v>
      </c>
      <c r="J358">
        <v>5</v>
      </c>
    </row>
    <row r="359" spans="1:10">
      <c r="A359" t="s">
        <v>746</v>
      </c>
      <c r="B359" t="s">
        <v>747</v>
      </c>
      <c r="C359">
        <v>1253</v>
      </c>
      <c r="D359" t="s">
        <v>32</v>
      </c>
      <c r="E359" t="s">
        <v>33</v>
      </c>
      <c r="F359" t="s">
        <v>71</v>
      </c>
      <c r="G359">
        <v>143</v>
      </c>
      <c r="H359">
        <v>4015</v>
      </c>
      <c r="I359" t="s">
        <v>15</v>
      </c>
      <c r="J359">
        <v>1</v>
      </c>
    </row>
    <row r="360" spans="1:10">
      <c r="A360" t="s">
        <v>748</v>
      </c>
      <c r="B360" t="s">
        <v>749</v>
      </c>
      <c r="C360">
        <v>1098</v>
      </c>
      <c r="D360" t="s">
        <v>12</v>
      </c>
      <c r="E360" t="s">
        <v>33</v>
      </c>
      <c r="F360" t="s">
        <v>54</v>
      </c>
      <c r="G360">
        <v>382</v>
      </c>
      <c r="H360">
        <v>2671</v>
      </c>
      <c r="I360" t="s">
        <v>20</v>
      </c>
      <c r="J360">
        <v>1</v>
      </c>
    </row>
    <row r="361" spans="1:10">
      <c r="A361" t="s">
        <v>750</v>
      </c>
      <c r="B361" t="s">
        <v>751</v>
      </c>
      <c r="C361">
        <v>1192</v>
      </c>
      <c r="D361" t="s">
        <v>47</v>
      </c>
      <c r="E361" t="s">
        <v>27</v>
      </c>
      <c r="F361" t="s">
        <v>23</v>
      </c>
      <c r="G361">
        <v>70</v>
      </c>
      <c r="I361" t="s">
        <v>29</v>
      </c>
    </row>
    <row r="362" spans="1:10">
      <c r="A362" t="s">
        <v>752</v>
      </c>
      <c r="B362" t="s">
        <v>753</v>
      </c>
      <c r="C362">
        <v>1832</v>
      </c>
      <c r="D362" t="s">
        <v>32</v>
      </c>
      <c r="E362" t="s">
        <v>33</v>
      </c>
      <c r="F362" t="s">
        <v>71</v>
      </c>
      <c r="G362">
        <v>437</v>
      </c>
      <c r="H362">
        <v>7197</v>
      </c>
      <c r="I362" t="s">
        <v>15</v>
      </c>
      <c r="J362">
        <v>1</v>
      </c>
    </row>
    <row r="363" spans="1:10">
      <c r="A363" t="s">
        <v>754</v>
      </c>
      <c r="B363" t="s">
        <v>755</v>
      </c>
      <c r="C363">
        <v>1960</v>
      </c>
      <c r="D363" t="s">
        <v>18</v>
      </c>
      <c r="E363" t="s">
        <v>19</v>
      </c>
      <c r="F363" t="s">
        <v>71</v>
      </c>
      <c r="G363">
        <v>22</v>
      </c>
      <c r="H363">
        <v>792</v>
      </c>
      <c r="I363" t="s">
        <v>15</v>
      </c>
    </row>
    <row r="364" spans="1:10">
      <c r="A364" t="s">
        <v>756</v>
      </c>
      <c r="B364" t="s">
        <v>757</v>
      </c>
      <c r="C364">
        <v>1171</v>
      </c>
      <c r="D364" t="s">
        <v>26</v>
      </c>
      <c r="E364" t="s">
        <v>33</v>
      </c>
      <c r="F364" t="s">
        <v>64</v>
      </c>
      <c r="G364">
        <v>203</v>
      </c>
      <c r="H364">
        <v>1548</v>
      </c>
      <c r="I364" t="s">
        <v>20</v>
      </c>
      <c r="J364">
        <v>3</v>
      </c>
    </row>
    <row r="365" spans="1:10">
      <c r="A365" t="s">
        <v>758</v>
      </c>
      <c r="B365" t="s">
        <v>759</v>
      </c>
      <c r="C365">
        <v>1965</v>
      </c>
      <c r="D365" t="s">
        <v>18</v>
      </c>
      <c r="E365" t="s">
        <v>27</v>
      </c>
      <c r="F365" t="s">
        <v>34</v>
      </c>
      <c r="G365">
        <v>36</v>
      </c>
      <c r="H365">
        <v>2348</v>
      </c>
      <c r="I365" t="s">
        <v>15</v>
      </c>
    </row>
    <row r="366" spans="1:10">
      <c r="A366" t="s">
        <v>760</v>
      </c>
      <c r="B366" t="s">
        <v>761</v>
      </c>
      <c r="C366">
        <v>1194</v>
      </c>
      <c r="D366" t="s">
        <v>12</v>
      </c>
      <c r="E366" t="s">
        <v>13</v>
      </c>
      <c r="F366" t="s">
        <v>71</v>
      </c>
      <c r="G366">
        <v>6</v>
      </c>
      <c r="H366">
        <v>302</v>
      </c>
      <c r="I366" t="s">
        <v>20</v>
      </c>
    </row>
    <row r="367" spans="1:10">
      <c r="A367" t="s">
        <v>762</v>
      </c>
      <c r="B367" t="s">
        <v>763</v>
      </c>
      <c r="C367">
        <v>1212</v>
      </c>
      <c r="D367" t="s">
        <v>32</v>
      </c>
      <c r="E367" t="s">
        <v>27</v>
      </c>
      <c r="F367" t="s">
        <v>34</v>
      </c>
      <c r="G367">
        <v>129</v>
      </c>
      <c r="H367">
        <v>2181</v>
      </c>
      <c r="I367" t="s">
        <v>15</v>
      </c>
      <c r="J367">
        <v>5</v>
      </c>
    </row>
    <row r="368" spans="1:10">
      <c r="A368" t="s">
        <v>764</v>
      </c>
      <c r="B368" t="s">
        <v>765</v>
      </c>
      <c r="C368">
        <v>1253</v>
      </c>
      <c r="D368" t="s">
        <v>26</v>
      </c>
      <c r="E368" t="s">
        <v>19</v>
      </c>
      <c r="F368" t="s">
        <v>59</v>
      </c>
      <c r="G368">
        <v>26</v>
      </c>
      <c r="H368">
        <v>477</v>
      </c>
      <c r="I368" t="s">
        <v>15</v>
      </c>
      <c r="J368">
        <v>1</v>
      </c>
    </row>
    <row r="369" spans="1:10">
      <c r="A369" t="s">
        <v>766</v>
      </c>
      <c r="B369" t="s">
        <v>767</v>
      </c>
      <c r="C369">
        <v>1942</v>
      </c>
      <c r="D369" t="s">
        <v>47</v>
      </c>
      <c r="E369" t="s">
        <v>27</v>
      </c>
      <c r="F369" t="s">
        <v>43</v>
      </c>
      <c r="G369">
        <v>34</v>
      </c>
      <c r="H369">
        <v>1315</v>
      </c>
      <c r="I369" t="s">
        <v>20</v>
      </c>
      <c r="J369">
        <v>2</v>
      </c>
    </row>
    <row r="370" spans="1:10">
      <c r="A370" t="s">
        <v>768</v>
      </c>
      <c r="B370" t="s">
        <v>769</v>
      </c>
      <c r="C370">
        <v>1691</v>
      </c>
      <c r="D370" t="s">
        <v>18</v>
      </c>
      <c r="E370" t="s">
        <v>27</v>
      </c>
      <c r="F370" t="s">
        <v>23</v>
      </c>
      <c r="G370">
        <v>53</v>
      </c>
      <c r="H370">
        <v>1300</v>
      </c>
      <c r="I370" t="s">
        <v>15</v>
      </c>
    </row>
    <row r="371" spans="1:10">
      <c r="A371" t="s">
        <v>770</v>
      </c>
      <c r="B371" t="s">
        <v>771</v>
      </c>
      <c r="C371">
        <v>1867</v>
      </c>
      <c r="D371" t="s">
        <v>12</v>
      </c>
      <c r="E371" t="s">
        <v>19</v>
      </c>
      <c r="F371" t="s">
        <v>34</v>
      </c>
      <c r="G371">
        <v>41</v>
      </c>
      <c r="H371">
        <v>493</v>
      </c>
      <c r="I371" t="s">
        <v>15</v>
      </c>
      <c r="J371">
        <v>5</v>
      </c>
    </row>
    <row r="372" spans="1:10">
      <c r="A372" t="s">
        <v>772</v>
      </c>
      <c r="B372" t="s">
        <v>773</v>
      </c>
      <c r="C372">
        <v>1504</v>
      </c>
      <c r="D372" t="s">
        <v>12</v>
      </c>
      <c r="E372" t="s">
        <v>19</v>
      </c>
      <c r="F372" t="s">
        <v>64</v>
      </c>
      <c r="G372">
        <v>36</v>
      </c>
      <c r="H372">
        <v>214</v>
      </c>
      <c r="I372" t="s">
        <v>15</v>
      </c>
    </row>
    <row r="373" spans="1:10">
      <c r="A373" t="s">
        <v>774</v>
      </c>
      <c r="B373" t="s">
        <v>775</v>
      </c>
      <c r="C373">
        <v>1921</v>
      </c>
      <c r="D373" t="s">
        <v>26</v>
      </c>
      <c r="E373" t="s">
        <v>19</v>
      </c>
      <c r="F373" t="s">
        <v>14</v>
      </c>
      <c r="G373">
        <v>11</v>
      </c>
      <c r="I373" t="s">
        <v>44</v>
      </c>
    </row>
    <row r="374" spans="1:10">
      <c r="A374" t="s">
        <v>776</v>
      </c>
      <c r="B374" t="s">
        <v>777</v>
      </c>
      <c r="C374">
        <v>1652</v>
      </c>
      <c r="D374" t="s">
        <v>12</v>
      </c>
      <c r="E374" t="s">
        <v>13</v>
      </c>
      <c r="F374" t="s">
        <v>64</v>
      </c>
      <c r="G374">
        <v>7</v>
      </c>
      <c r="I374" t="s">
        <v>44</v>
      </c>
    </row>
    <row r="375" spans="1:10">
      <c r="A375" t="s">
        <v>778</v>
      </c>
      <c r="B375" t="s">
        <v>779</v>
      </c>
      <c r="C375">
        <v>1197</v>
      </c>
      <c r="D375" t="s">
        <v>26</v>
      </c>
      <c r="E375" t="s">
        <v>27</v>
      </c>
      <c r="F375" t="s">
        <v>71</v>
      </c>
      <c r="G375">
        <v>62</v>
      </c>
      <c r="H375">
        <v>993</v>
      </c>
      <c r="I375" t="s">
        <v>15</v>
      </c>
      <c r="J375">
        <v>1</v>
      </c>
    </row>
    <row r="376" spans="1:10">
      <c r="A376" t="s">
        <v>780</v>
      </c>
      <c r="B376" t="s">
        <v>781</v>
      </c>
      <c r="C376">
        <v>1480</v>
      </c>
      <c r="D376" t="s">
        <v>47</v>
      </c>
      <c r="E376" t="s">
        <v>27</v>
      </c>
      <c r="F376" t="s">
        <v>28</v>
      </c>
      <c r="G376">
        <v>136</v>
      </c>
      <c r="H376">
        <v>1801</v>
      </c>
      <c r="I376" t="s">
        <v>15</v>
      </c>
      <c r="J376">
        <v>5</v>
      </c>
    </row>
    <row r="377" spans="1:10">
      <c r="A377" t="s">
        <v>782</v>
      </c>
      <c r="B377" t="s">
        <v>783</v>
      </c>
      <c r="C377">
        <v>1338</v>
      </c>
      <c r="D377" t="s">
        <v>32</v>
      </c>
      <c r="E377" t="s">
        <v>33</v>
      </c>
      <c r="F377" t="s">
        <v>14</v>
      </c>
      <c r="G377">
        <v>270</v>
      </c>
      <c r="I377" t="s">
        <v>44</v>
      </c>
    </row>
    <row r="378" spans="1:10">
      <c r="A378" t="s">
        <v>784</v>
      </c>
      <c r="B378" t="s">
        <v>785</v>
      </c>
      <c r="C378">
        <v>1264</v>
      </c>
      <c r="D378" t="s">
        <v>18</v>
      </c>
      <c r="E378" t="s">
        <v>19</v>
      </c>
      <c r="F378" t="s">
        <v>59</v>
      </c>
      <c r="G378">
        <v>36</v>
      </c>
      <c r="H378">
        <v>961</v>
      </c>
      <c r="I378" t="s">
        <v>15</v>
      </c>
    </row>
    <row r="379" spans="1:10">
      <c r="A379" t="s">
        <v>786</v>
      </c>
      <c r="B379" t="s">
        <v>787</v>
      </c>
      <c r="C379">
        <v>1998</v>
      </c>
      <c r="D379" t="s">
        <v>12</v>
      </c>
      <c r="E379" t="s">
        <v>13</v>
      </c>
      <c r="F379" t="s">
        <v>23</v>
      </c>
      <c r="G379">
        <v>9</v>
      </c>
      <c r="H379">
        <v>369</v>
      </c>
      <c r="I379" t="s">
        <v>20</v>
      </c>
    </row>
    <row r="380" spans="1:10">
      <c r="A380" t="s">
        <v>788</v>
      </c>
      <c r="B380" t="s">
        <v>789</v>
      </c>
      <c r="C380">
        <v>1771</v>
      </c>
      <c r="D380" t="s">
        <v>12</v>
      </c>
      <c r="E380" t="s">
        <v>33</v>
      </c>
      <c r="F380" t="s">
        <v>54</v>
      </c>
      <c r="G380">
        <v>288</v>
      </c>
      <c r="H380">
        <v>7945</v>
      </c>
      <c r="I380" t="s">
        <v>20</v>
      </c>
    </row>
    <row r="381" spans="1:10">
      <c r="A381" t="s">
        <v>790</v>
      </c>
      <c r="B381" t="s">
        <v>791</v>
      </c>
      <c r="C381">
        <v>1780</v>
      </c>
      <c r="D381" t="s">
        <v>18</v>
      </c>
      <c r="E381" t="s">
        <v>27</v>
      </c>
      <c r="F381" t="s">
        <v>59</v>
      </c>
      <c r="G381">
        <v>133</v>
      </c>
      <c r="H381">
        <v>2986</v>
      </c>
      <c r="I381" t="s">
        <v>20</v>
      </c>
      <c r="J381">
        <v>2</v>
      </c>
    </row>
    <row r="382" spans="1:10">
      <c r="A382" t="s">
        <v>792</v>
      </c>
      <c r="B382" t="s">
        <v>793</v>
      </c>
      <c r="C382">
        <v>2000</v>
      </c>
      <c r="D382" t="s">
        <v>18</v>
      </c>
      <c r="E382" t="s">
        <v>13</v>
      </c>
      <c r="F382" t="s">
        <v>28</v>
      </c>
      <c r="G382">
        <v>6</v>
      </c>
      <c r="H382">
        <v>107</v>
      </c>
      <c r="I382" t="s">
        <v>15</v>
      </c>
      <c r="J382">
        <v>2</v>
      </c>
    </row>
    <row r="383" spans="1:10">
      <c r="A383" t="s">
        <v>794</v>
      </c>
      <c r="B383" t="s">
        <v>795</v>
      </c>
      <c r="C383">
        <v>2000</v>
      </c>
      <c r="D383" t="s">
        <v>26</v>
      </c>
      <c r="E383" t="s">
        <v>27</v>
      </c>
      <c r="F383" t="s">
        <v>34</v>
      </c>
      <c r="G383">
        <v>108</v>
      </c>
      <c r="H383">
        <v>3155</v>
      </c>
      <c r="I383" t="s">
        <v>15</v>
      </c>
      <c r="J383">
        <v>1</v>
      </c>
    </row>
    <row r="384" spans="1:10">
      <c r="A384" t="s">
        <v>796</v>
      </c>
      <c r="B384" t="s">
        <v>797</v>
      </c>
      <c r="C384">
        <v>1877</v>
      </c>
      <c r="D384" t="s">
        <v>18</v>
      </c>
      <c r="E384" t="s">
        <v>27</v>
      </c>
      <c r="F384" t="s">
        <v>71</v>
      </c>
      <c r="G384">
        <v>33</v>
      </c>
      <c r="H384">
        <v>1349</v>
      </c>
      <c r="I384" t="s">
        <v>15</v>
      </c>
      <c r="J384">
        <v>4</v>
      </c>
    </row>
    <row r="385" spans="1:10">
      <c r="A385" t="s">
        <v>798</v>
      </c>
      <c r="B385" t="s">
        <v>799</v>
      </c>
      <c r="C385">
        <v>1763</v>
      </c>
      <c r="D385" t="s">
        <v>12</v>
      </c>
      <c r="E385" t="s">
        <v>13</v>
      </c>
      <c r="F385" t="s">
        <v>43</v>
      </c>
      <c r="G385">
        <v>12</v>
      </c>
      <c r="H385">
        <v>429</v>
      </c>
      <c r="I385" t="s">
        <v>20</v>
      </c>
    </row>
    <row r="386" spans="1:10">
      <c r="A386" t="s">
        <v>800</v>
      </c>
      <c r="B386" t="s">
        <v>801</v>
      </c>
      <c r="C386">
        <v>1610</v>
      </c>
      <c r="D386" t="s">
        <v>18</v>
      </c>
      <c r="E386" t="s">
        <v>27</v>
      </c>
      <c r="F386" t="s">
        <v>14</v>
      </c>
      <c r="G386">
        <v>73</v>
      </c>
      <c r="H386">
        <v>616</v>
      </c>
      <c r="I386" t="s">
        <v>15</v>
      </c>
      <c r="J386">
        <v>4</v>
      </c>
    </row>
    <row r="387" spans="1:10">
      <c r="A387" t="s">
        <v>802</v>
      </c>
      <c r="B387" t="s">
        <v>803</v>
      </c>
      <c r="C387">
        <v>1624</v>
      </c>
      <c r="D387" t="s">
        <v>26</v>
      </c>
      <c r="E387" t="s">
        <v>33</v>
      </c>
      <c r="F387" t="s">
        <v>14</v>
      </c>
      <c r="G387">
        <v>467</v>
      </c>
      <c r="H387">
        <v>8679</v>
      </c>
      <c r="I387" t="s">
        <v>15</v>
      </c>
      <c r="J387">
        <v>4</v>
      </c>
    </row>
    <row r="388" spans="1:10">
      <c r="A388" t="s">
        <v>804</v>
      </c>
      <c r="B388" t="s">
        <v>805</v>
      </c>
      <c r="C388">
        <v>1481</v>
      </c>
      <c r="D388" t="s">
        <v>26</v>
      </c>
      <c r="E388" t="s">
        <v>13</v>
      </c>
      <c r="F388" t="s">
        <v>43</v>
      </c>
      <c r="G388">
        <v>11</v>
      </c>
      <c r="H388">
        <v>199</v>
      </c>
      <c r="I388" t="s">
        <v>15</v>
      </c>
      <c r="J388">
        <v>2</v>
      </c>
    </row>
    <row r="389" spans="1:10">
      <c r="A389" t="s">
        <v>806</v>
      </c>
      <c r="B389" t="s">
        <v>807</v>
      </c>
      <c r="C389">
        <v>1416</v>
      </c>
      <c r="D389" t="s">
        <v>26</v>
      </c>
      <c r="E389" t="s">
        <v>13</v>
      </c>
      <c r="F389" t="s">
        <v>14</v>
      </c>
      <c r="G389">
        <v>10</v>
      </c>
      <c r="H389">
        <v>281</v>
      </c>
      <c r="I389" t="s">
        <v>15</v>
      </c>
      <c r="J389">
        <v>1</v>
      </c>
    </row>
    <row r="390" spans="1:10">
      <c r="A390" t="s">
        <v>808</v>
      </c>
      <c r="B390" t="s">
        <v>809</v>
      </c>
      <c r="C390">
        <v>1531</v>
      </c>
      <c r="D390" t="s">
        <v>32</v>
      </c>
      <c r="E390" t="s">
        <v>13</v>
      </c>
      <c r="F390" t="s">
        <v>64</v>
      </c>
      <c r="G390">
        <v>7</v>
      </c>
      <c r="H390">
        <v>121</v>
      </c>
      <c r="I390" t="s">
        <v>15</v>
      </c>
      <c r="J390">
        <v>1</v>
      </c>
    </row>
    <row r="391" spans="1:10">
      <c r="A391" t="s">
        <v>810</v>
      </c>
      <c r="B391" t="s">
        <v>811</v>
      </c>
      <c r="C391">
        <v>1595</v>
      </c>
      <c r="D391" t="s">
        <v>47</v>
      </c>
      <c r="E391" t="s">
        <v>13</v>
      </c>
      <c r="F391" t="s">
        <v>59</v>
      </c>
      <c r="G391">
        <v>7</v>
      </c>
      <c r="H391">
        <v>207</v>
      </c>
      <c r="I391" t="s">
        <v>15</v>
      </c>
      <c r="J391">
        <v>4</v>
      </c>
    </row>
    <row r="392" spans="1:10">
      <c r="A392" t="s">
        <v>812</v>
      </c>
      <c r="B392" t="s">
        <v>813</v>
      </c>
      <c r="C392">
        <v>1959</v>
      </c>
      <c r="D392" t="s">
        <v>12</v>
      </c>
      <c r="E392" t="s">
        <v>13</v>
      </c>
      <c r="F392" t="s">
        <v>71</v>
      </c>
      <c r="G392">
        <v>4</v>
      </c>
      <c r="I392" t="s">
        <v>29</v>
      </c>
    </row>
    <row r="393" spans="1:10">
      <c r="A393" t="s">
        <v>814</v>
      </c>
      <c r="B393" t="s">
        <v>815</v>
      </c>
      <c r="C393">
        <v>1336</v>
      </c>
      <c r="D393" t="s">
        <v>18</v>
      </c>
      <c r="E393" t="s">
        <v>13</v>
      </c>
      <c r="F393" t="s">
        <v>28</v>
      </c>
      <c r="G393">
        <v>2</v>
      </c>
      <c r="H393">
        <v>322</v>
      </c>
      <c r="I393" t="s">
        <v>15</v>
      </c>
    </row>
    <row r="394" spans="1:10">
      <c r="A394" t="s">
        <v>816</v>
      </c>
      <c r="B394" t="s">
        <v>817</v>
      </c>
      <c r="C394">
        <v>1234</v>
      </c>
      <c r="D394" t="s">
        <v>47</v>
      </c>
      <c r="E394" t="s">
        <v>27</v>
      </c>
      <c r="F394" t="s">
        <v>23</v>
      </c>
      <c r="G394">
        <v>87</v>
      </c>
      <c r="H394">
        <v>3654</v>
      </c>
      <c r="I394" t="s">
        <v>15</v>
      </c>
    </row>
    <row r="395" spans="1:10">
      <c r="A395" t="s">
        <v>818</v>
      </c>
      <c r="B395" t="s">
        <v>819</v>
      </c>
      <c r="C395">
        <v>1573</v>
      </c>
      <c r="D395" t="s">
        <v>47</v>
      </c>
      <c r="E395" t="s">
        <v>27</v>
      </c>
      <c r="F395" t="s">
        <v>64</v>
      </c>
      <c r="G395">
        <v>98</v>
      </c>
      <c r="H395">
        <v>841</v>
      </c>
      <c r="I395" t="s">
        <v>15</v>
      </c>
      <c r="J395">
        <v>5</v>
      </c>
    </row>
    <row r="396" spans="1:10">
      <c r="A396" t="s">
        <v>820</v>
      </c>
      <c r="B396" t="s">
        <v>821</v>
      </c>
      <c r="C396">
        <v>1894</v>
      </c>
      <c r="D396" t="s">
        <v>32</v>
      </c>
      <c r="E396" t="s">
        <v>27</v>
      </c>
      <c r="F396" t="s">
        <v>54</v>
      </c>
      <c r="G396">
        <v>98</v>
      </c>
      <c r="H396">
        <v>2458</v>
      </c>
      <c r="I396" t="s">
        <v>15</v>
      </c>
    </row>
    <row r="397" spans="1:10">
      <c r="A397" t="s">
        <v>822</v>
      </c>
      <c r="B397" t="s">
        <v>823</v>
      </c>
      <c r="C397">
        <v>1051</v>
      </c>
      <c r="D397" t="s">
        <v>47</v>
      </c>
      <c r="E397" t="s">
        <v>27</v>
      </c>
      <c r="F397" t="s">
        <v>14</v>
      </c>
      <c r="G397">
        <v>91</v>
      </c>
      <c r="H397">
        <v>2010</v>
      </c>
      <c r="I397" t="s">
        <v>15</v>
      </c>
      <c r="J397">
        <v>3</v>
      </c>
    </row>
    <row r="398" spans="1:10">
      <c r="A398" t="s">
        <v>824</v>
      </c>
      <c r="B398" t="s">
        <v>825</v>
      </c>
      <c r="C398">
        <v>1261</v>
      </c>
      <c r="D398" t="s">
        <v>18</v>
      </c>
      <c r="E398" t="s">
        <v>13</v>
      </c>
      <c r="F398" t="s">
        <v>28</v>
      </c>
      <c r="G398">
        <v>7</v>
      </c>
      <c r="H398">
        <v>405</v>
      </c>
      <c r="I398" t="s">
        <v>15</v>
      </c>
      <c r="J398">
        <v>5</v>
      </c>
    </row>
    <row r="399" spans="1:10">
      <c r="A399" t="s">
        <v>826</v>
      </c>
      <c r="B399" t="s">
        <v>827</v>
      </c>
      <c r="C399">
        <v>1457</v>
      </c>
      <c r="D399" t="s">
        <v>47</v>
      </c>
      <c r="E399" t="s">
        <v>33</v>
      </c>
      <c r="F399" t="s">
        <v>54</v>
      </c>
      <c r="G399">
        <v>413</v>
      </c>
      <c r="H399">
        <v>7260</v>
      </c>
      <c r="I399" t="s">
        <v>15</v>
      </c>
      <c r="J399">
        <v>2</v>
      </c>
    </row>
    <row r="400" spans="1:10">
      <c r="A400" t="s">
        <v>828</v>
      </c>
      <c r="B400" t="s">
        <v>829</v>
      </c>
      <c r="C400">
        <v>1936</v>
      </c>
      <c r="D400" t="s">
        <v>18</v>
      </c>
      <c r="E400" t="s">
        <v>19</v>
      </c>
      <c r="F400" t="s">
        <v>54</v>
      </c>
      <c r="G400">
        <v>45</v>
      </c>
      <c r="H400">
        <v>721</v>
      </c>
      <c r="I400" t="s">
        <v>15</v>
      </c>
      <c r="J400">
        <v>5</v>
      </c>
    </row>
    <row r="401" spans="1:10">
      <c r="A401" t="s">
        <v>830</v>
      </c>
      <c r="B401" t="s">
        <v>831</v>
      </c>
      <c r="C401">
        <v>1535</v>
      </c>
      <c r="D401" t="s">
        <v>18</v>
      </c>
      <c r="E401" t="s">
        <v>27</v>
      </c>
      <c r="F401" t="s">
        <v>71</v>
      </c>
      <c r="G401">
        <v>87</v>
      </c>
      <c r="H401">
        <v>1227</v>
      </c>
      <c r="I401" t="s">
        <v>15</v>
      </c>
      <c r="J401">
        <v>5</v>
      </c>
    </row>
    <row r="402" spans="1:10">
      <c r="A402" t="s">
        <v>832</v>
      </c>
      <c r="B402" t="s">
        <v>833</v>
      </c>
      <c r="C402">
        <v>1009</v>
      </c>
      <c r="D402" t="s">
        <v>32</v>
      </c>
      <c r="E402" t="s">
        <v>13</v>
      </c>
      <c r="F402" t="s">
        <v>28</v>
      </c>
      <c r="G402">
        <v>10</v>
      </c>
      <c r="H402">
        <v>221</v>
      </c>
      <c r="I402" t="s">
        <v>15</v>
      </c>
      <c r="J402">
        <v>1</v>
      </c>
    </row>
    <row r="403" spans="1:10">
      <c r="A403" t="s">
        <v>834</v>
      </c>
      <c r="B403" t="s">
        <v>835</v>
      </c>
      <c r="C403">
        <v>1904</v>
      </c>
      <c r="D403" t="s">
        <v>32</v>
      </c>
      <c r="E403" t="s">
        <v>27</v>
      </c>
      <c r="F403" t="s">
        <v>23</v>
      </c>
      <c r="G403">
        <v>117</v>
      </c>
      <c r="H403">
        <v>1592</v>
      </c>
      <c r="I403" t="s">
        <v>20</v>
      </c>
    </row>
    <row r="404" spans="1:10">
      <c r="A404" t="s">
        <v>836</v>
      </c>
      <c r="B404" t="s">
        <v>837</v>
      </c>
      <c r="C404">
        <v>1289</v>
      </c>
      <c r="D404" t="s">
        <v>26</v>
      </c>
      <c r="E404" t="s">
        <v>19</v>
      </c>
      <c r="F404" t="s">
        <v>54</v>
      </c>
      <c r="G404">
        <v>26</v>
      </c>
      <c r="H404">
        <v>938</v>
      </c>
      <c r="I404" t="s">
        <v>15</v>
      </c>
    </row>
    <row r="405" spans="1:10">
      <c r="A405" t="s">
        <v>838</v>
      </c>
      <c r="B405" t="s">
        <v>839</v>
      </c>
      <c r="C405">
        <v>1189</v>
      </c>
      <c r="D405" t="s">
        <v>12</v>
      </c>
      <c r="E405" t="s">
        <v>19</v>
      </c>
      <c r="F405" t="s">
        <v>64</v>
      </c>
      <c r="G405">
        <v>18</v>
      </c>
      <c r="H405">
        <v>1079</v>
      </c>
      <c r="I405" t="s">
        <v>15</v>
      </c>
    </row>
    <row r="406" spans="1:10">
      <c r="A406" t="s">
        <v>840</v>
      </c>
      <c r="B406" t="s">
        <v>841</v>
      </c>
      <c r="C406">
        <v>1085</v>
      </c>
      <c r="D406" t="s">
        <v>26</v>
      </c>
      <c r="E406" t="s">
        <v>33</v>
      </c>
      <c r="F406" t="s">
        <v>64</v>
      </c>
      <c r="G406">
        <v>328</v>
      </c>
      <c r="H406">
        <v>5267</v>
      </c>
      <c r="I406" t="s">
        <v>15</v>
      </c>
      <c r="J406">
        <v>2</v>
      </c>
    </row>
    <row r="407" spans="1:10">
      <c r="A407" t="s">
        <v>842</v>
      </c>
      <c r="B407" t="s">
        <v>843</v>
      </c>
      <c r="C407">
        <v>1517</v>
      </c>
      <c r="D407" t="s">
        <v>47</v>
      </c>
      <c r="E407" t="s">
        <v>13</v>
      </c>
      <c r="F407" t="s">
        <v>23</v>
      </c>
      <c r="G407">
        <v>10</v>
      </c>
      <c r="I407" t="s">
        <v>29</v>
      </c>
    </row>
    <row r="408" spans="1:10">
      <c r="A408" t="s">
        <v>844</v>
      </c>
      <c r="B408" t="s">
        <v>845</v>
      </c>
      <c r="C408">
        <v>1387</v>
      </c>
      <c r="D408" t="s">
        <v>18</v>
      </c>
      <c r="E408" t="s">
        <v>27</v>
      </c>
      <c r="F408" t="s">
        <v>43</v>
      </c>
      <c r="G408">
        <v>96</v>
      </c>
      <c r="H408">
        <v>1367</v>
      </c>
      <c r="I408" t="s">
        <v>15</v>
      </c>
      <c r="J408">
        <v>3</v>
      </c>
    </row>
    <row r="409" spans="1:10">
      <c r="A409" t="s">
        <v>846</v>
      </c>
      <c r="B409" t="s">
        <v>847</v>
      </c>
      <c r="C409">
        <v>1219</v>
      </c>
      <c r="D409" t="s">
        <v>18</v>
      </c>
      <c r="E409" t="s">
        <v>27</v>
      </c>
      <c r="F409" t="s">
        <v>34</v>
      </c>
      <c r="G409">
        <v>153</v>
      </c>
      <c r="H409">
        <v>3014</v>
      </c>
      <c r="I409" t="s">
        <v>15</v>
      </c>
      <c r="J409">
        <v>1</v>
      </c>
    </row>
    <row r="410" spans="1:10">
      <c r="A410" t="s">
        <v>848</v>
      </c>
      <c r="B410" t="s">
        <v>849</v>
      </c>
      <c r="C410">
        <v>1558</v>
      </c>
      <c r="D410" t="s">
        <v>32</v>
      </c>
      <c r="E410" t="s">
        <v>33</v>
      </c>
      <c r="F410" t="s">
        <v>54</v>
      </c>
      <c r="G410">
        <v>464</v>
      </c>
      <c r="H410">
        <v>8841</v>
      </c>
      <c r="I410" t="s">
        <v>15</v>
      </c>
    </row>
    <row r="411" spans="1:10">
      <c r="A411" t="s">
        <v>850</v>
      </c>
      <c r="B411" t="s">
        <v>851</v>
      </c>
      <c r="C411">
        <v>1656</v>
      </c>
      <c r="D411" t="s">
        <v>12</v>
      </c>
      <c r="E411" t="s">
        <v>19</v>
      </c>
      <c r="F411" t="s">
        <v>54</v>
      </c>
      <c r="G411">
        <v>8</v>
      </c>
      <c r="I411" t="s">
        <v>44</v>
      </c>
    </row>
    <row r="412" spans="1:10">
      <c r="A412" t="s">
        <v>852</v>
      </c>
      <c r="B412" t="s">
        <v>853</v>
      </c>
      <c r="C412">
        <v>1772</v>
      </c>
      <c r="D412" t="s">
        <v>26</v>
      </c>
      <c r="E412" t="s">
        <v>33</v>
      </c>
      <c r="F412" t="s">
        <v>59</v>
      </c>
      <c r="G412">
        <v>254</v>
      </c>
      <c r="H412">
        <v>8660</v>
      </c>
      <c r="I412" t="s">
        <v>15</v>
      </c>
      <c r="J412">
        <v>5</v>
      </c>
    </row>
    <row r="413" spans="1:10">
      <c r="A413" t="s">
        <v>854</v>
      </c>
      <c r="B413" t="s">
        <v>855</v>
      </c>
      <c r="C413">
        <v>1602</v>
      </c>
      <c r="D413" t="s">
        <v>12</v>
      </c>
      <c r="E413" t="s">
        <v>27</v>
      </c>
      <c r="F413" t="s">
        <v>43</v>
      </c>
      <c r="G413">
        <v>120</v>
      </c>
      <c r="H413">
        <v>3076</v>
      </c>
      <c r="I413" t="s">
        <v>15</v>
      </c>
      <c r="J413">
        <v>1</v>
      </c>
    </row>
    <row r="414" spans="1:10">
      <c r="A414" t="s">
        <v>856</v>
      </c>
      <c r="B414" t="s">
        <v>857</v>
      </c>
      <c r="C414">
        <v>1994</v>
      </c>
      <c r="D414" t="s">
        <v>26</v>
      </c>
      <c r="E414" t="s">
        <v>33</v>
      </c>
      <c r="F414" t="s">
        <v>71</v>
      </c>
      <c r="G414">
        <v>75</v>
      </c>
      <c r="H414">
        <v>6027</v>
      </c>
      <c r="I414" t="s">
        <v>15</v>
      </c>
      <c r="J414">
        <v>3</v>
      </c>
    </row>
    <row r="415" spans="1:10">
      <c r="A415" t="s">
        <v>858</v>
      </c>
      <c r="B415" t="s">
        <v>859</v>
      </c>
      <c r="C415">
        <v>1062</v>
      </c>
      <c r="D415" t="s">
        <v>18</v>
      </c>
      <c r="E415" t="s">
        <v>19</v>
      </c>
      <c r="F415" t="s">
        <v>64</v>
      </c>
      <c r="G415">
        <v>13</v>
      </c>
      <c r="H415">
        <v>205</v>
      </c>
      <c r="I415" t="s">
        <v>15</v>
      </c>
      <c r="J415">
        <v>2</v>
      </c>
    </row>
    <row r="416" spans="1:10">
      <c r="A416" t="s">
        <v>860</v>
      </c>
      <c r="B416" t="s">
        <v>861</v>
      </c>
      <c r="C416">
        <v>1332</v>
      </c>
      <c r="D416" t="s">
        <v>18</v>
      </c>
      <c r="E416" t="s">
        <v>19</v>
      </c>
      <c r="F416" t="s">
        <v>71</v>
      </c>
      <c r="G416">
        <v>41</v>
      </c>
      <c r="H416">
        <v>507</v>
      </c>
      <c r="I416" t="s">
        <v>15</v>
      </c>
      <c r="J416">
        <v>3</v>
      </c>
    </row>
    <row r="417" spans="1:10">
      <c r="A417" t="s">
        <v>862</v>
      </c>
      <c r="B417" t="s">
        <v>863</v>
      </c>
      <c r="C417">
        <v>1392</v>
      </c>
      <c r="D417" t="s">
        <v>32</v>
      </c>
      <c r="E417" t="s">
        <v>27</v>
      </c>
      <c r="F417" t="s">
        <v>59</v>
      </c>
      <c r="G417">
        <v>121</v>
      </c>
      <c r="H417">
        <v>720</v>
      </c>
      <c r="I417" t="s">
        <v>20</v>
      </c>
    </row>
    <row r="418" spans="1:10">
      <c r="A418" t="s">
        <v>864</v>
      </c>
      <c r="B418" t="s">
        <v>865</v>
      </c>
      <c r="C418">
        <v>1470</v>
      </c>
      <c r="D418" t="s">
        <v>32</v>
      </c>
      <c r="E418" t="s">
        <v>13</v>
      </c>
      <c r="F418" t="s">
        <v>23</v>
      </c>
      <c r="G418">
        <v>2</v>
      </c>
      <c r="H418">
        <v>269</v>
      </c>
      <c r="I418" t="s">
        <v>20</v>
      </c>
    </row>
    <row r="419" spans="1:10">
      <c r="A419" t="s">
        <v>866</v>
      </c>
      <c r="B419" t="s">
        <v>867</v>
      </c>
      <c r="C419">
        <v>1569</v>
      </c>
      <c r="D419" t="s">
        <v>12</v>
      </c>
      <c r="E419" t="s">
        <v>19</v>
      </c>
      <c r="F419" t="s">
        <v>43</v>
      </c>
      <c r="G419">
        <v>13</v>
      </c>
      <c r="H419">
        <v>1042</v>
      </c>
      <c r="I419" t="s">
        <v>15</v>
      </c>
    </row>
    <row r="420" spans="1:10">
      <c r="A420" t="s">
        <v>868</v>
      </c>
      <c r="B420" t="s">
        <v>869</v>
      </c>
      <c r="C420">
        <v>1114</v>
      </c>
      <c r="D420" t="s">
        <v>47</v>
      </c>
      <c r="E420" t="s">
        <v>33</v>
      </c>
      <c r="F420" t="s">
        <v>64</v>
      </c>
      <c r="G420">
        <v>297</v>
      </c>
      <c r="H420">
        <v>8477</v>
      </c>
      <c r="I420" t="s">
        <v>15</v>
      </c>
    </row>
    <row r="421" spans="1:10">
      <c r="A421" t="s">
        <v>870</v>
      </c>
      <c r="B421" t="s">
        <v>871</v>
      </c>
      <c r="C421">
        <v>1042</v>
      </c>
      <c r="D421" t="s">
        <v>12</v>
      </c>
      <c r="E421" t="s">
        <v>19</v>
      </c>
      <c r="F421" t="s">
        <v>59</v>
      </c>
      <c r="G421">
        <v>11</v>
      </c>
      <c r="I421" t="s">
        <v>29</v>
      </c>
    </row>
    <row r="422" spans="1:10">
      <c r="A422" t="s">
        <v>872</v>
      </c>
      <c r="B422" t="s">
        <v>873</v>
      </c>
      <c r="C422">
        <v>1764</v>
      </c>
      <c r="D422" t="s">
        <v>47</v>
      </c>
      <c r="E422" t="s">
        <v>19</v>
      </c>
      <c r="F422" t="s">
        <v>23</v>
      </c>
      <c r="G422">
        <v>39</v>
      </c>
      <c r="I422" t="s">
        <v>44</v>
      </c>
    </row>
    <row r="423" spans="1:10">
      <c r="A423" t="s">
        <v>874</v>
      </c>
      <c r="B423" t="s">
        <v>875</v>
      </c>
      <c r="C423">
        <v>1569</v>
      </c>
      <c r="D423" t="s">
        <v>18</v>
      </c>
      <c r="E423" t="s">
        <v>33</v>
      </c>
      <c r="F423" t="s">
        <v>23</v>
      </c>
      <c r="G423">
        <v>243</v>
      </c>
      <c r="H423">
        <v>1676</v>
      </c>
      <c r="I423" t="s">
        <v>15</v>
      </c>
      <c r="J423">
        <v>2</v>
      </c>
    </row>
    <row r="424" spans="1:10">
      <c r="A424" t="s">
        <v>876</v>
      </c>
      <c r="B424" t="s">
        <v>877</v>
      </c>
      <c r="C424">
        <v>1004</v>
      </c>
      <c r="D424" t="s">
        <v>47</v>
      </c>
      <c r="E424" t="s">
        <v>33</v>
      </c>
      <c r="F424" t="s">
        <v>54</v>
      </c>
      <c r="G424">
        <v>204</v>
      </c>
      <c r="H424">
        <v>2796</v>
      </c>
      <c r="I424" t="s">
        <v>15</v>
      </c>
      <c r="J424">
        <v>4</v>
      </c>
    </row>
    <row r="425" spans="1:10">
      <c r="A425" t="s">
        <v>878</v>
      </c>
      <c r="B425" t="s">
        <v>879</v>
      </c>
      <c r="C425">
        <v>1948</v>
      </c>
      <c r="D425" t="s">
        <v>12</v>
      </c>
      <c r="E425" t="s">
        <v>27</v>
      </c>
      <c r="F425" t="s">
        <v>54</v>
      </c>
      <c r="G425">
        <v>86</v>
      </c>
      <c r="H425">
        <v>752</v>
      </c>
      <c r="I425" t="s">
        <v>20</v>
      </c>
    </row>
    <row r="426" spans="1:10">
      <c r="A426" t="s">
        <v>880</v>
      </c>
      <c r="B426" t="s">
        <v>881</v>
      </c>
      <c r="C426">
        <v>1865</v>
      </c>
      <c r="D426" t="s">
        <v>18</v>
      </c>
      <c r="E426" t="s">
        <v>27</v>
      </c>
      <c r="F426" t="s">
        <v>23</v>
      </c>
      <c r="G426">
        <v>155</v>
      </c>
      <c r="H426">
        <v>1566</v>
      </c>
      <c r="I426" t="s">
        <v>20</v>
      </c>
      <c r="J426">
        <v>5</v>
      </c>
    </row>
    <row r="427" spans="1:10">
      <c r="A427" t="s">
        <v>882</v>
      </c>
      <c r="B427" t="s">
        <v>883</v>
      </c>
      <c r="C427">
        <v>1438</v>
      </c>
      <c r="D427" t="s">
        <v>18</v>
      </c>
      <c r="E427" t="s">
        <v>27</v>
      </c>
      <c r="F427" t="s">
        <v>43</v>
      </c>
      <c r="G427">
        <v>139</v>
      </c>
      <c r="H427">
        <v>3444</v>
      </c>
      <c r="I427" t="s">
        <v>15</v>
      </c>
      <c r="J427">
        <v>4</v>
      </c>
    </row>
    <row r="428" spans="1:10">
      <c r="A428" t="s">
        <v>884</v>
      </c>
      <c r="B428" t="s">
        <v>885</v>
      </c>
      <c r="C428">
        <v>1557</v>
      </c>
      <c r="D428" t="s">
        <v>12</v>
      </c>
      <c r="E428" t="s">
        <v>27</v>
      </c>
      <c r="F428" t="s">
        <v>14</v>
      </c>
      <c r="G428">
        <v>101</v>
      </c>
      <c r="I428" t="s">
        <v>44</v>
      </c>
    </row>
    <row r="429" spans="1:10">
      <c r="A429" t="s">
        <v>886</v>
      </c>
      <c r="B429" t="s">
        <v>887</v>
      </c>
      <c r="C429">
        <v>1332</v>
      </c>
      <c r="D429" t="s">
        <v>47</v>
      </c>
      <c r="E429" t="s">
        <v>27</v>
      </c>
      <c r="F429" t="s">
        <v>71</v>
      </c>
      <c r="G429">
        <v>49</v>
      </c>
      <c r="H429">
        <v>2029</v>
      </c>
      <c r="I429" t="s">
        <v>15</v>
      </c>
      <c r="J429">
        <v>5</v>
      </c>
    </row>
    <row r="430" spans="1:10">
      <c r="A430" t="s">
        <v>888</v>
      </c>
      <c r="B430" t="s">
        <v>889</v>
      </c>
      <c r="C430">
        <v>1608</v>
      </c>
      <c r="D430" t="s">
        <v>12</v>
      </c>
      <c r="E430" t="s">
        <v>13</v>
      </c>
      <c r="F430" t="s">
        <v>54</v>
      </c>
      <c r="G430">
        <v>9</v>
      </c>
      <c r="H430">
        <v>209</v>
      </c>
      <c r="I430" t="s">
        <v>20</v>
      </c>
    </row>
    <row r="431" spans="1:10">
      <c r="A431" t="s">
        <v>890</v>
      </c>
      <c r="B431" t="s">
        <v>891</v>
      </c>
      <c r="C431">
        <v>1307</v>
      </c>
      <c r="D431" t="s">
        <v>12</v>
      </c>
      <c r="E431" t="s">
        <v>19</v>
      </c>
      <c r="F431" t="s">
        <v>28</v>
      </c>
      <c r="G431">
        <v>14</v>
      </c>
      <c r="H431">
        <v>701</v>
      </c>
      <c r="I431" t="s">
        <v>15</v>
      </c>
      <c r="J431">
        <v>1</v>
      </c>
    </row>
    <row r="432" spans="1:10">
      <c r="A432" t="s">
        <v>892</v>
      </c>
      <c r="B432" t="s">
        <v>893</v>
      </c>
      <c r="C432">
        <v>1168</v>
      </c>
      <c r="D432" t="s">
        <v>12</v>
      </c>
      <c r="E432" t="s">
        <v>13</v>
      </c>
      <c r="F432" t="s">
        <v>23</v>
      </c>
      <c r="G432">
        <v>9</v>
      </c>
      <c r="H432">
        <v>196</v>
      </c>
      <c r="I432" t="s">
        <v>20</v>
      </c>
      <c r="J432">
        <v>3</v>
      </c>
    </row>
    <row r="433" spans="1:10">
      <c r="A433" t="s">
        <v>894</v>
      </c>
      <c r="B433" t="s">
        <v>895</v>
      </c>
      <c r="C433">
        <v>1335</v>
      </c>
      <c r="D433" t="s">
        <v>12</v>
      </c>
      <c r="E433" t="s">
        <v>27</v>
      </c>
      <c r="F433" t="s">
        <v>28</v>
      </c>
      <c r="G433">
        <v>103</v>
      </c>
      <c r="H433">
        <v>1763</v>
      </c>
      <c r="I433" t="s">
        <v>20</v>
      </c>
      <c r="J433">
        <v>2</v>
      </c>
    </row>
    <row r="434" spans="1:10">
      <c r="A434" t="s">
        <v>896</v>
      </c>
      <c r="B434" t="s">
        <v>897</v>
      </c>
      <c r="C434">
        <v>1575</v>
      </c>
      <c r="D434" t="s">
        <v>12</v>
      </c>
      <c r="E434" t="s">
        <v>27</v>
      </c>
      <c r="F434" t="s">
        <v>54</v>
      </c>
      <c r="G434">
        <v>35</v>
      </c>
      <c r="H434">
        <v>3220</v>
      </c>
      <c r="I434" t="s">
        <v>15</v>
      </c>
      <c r="J434">
        <v>2</v>
      </c>
    </row>
    <row r="435" spans="1:10">
      <c r="A435" t="s">
        <v>898</v>
      </c>
      <c r="B435" t="s">
        <v>899</v>
      </c>
      <c r="C435">
        <v>1235</v>
      </c>
      <c r="D435" t="s">
        <v>18</v>
      </c>
      <c r="E435" t="s">
        <v>27</v>
      </c>
      <c r="F435" t="s">
        <v>43</v>
      </c>
      <c r="G435">
        <v>83</v>
      </c>
      <c r="H435">
        <v>2481</v>
      </c>
      <c r="I435" t="s">
        <v>15</v>
      </c>
      <c r="J435">
        <v>3</v>
      </c>
    </row>
    <row r="436" spans="1:10">
      <c r="A436" t="s">
        <v>900</v>
      </c>
      <c r="B436" t="s">
        <v>901</v>
      </c>
      <c r="C436">
        <v>2000</v>
      </c>
      <c r="D436" t="s">
        <v>47</v>
      </c>
      <c r="E436" t="s">
        <v>19</v>
      </c>
      <c r="F436" t="s">
        <v>64</v>
      </c>
      <c r="G436">
        <v>43</v>
      </c>
      <c r="H436">
        <v>850</v>
      </c>
      <c r="I436" t="s">
        <v>15</v>
      </c>
      <c r="J436">
        <v>2</v>
      </c>
    </row>
    <row r="437" spans="1:10">
      <c r="A437" t="s">
        <v>902</v>
      </c>
      <c r="B437" t="s">
        <v>903</v>
      </c>
      <c r="C437">
        <v>1698</v>
      </c>
      <c r="D437" t="s">
        <v>32</v>
      </c>
      <c r="E437" t="s">
        <v>19</v>
      </c>
      <c r="F437" t="s">
        <v>71</v>
      </c>
      <c r="G437">
        <v>17</v>
      </c>
      <c r="H437">
        <v>822</v>
      </c>
      <c r="I437" t="s">
        <v>15</v>
      </c>
      <c r="J437">
        <v>3</v>
      </c>
    </row>
    <row r="438" spans="1:10">
      <c r="A438" t="s">
        <v>904</v>
      </c>
      <c r="B438" t="s">
        <v>905</v>
      </c>
      <c r="C438">
        <v>1716</v>
      </c>
      <c r="D438" t="s">
        <v>32</v>
      </c>
      <c r="E438" t="s">
        <v>19</v>
      </c>
      <c r="F438" t="s">
        <v>14</v>
      </c>
      <c r="G438">
        <v>19</v>
      </c>
      <c r="H438">
        <v>153</v>
      </c>
      <c r="I438" t="s">
        <v>15</v>
      </c>
      <c r="J438">
        <v>1</v>
      </c>
    </row>
    <row r="439" spans="1:10">
      <c r="A439" t="s">
        <v>906</v>
      </c>
      <c r="B439" t="s">
        <v>907</v>
      </c>
      <c r="C439">
        <v>1308</v>
      </c>
      <c r="D439" t="s">
        <v>47</v>
      </c>
      <c r="E439" t="s">
        <v>27</v>
      </c>
      <c r="F439" t="s">
        <v>64</v>
      </c>
      <c r="G439">
        <v>53</v>
      </c>
      <c r="H439">
        <v>2233</v>
      </c>
      <c r="I439" t="s">
        <v>15</v>
      </c>
      <c r="J439">
        <v>1</v>
      </c>
    </row>
    <row r="440" spans="1:10">
      <c r="A440" t="s">
        <v>908</v>
      </c>
      <c r="B440" t="s">
        <v>909</v>
      </c>
      <c r="C440">
        <v>1425</v>
      </c>
      <c r="D440" t="s">
        <v>18</v>
      </c>
      <c r="E440" t="s">
        <v>27</v>
      </c>
      <c r="F440" t="s">
        <v>64</v>
      </c>
      <c r="G440">
        <v>137</v>
      </c>
      <c r="H440">
        <v>2335</v>
      </c>
      <c r="I440" t="s">
        <v>15</v>
      </c>
      <c r="J440">
        <v>1</v>
      </c>
    </row>
    <row r="441" spans="1:10">
      <c r="A441" t="s">
        <v>910</v>
      </c>
      <c r="B441" t="s">
        <v>911</v>
      </c>
      <c r="C441">
        <v>1260</v>
      </c>
      <c r="D441" t="s">
        <v>32</v>
      </c>
      <c r="E441" t="s">
        <v>33</v>
      </c>
      <c r="F441" t="s">
        <v>14</v>
      </c>
      <c r="G441">
        <v>353</v>
      </c>
      <c r="H441">
        <v>1501</v>
      </c>
      <c r="I441" t="s">
        <v>15</v>
      </c>
    </row>
    <row r="442" spans="1:10">
      <c r="A442" t="s">
        <v>912</v>
      </c>
      <c r="B442" t="s">
        <v>913</v>
      </c>
      <c r="C442">
        <v>1321</v>
      </c>
      <c r="D442" t="s">
        <v>47</v>
      </c>
      <c r="E442" t="s">
        <v>33</v>
      </c>
      <c r="F442" t="s">
        <v>71</v>
      </c>
      <c r="G442">
        <v>181</v>
      </c>
      <c r="I442" t="s">
        <v>29</v>
      </c>
    </row>
    <row r="443" spans="1:10">
      <c r="A443" t="s">
        <v>914</v>
      </c>
      <c r="B443" t="s">
        <v>915</v>
      </c>
      <c r="C443">
        <v>1759</v>
      </c>
      <c r="D443" t="s">
        <v>32</v>
      </c>
      <c r="E443" t="s">
        <v>19</v>
      </c>
      <c r="F443" t="s">
        <v>43</v>
      </c>
      <c r="G443">
        <v>35</v>
      </c>
      <c r="H443">
        <v>844</v>
      </c>
      <c r="I443" t="s">
        <v>15</v>
      </c>
      <c r="J443">
        <v>5</v>
      </c>
    </row>
    <row r="444" spans="1:10">
      <c r="A444" t="s">
        <v>916</v>
      </c>
      <c r="B444" t="s">
        <v>917</v>
      </c>
      <c r="C444">
        <v>1480</v>
      </c>
      <c r="D444" t="s">
        <v>47</v>
      </c>
      <c r="E444" t="s">
        <v>19</v>
      </c>
      <c r="F444" t="s">
        <v>71</v>
      </c>
      <c r="G444">
        <v>17</v>
      </c>
      <c r="H444">
        <v>192</v>
      </c>
      <c r="I444" t="s">
        <v>15</v>
      </c>
      <c r="J444">
        <v>2</v>
      </c>
    </row>
    <row r="445" spans="1:10">
      <c r="A445" t="s">
        <v>918</v>
      </c>
      <c r="B445" t="s">
        <v>919</v>
      </c>
      <c r="C445">
        <v>1094</v>
      </c>
      <c r="D445" t="s">
        <v>18</v>
      </c>
      <c r="E445" t="s">
        <v>33</v>
      </c>
      <c r="F445" t="s">
        <v>64</v>
      </c>
      <c r="G445">
        <v>204</v>
      </c>
      <c r="H445">
        <v>3054</v>
      </c>
      <c r="I445" t="s">
        <v>20</v>
      </c>
    </row>
    <row r="446" spans="1:10">
      <c r="A446" t="s">
        <v>920</v>
      </c>
      <c r="B446" t="s">
        <v>921</v>
      </c>
      <c r="C446">
        <v>1202</v>
      </c>
      <c r="D446" t="s">
        <v>18</v>
      </c>
      <c r="E446" t="s">
        <v>19</v>
      </c>
      <c r="F446" t="s">
        <v>14</v>
      </c>
      <c r="G446">
        <v>31</v>
      </c>
      <c r="H446">
        <v>997</v>
      </c>
      <c r="I446" t="s">
        <v>15</v>
      </c>
    </row>
    <row r="447" spans="1:10">
      <c r="A447" t="s">
        <v>922</v>
      </c>
      <c r="B447" t="s">
        <v>923</v>
      </c>
      <c r="C447">
        <v>1686</v>
      </c>
      <c r="D447" t="s">
        <v>18</v>
      </c>
      <c r="E447" t="s">
        <v>27</v>
      </c>
      <c r="F447" t="s">
        <v>14</v>
      </c>
      <c r="G447">
        <v>99</v>
      </c>
      <c r="H447">
        <v>2314</v>
      </c>
      <c r="I447" t="s">
        <v>15</v>
      </c>
    </row>
    <row r="448" spans="1:10">
      <c r="A448" t="s">
        <v>924</v>
      </c>
      <c r="B448" t="s">
        <v>925</v>
      </c>
      <c r="C448">
        <v>1279</v>
      </c>
      <c r="D448" t="s">
        <v>47</v>
      </c>
      <c r="E448" t="s">
        <v>13</v>
      </c>
      <c r="F448" t="s">
        <v>54</v>
      </c>
      <c r="G448">
        <v>6</v>
      </c>
      <c r="H448">
        <v>244</v>
      </c>
      <c r="I448" t="s">
        <v>15</v>
      </c>
    </row>
    <row r="449" spans="1:10">
      <c r="A449" t="s">
        <v>926</v>
      </c>
      <c r="B449" t="s">
        <v>927</v>
      </c>
      <c r="C449">
        <v>1098</v>
      </c>
      <c r="D449" t="s">
        <v>18</v>
      </c>
      <c r="E449" t="s">
        <v>27</v>
      </c>
      <c r="F449" t="s">
        <v>59</v>
      </c>
      <c r="G449">
        <v>55</v>
      </c>
      <c r="H449">
        <v>1009</v>
      </c>
      <c r="I449" t="s">
        <v>20</v>
      </c>
      <c r="J449">
        <v>2</v>
      </c>
    </row>
    <row r="450" spans="1:10">
      <c r="A450" t="s">
        <v>928</v>
      </c>
      <c r="B450" t="s">
        <v>929</v>
      </c>
      <c r="C450">
        <v>1315</v>
      </c>
      <c r="D450" t="s">
        <v>12</v>
      </c>
      <c r="E450" t="s">
        <v>27</v>
      </c>
      <c r="F450" t="s">
        <v>43</v>
      </c>
      <c r="G450">
        <v>93</v>
      </c>
      <c r="H450">
        <v>995</v>
      </c>
      <c r="I450" t="s">
        <v>15</v>
      </c>
    </row>
    <row r="451" spans="1:10">
      <c r="A451" t="s">
        <v>930</v>
      </c>
      <c r="B451" t="s">
        <v>931</v>
      </c>
      <c r="C451">
        <v>1330</v>
      </c>
      <c r="D451" t="s">
        <v>32</v>
      </c>
      <c r="E451" t="s">
        <v>27</v>
      </c>
      <c r="F451" t="s">
        <v>34</v>
      </c>
      <c r="G451">
        <v>110</v>
      </c>
      <c r="H451">
        <v>3300</v>
      </c>
      <c r="I451" t="s">
        <v>15</v>
      </c>
    </row>
    <row r="452" spans="1:10">
      <c r="A452" t="s">
        <v>932</v>
      </c>
      <c r="B452" t="s">
        <v>933</v>
      </c>
      <c r="C452">
        <v>1961</v>
      </c>
      <c r="D452" t="s">
        <v>12</v>
      </c>
      <c r="E452" t="s">
        <v>13</v>
      </c>
      <c r="F452" t="s">
        <v>23</v>
      </c>
      <c r="G452">
        <v>3</v>
      </c>
      <c r="H452">
        <v>242</v>
      </c>
      <c r="I452" t="s">
        <v>15</v>
      </c>
    </row>
    <row r="453" spans="1:10">
      <c r="A453" t="s">
        <v>934</v>
      </c>
      <c r="B453" t="s">
        <v>935</v>
      </c>
      <c r="C453">
        <v>1768</v>
      </c>
      <c r="D453" t="s">
        <v>26</v>
      </c>
      <c r="E453" t="s">
        <v>33</v>
      </c>
      <c r="F453" t="s">
        <v>59</v>
      </c>
      <c r="G453">
        <v>302</v>
      </c>
      <c r="H453">
        <v>3193</v>
      </c>
      <c r="I453" t="s">
        <v>15</v>
      </c>
      <c r="J453">
        <v>2</v>
      </c>
    </row>
    <row r="454" spans="1:10">
      <c r="A454" t="s">
        <v>936</v>
      </c>
      <c r="B454" t="s">
        <v>937</v>
      </c>
      <c r="C454">
        <v>1960</v>
      </c>
      <c r="D454" t="s">
        <v>12</v>
      </c>
      <c r="E454" t="s">
        <v>27</v>
      </c>
      <c r="F454" t="s">
        <v>71</v>
      </c>
      <c r="G454">
        <v>157</v>
      </c>
      <c r="H454">
        <v>3608</v>
      </c>
      <c r="I454" t="s">
        <v>15</v>
      </c>
      <c r="J454">
        <v>4</v>
      </c>
    </row>
    <row r="455" spans="1:10">
      <c r="A455" t="s">
        <v>938</v>
      </c>
      <c r="B455" t="s">
        <v>939</v>
      </c>
      <c r="C455">
        <v>1428</v>
      </c>
      <c r="D455" t="s">
        <v>18</v>
      </c>
      <c r="E455" t="s">
        <v>13</v>
      </c>
      <c r="F455" t="s">
        <v>23</v>
      </c>
      <c r="G455">
        <v>5</v>
      </c>
      <c r="H455">
        <v>404</v>
      </c>
      <c r="I455" t="s">
        <v>15</v>
      </c>
      <c r="J455">
        <v>2</v>
      </c>
    </row>
    <row r="456" spans="1:10">
      <c r="A456" t="s">
        <v>940</v>
      </c>
      <c r="B456" t="s">
        <v>941</v>
      </c>
      <c r="C456">
        <v>1222</v>
      </c>
      <c r="D456" t="s">
        <v>32</v>
      </c>
      <c r="E456" t="s">
        <v>19</v>
      </c>
      <c r="F456" t="s">
        <v>23</v>
      </c>
      <c r="G456">
        <v>21</v>
      </c>
      <c r="H456">
        <v>772</v>
      </c>
      <c r="I456" t="s">
        <v>15</v>
      </c>
      <c r="J456">
        <v>1</v>
      </c>
    </row>
    <row r="457" spans="1:10">
      <c r="A457" t="s">
        <v>942</v>
      </c>
      <c r="B457" t="s">
        <v>943</v>
      </c>
      <c r="C457">
        <v>1705</v>
      </c>
      <c r="D457" t="s">
        <v>26</v>
      </c>
      <c r="E457" t="s">
        <v>27</v>
      </c>
      <c r="F457" t="s">
        <v>71</v>
      </c>
      <c r="G457">
        <v>55</v>
      </c>
      <c r="I457" t="s">
        <v>29</v>
      </c>
    </row>
    <row r="458" spans="1:10">
      <c r="A458" t="s">
        <v>944</v>
      </c>
      <c r="B458" t="s">
        <v>945</v>
      </c>
      <c r="C458">
        <v>1844</v>
      </c>
      <c r="D458" t="s">
        <v>26</v>
      </c>
      <c r="E458" t="s">
        <v>19</v>
      </c>
      <c r="F458" t="s">
        <v>34</v>
      </c>
      <c r="G458">
        <v>18</v>
      </c>
      <c r="H458">
        <v>1125</v>
      </c>
      <c r="I458" t="s">
        <v>15</v>
      </c>
      <c r="J458">
        <v>3</v>
      </c>
    </row>
    <row r="459" spans="1:10">
      <c r="A459" t="s">
        <v>946</v>
      </c>
      <c r="B459" t="s">
        <v>947</v>
      </c>
      <c r="C459">
        <v>1167</v>
      </c>
      <c r="D459" t="s">
        <v>32</v>
      </c>
      <c r="E459" t="s">
        <v>33</v>
      </c>
      <c r="F459" t="s">
        <v>54</v>
      </c>
      <c r="G459">
        <v>464</v>
      </c>
      <c r="H459">
        <v>1544</v>
      </c>
      <c r="I459" t="s">
        <v>15</v>
      </c>
    </row>
    <row r="460" spans="1:10">
      <c r="A460" t="s">
        <v>948</v>
      </c>
      <c r="B460" t="s">
        <v>949</v>
      </c>
      <c r="C460">
        <v>1059</v>
      </c>
      <c r="D460" t="s">
        <v>12</v>
      </c>
      <c r="E460" t="s">
        <v>27</v>
      </c>
      <c r="F460" t="s">
        <v>23</v>
      </c>
      <c r="G460">
        <v>33</v>
      </c>
      <c r="H460">
        <v>2716</v>
      </c>
      <c r="I460" t="s">
        <v>15</v>
      </c>
      <c r="J460">
        <v>5</v>
      </c>
    </row>
    <row r="461" spans="1:10">
      <c r="A461" t="s">
        <v>950</v>
      </c>
      <c r="B461" t="s">
        <v>951</v>
      </c>
      <c r="C461">
        <v>1607</v>
      </c>
      <c r="D461" t="s">
        <v>26</v>
      </c>
      <c r="E461" t="s">
        <v>13</v>
      </c>
      <c r="F461" t="s">
        <v>71</v>
      </c>
      <c r="G461">
        <v>9</v>
      </c>
      <c r="I461" t="s">
        <v>44</v>
      </c>
    </row>
    <row r="462" spans="1:10">
      <c r="A462" t="s">
        <v>952</v>
      </c>
      <c r="B462" t="s">
        <v>953</v>
      </c>
      <c r="C462">
        <v>1914</v>
      </c>
      <c r="D462" t="s">
        <v>18</v>
      </c>
      <c r="E462" t="s">
        <v>27</v>
      </c>
      <c r="F462" t="s">
        <v>59</v>
      </c>
      <c r="G462">
        <v>78</v>
      </c>
      <c r="H462">
        <v>3649</v>
      </c>
      <c r="I462" t="s">
        <v>15</v>
      </c>
    </row>
    <row r="463" spans="1:10">
      <c r="A463" t="s">
        <v>954</v>
      </c>
      <c r="B463" t="s">
        <v>955</v>
      </c>
      <c r="C463">
        <v>1472</v>
      </c>
      <c r="D463" t="s">
        <v>47</v>
      </c>
      <c r="E463" t="s">
        <v>13</v>
      </c>
      <c r="F463" t="s">
        <v>14</v>
      </c>
      <c r="G463">
        <v>6</v>
      </c>
      <c r="I463" t="s">
        <v>44</v>
      </c>
    </row>
    <row r="464" spans="1:10">
      <c r="A464" t="s">
        <v>956</v>
      </c>
      <c r="B464" t="s">
        <v>957</v>
      </c>
      <c r="C464">
        <v>1144</v>
      </c>
      <c r="D464" t="s">
        <v>32</v>
      </c>
      <c r="E464" t="s">
        <v>19</v>
      </c>
      <c r="F464" t="s">
        <v>28</v>
      </c>
      <c r="G464">
        <v>28</v>
      </c>
      <c r="H464">
        <v>225</v>
      </c>
      <c r="I464" t="s">
        <v>15</v>
      </c>
      <c r="J464">
        <v>2</v>
      </c>
    </row>
    <row r="465" spans="1:10">
      <c r="A465" t="s">
        <v>958</v>
      </c>
      <c r="B465" t="s">
        <v>959</v>
      </c>
      <c r="C465">
        <v>1226</v>
      </c>
      <c r="D465" t="s">
        <v>32</v>
      </c>
      <c r="E465" t="s">
        <v>27</v>
      </c>
      <c r="F465" t="s">
        <v>43</v>
      </c>
      <c r="G465">
        <v>95</v>
      </c>
      <c r="H465">
        <v>3085</v>
      </c>
      <c r="I465" t="s">
        <v>20</v>
      </c>
    </row>
    <row r="466" spans="1:10">
      <c r="A466" t="s">
        <v>960</v>
      </c>
      <c r="B466" t="s">
        <v>961</v>
      </c>
      <c r="C466">
        <v>1966</v>
      </c>
      <c r="D466" t="s">
        <v>32</v>
      </c>
      <c r="E466" t="s">
        <v>27</v>
      </c>
      <c r="F466" t="s">
        <v>34</v>
      </c>
      <c r="G466">
        <v>101</v>
      </c>
      <c r="H466">
        <v>894</v>
      </c>
      <c r="I466" t="s">
        <v>15</v>
      </c>
      <c r="J466">
        <v>5</v>
      </c>
    </row>
    <row r="467" spans="1:10">
      <c r="A467" t="s">
        <v>962</v>
      </c>
      <c r="B467" t="s">
        <v>963</v>
      </c>
      <c r="C467">
        <v>1188</v>
      </c>
      <c r="D467" t="s">
        <v>12</v>
      </c>
      <c r="E467" t="s">
        <v>33</v>
      </c>
      <c r="F467" t="s">
        <v>28</v>
      </c>
      <c r="G467">
        <v>438</v>
      </c>
      <c r="H467">
        <v>4865</v>
      </c>
      <c r="I467" t="s">
        <v>15</v>
      </c>
      <c r="J467">
        <v>1</v>
      </c>
    </row>
    <row r="468" spans="1:10">
      <c r="A468" t="s">
        <v>964</v>
      </c>
      <c r="B468" t="s">
        <v>965</v>
      </c>
      <c r="C468">
        <v>1085</v>
      </c>
      <c r="D468" t="s">
        <v>26</v>
      </c>
      <c r="E468" t="s">
        <v>19</v>
      </c>
      <c r="F468" t="s">
        <v>14</v>
      </c>
      <c r="G468">
        <v>13</v>
      </c>
      <c r="H468">
        <v>202</v>
      </c>
      <c r="I468" t="s">
        <v>15</v>
      </c>
    </row>
    <row r="469" spans="1:10">
      <c r="A469" t="s">
        <v>966</v>
      </c>
      <c r="B469" t="s">
        <v>967</v>
      </c>
      <c r="C469">
        <v>1234</v>
      </c>
      <c r="D469" t="s">
        <v>18</v>
      </c>
      <c r="E469" t="s">
        <v>19</v>
      </c>
      <c r="F469" t="s">
        <v>14</v>
      </c>
      <c r="G469">
        <v>27</v>
      </c>
      <c r="H469">
        <v>681</v>
      </c>
      <c r="I469" t="s">
        <v>15</v>
      </c>
      <c r="J469">
        <v>2</v>
      </c>
    </row>
    <row r="470" spans="1:10">
      <c r="A470" t="s">
        <v>968</v>
      </c>
      <c r="B470" t="s">
        <v>969</v>
      </c>
      <c r="C470">
        <v>1883</v>
      </c>
      <c r="D470" t="s">
        <v>12</v>
      </c>
      <c r="E470" t="s">
        <v>33</v>
      </c>
      <c r="F470" t="s">
        <v>71</v>
      </c>
      <c r="G470">
        <v>444</v>
      </c>
      <c r="H470">
        <v>2739</v>
      </c>
      <c r="I470" t="s">
        <v>20</v>
      </c>
      <c r="J470">
        <v>2</v>
      </c>
    </row>
    <row r="471" spans="1:10">
      <c r="A471" t="s">
        <v>970</v>
      </c>
      <c r="B471" t="s">
        <v>971</v>
      </c>
      <c r="C471">
        <v>1554</v>
      </c>
      <c r="D471" t="s">
        <v>18</v>
      </c>
      <c r="E471" t="s">
        <v>27</v>
      </c>
      <c r="F471" t="s">
        <v>34</v>
      </c>
      <c r="G471">
        <v>179</v>
      </c>
      <c r="H471">
        <v>695</v>
      </c>
      <c r="I471" t="s">
        <v>15</v>
      </c>
      <c r="J471">
        <v>3</v>
      </c>
    </row>
    <row r="472" spans="1:10">
      <c r="A472" t="s">
        <v>972</v>
      </c>
      <c r="B472" t="s">
        <v>973</v>
      </c>
      <c r="C472">
        <v>1316</v>
      </c>
      <c r="D472" t="s">
        <v>26</v>
      </c>
      <c r="E472" t="s">
        <v>27</v>
      </c>
      <c r="F472" t="s">
        <v>43</v>
      </c>
      <c r="G472">
        <v>127</v>
      </c>
      <c r="H472">
        <v>2128</v>
      </c>
      <c r="I472" t="s">
        <v>15</v>
      </c>
    </row>
    <row r="473" spans="1:10">
      <c r="A473" t="s">
        <v>974</v>
      </c>
      <c r="B473" t="s">
        <v>975</v>
      </c>
      <c r="C473">
        <v>1422</v>
      </c>
      <c r="D473" t="s">
        <v>26</v>
      </c>
      <c r="E473" t="s">
        <v>13</v>
      </c>
      <c r="F473" t="s">
        <v>34</v>
      </c>
      <c r="G473">
        <v>3</v>
      </c>
      <c r="H473">
        <v>208</v>
      </c>
      <c r="I473" t="s">
        <v>15</v>
      </c>
    </row>
    <row r="474" spans="1:10">
      <c r="A474" t="s">
        <v>976</v>
      </c>
      <c r="B474" t="s">
        <v>977</v>
      </c>
      <c r="C474">
        <v>1601</v>
      </c>
      <c r="D474" t="s">
        <v>26</v>
      </c>
      <c r="E474" t="s">
        <v>27</v>
      </c>
      <c r="F474" t="s">
        <v>14</v>
      </c>
      <c r="G474">
        <v>138</v>
      </c>
      <c r="H474">
        <v>2949</v>
      </c>
      <c r="I474" t="s">
        <v>15</v>
      </c>
      <c r="J474">
        <v>5</v>
      </c>
    </row>
    <row r="475" spans="1:10">
      <c r="A475" t="s">
        <v>978</v>
      </c>
      <c r="B475" t="s">
        <v>979</v>
      </c>
      <c r="C475">
        <v>1596</v>
      </c>
      <c r="D475" t="s">
        <v>47</v>
      </c>
      <c r="E475" t="s">
        <v>33</v>
      </c>
      <c r="F475" t="s">
        <v>54</v>
      </c>
      <c r="G475">
        <v>223</v>
      </c>
      <c r="H475">
        <v>3884</v>
      </c>
      <c r="I475" t="s">
        <v>15</v>
      </c>
      <c r="J475">
        <v>5</v>
      </c>
    </row>
    <row r="476" spans="1:10">
      <c r="A476" t="s">
        <v>980</v>
      </c>
      <c r="B476" t="s">
        <v>981</v>
      </c>
      <c r="C476">
        <v>1830</v>
      </c>
      <c r="D476" t="s">
        <v>12</v>
      </c>
      <c r="E476" t="s">
        <v>13</v>
      </c>
      <c r="F476" t="s">
        <v>64</v>
      </c>
      <c r="G476">
        <v>9</v>
      </c>
      <c r="H476">
        <v>278</v>
      </c>
      <c r="I476" t="s">
        <v>15</v>
      </c>
      <c r="J476">
        <v>4</v>
      </c>
    </row>
    <row r="477" spans="1:10">
      <c r="A477" t="s">
        <v>982</v>
      </c>
      <c r="B477" t="s">
        <v>983</v>
      </c>
      <c r="C477">
        <v>1811</v>
      </c>
      <c r="D477" t="s">
        <v>18</v>
      </c>
      <c r="E477" t="s">
        <v>27</v>
      </c>
      <c r="F477" t="s">
        <v>64</v>
      </c>
      <c r="G477">
        <v>116</v>
      </c>
      <c r="H477">
        <v>1236</v>
      </c>
      <c r="I477" t="s">
        <v>15</v>
      </c>
      <c r="J477">
        <v>3</v>
      </c>
    </row>
    <row r="478" spans="1:10">
      <c r="A478" t="s">
        <v>984</v>
      </c>
      <c r="B478" t="s">
        <v>985</v>
      </c>
      <c r="C478">
        <v>1464</v>
      </c>
      <c r="D478" t="s">
        <v>12</v>
      </c>
      <c r="E478" t="s">
        <v>13</v>
      </c>
      <c r="F478" t="s">
        <v>34</v>
      </c>
      <c r="G478">
        <v>3</v>
      </c>
      <c r="H478">
        <v>256</v>
      </c>
      <c r="I478" t="s">
        <v>20</v>
      </c>
      <c r="J478">
        <v>1</v>
      </c>
    </row>
    <row r="479" spans="1:10">
      <c r="A479" t="s">
        <v>986</v>
      </c>
      <c r="B479" t="s">
        <v>987</v>
      </c>
      <c r="C479">
        <v>1142</v>
      </c>
      <c r="D479" t="s">
        <v>26</v>
      </c>
      <c r="E479" t="s">
        <v>27</v>
      </c>
      <c r="F479" t="s">
        <v>59</v>
      </c>
      <c r="G479">
        <v>155</v>
      </c>
      <c r="H479">
        <v>2000</v>
      </c>
      <c r="I479" t="s">
        <v>15</v>
      </c>
    </row>
    <row r="480" spans="1:10">
      <c r="A480" t="s">
        <v>988</v>
      </c>
      <c r="B480" t="s">
        <v>989</v>
      </c>
      <c r="C480">
        <v>1388</v>
      </c>
      <c r="D480" t="s">
        <v>32</v>
      </c>
      <c r="E480" t="s">
        <v>33</v>
      </c>
      <c r="F480" t="s">
        <v>34</v>
      </c>
      <c r="G480">
        <v>429</v>
      </c>
      <c r="H480">
        <v>5382</v>
      </c>
      <c r="I480" t="s">
        <v>15</v>
      </c>
    </row>
    <row r="481" spans="1:10">
      <c r="A481" t="s">
        <v>990</v>
      </c>
      <c r="B481" t="s">
        <v>991</v>
      </c>
      <c r="C481">
        <v>1011</v>
      </c>
      <c r="D481" t="s">
        <v>18</v>
      </c>
      <c r="E481" t="s">
        <v>13</v>
      </c>
      <c r="F481" t="s">
        <v>14</v>
      </c>
      <c r="G481">
        <v>3</v>
      </c>
      <c r="H481">
        <v>399</v>
      </c>
      <c r="I481" t="s">
        <v>20</v>
      </c>
      <c r="J481">
        <v>4</v>
      </c>
    </row>
    <row r="482" spans="1:10">
      <c r="A482" t="s">
        <v>992</v>
      </c>
      <c r="B482" t="s">
        <v>993</v>
      </c>
      <c r="C482">
        <v>1195</v>
      </c>
      <c r="D482" t="s">
        <v>18</v>
      </c>
      <c r="E482" t="s">
        <v>19</v>
      </c>
      <c r="F482" t="s">
        <v>34</v>
      </c>
      <c r="G482">
        <v>33</v>
      </c>
      <c r="H482">
        <v>461</v>
      </c>
      <c r="I482" t="s">
        <v>15</v>
      </c>
    </row>
    <row r="483" spans="1:10">
      <c r="A483" t="s">
        <v>994</v>
      </c>
      <c r="B483" t="s">
        <v>995</v>
      </c>
      <c r="C483">
        <v>1163</v>
      </c>
      <c r="D483" t="s">
        <v>18</v>
      </c>
      <c r="E483" t="s">
        <v>13</v>
      </c>
      <c r="F483" t="s">
        <v>64</v>
      </c>
      <c r="G483">
        <v>7</v>
      </c>
      <c r="H483">
        <v>405</v>
      </c>
      <c r="I483" t="s">
        <v>20</v>
      </c>
      <c r="J483">
        <v>5</v>
      </c>
    </row>
    <row r="484" spans="1:10">
      <c r="A484" t="s">
        <v>996</v>
      </c>
      <c r="B484" t="s">
        <v>997</v>
      </c>
      <c r="C484">
        <v>1966</v>
      </c>
      <c r="D484" t="s">
        <v>12</v>
      </c>
      <c r="E484" t="s">
        <v>27</v>
      </c>
      <c r="F484" t="s">
        <v>28</v>
      </c>
      <c r="G484">
        <v>174</v>
      </c>
      <c r="H484">
        <v>919</v>
      </c>
      <c r="I484" t="s">
        <v>15</v>
      </c>
      <c r="J484">
        <v>3</v>
      </c>
    </row>
    <row r="485" spans="1:10">
      <c r="A485" t="s">
        <v>998</v>
      </c>
      <c r="B485" t="s">
        <v>999</v>
      </c>
      <c r="C485">
        <v>1443</v>
      </c>
      <c r="D485" t="s">
        <v>32</v>
      </c>
      <c r="E485" t="s">
        <v>27</v>
      </c>
      <c r="F485" t="s">
        <v>71</v>
      </c>
      <c r="G485">
        <v>131</v>
      </c>
      <c r="H485">
        <v>2313</v>
      </c>
      <c r="I485" t="s">
        <v>15</v>
      </c>
      <c r="J485">
        <v>2</v>
      </c>
    </row>
    <row r="486" spans="1:10">
      <c r="A486" t="s">
        <v>1000</v>
      </c>
      <c r="B486" t="s">
        <v>1001</v>
      </c>
      <c r="C486">
        <v>1864</v>
      </c>
      <c r="D486" t="s">
        <v>26</v>
      </c>
      <c r="E486" t="s">
        <v>19</v>
      </c>
      <c r="F486" t="s">
        <v>34</v>
      </c>
      <c r="G486">
        <v>50</v>
      </c>
      <c r="I486" t="s">
        <v>44</v>
      </c>
    </row>
    <row r="487" spans="1:10">
      <c r="A487" t="s">
        <v>1002</v>
      </c>
      <c r="B487" t="s">
        <v>1003</v>
      </c>
      <c r="C487">
        <v>1959</v>
      </c>
      <c r="D487" t="s">
        <v>12</v>
      </c>
      <c r="E487" t="s">
        <v>13</v>
      </c>
      <c r="F487" t="s">
        <v>14</v>
      </c>
      <c r="G487">
        <v>4</v>
      </c>
      <c r="H487">
        <v>154</v>
      </c>
      <c r="I487" t="s">
        <v>15</v>
      </c>
    </row>
    <row r="488" spans="1:10">
      <c r="A488" t="s">
        <v>1004</v>
      </c>
      <c r="B488" t="s">
        <v>1005</v>
      </c>
      <c r="C488">
        <v>1704</v>
      </c>
      <c r="D488" t="s">
        <v>26</v>
      </c>
      <c r="E488" t="s">
        <v>13</v>
      </c>
      <c r="F488" t="s">
        <v>43</v>
      </c>
      <c r="G488">
        <v>12</v>
      </c>
      <c r="H488">
        <v>141</v>
      </c>
      <c r="I488" t="s">
        <v>15</v>
      </c>
      <c r="J488">
        <v>3</v>
      </c>
    </row>
    <row r="489" spans="1:10">
      <c r="A489" t="s">
        <v>1006</v>
      </c>
      <c r="B489" t="s">
        <v>1007</v>
      </c>
      <c r="C489">
        <v>1601</v>
      </c>
      <c r="D489" t="s">
        <v>12</v>
      </c>
      <c r="E489" t="s">
        <v>13</v>
      </c>
      <c r="F489" t="s">
        <v>59</v>
      </c>
      <c r="G489">
        <v>7</v>
      </c>
      <c r="H489">
        <v>349</v>
      </c>
      <c r="I489" t="s">
        <v>20</v>
      </c>
    </row>
    <row r="490" spans="1:10">
      <c r="A490" t="s">
        <v>1008</v>
      </c>
      <c r="B490" t="s">
        <v>1009</v>
      </c>
      <c r="C490">
        <v>1868</v>
      </c>
      <c r="D490" t="s">
        <v>26</v>
      </c>
      <c r="E490" t="s">
        <v>27</v>
      </c>
      <c r="F490" t="s">
        <v>59</v>
      </c>
      <c r="G490">
        <v>96</v>
      </c>
      <c r="H490">
        <v>1007</v>
      </c>
      <c r="I490" t="s">
        <v>15</v>
      </c>
      <c r="J490">
        <v>5</v>
      </c>
    </row>
    <row r="491" spans="1:10">
      <c r="A491" t="s">
        <v>1010</v>
      </c>
      <c r="B491" t="s">
        <v>1011</v>
      </c>
      <c r="C491">
        <v>1949</v>
      </c>
      <c r="D491" t="s">
        <v>26</v>
      </c>
      <c r="E491" t="s">
        <v>19</v>
      </c>
      <c r="F491" t="s">
        <v>43</v>
      </c>
      <c r="G491">
        <v>32</v>
      </c>
      <c r="I491" t="s">
        <v>44</v>
      </c>
    </row>
    <row r="492" spans="1:10">
      <c r="A492" t="s">
        <v>1012</v>
      </c>
      <c r="B492" t="s">
        <v>1013</v>
      </c>
      <c r="C492">
        <v>1247</v>
      </c>
      <c r="D492" t="s">
        <v>47</v>
      </c>
      <c r="E492" t="s">
        <v>27</v>
      </c>
      <c r="F492" t="s">
        <v>71</v>
      </c>
      <c r="G492">
        <v>77</v>
      </c>
      <c r="H492">
        <v>665</v>
      </c>
      <c r="I492" t="s">
        <v>15</v>
      </c>
      <c r="J492">
        <v>5</v>
      </c>
    </row>
    <row r="493" spans="1:10">
      <c r="A493" t="s">
        <v>1014</v>
      </c>
      <c r="B493" t="s">
        <v>1015</v>
      </c>
      <c r="C493">
        <v>1394</v>
      </c>
      <c r="D493" t="s">
        <v>47</v>
      </c>
      <c r="E493" t="s">
        <v>27</v>
      </c>
      <c r="F493" t="s">
        <v>23</v>
      </c>
      <c r="G493">
        <v>40</v>
      </c>
      <c r="I493" t="s">
        <v>44</v>
      </c>
    </row>
    <row r="494" spans="1:10">
      <c r="A494" t="s">
        <v>1016</v>
      </c>
      <c r="B494" t="s">
        <v>1017</v>
      </c>
      <c r="C494">
        <v>1658</v>
      </c>
      <c r="D494" t="s">
        <v>32</v>
      </c>
      <c r="E494" t="s">
        <v>13</v>
      </c>
      <c r="F494" t="s">
        <v>14</v>
      </c>
      <c r="G494">
        <v>3</v>
      </c>
      <c r="H494">
        <v>57</v>
      </c>
      <c r="I494" t="s">
        <v>15</v>
      </c>
      <c r="J494">
        <v>2</v>
      </c>
    </row>
    <row r="495" spans="1:10">
      <c r="A495" t="s">
        <v>1018</v>
      </c>
      <c r="B495" t="s">
        <v>1019</v>
      </c>
      <c r="C495">
        <v>1283</v>
      </c>
      <c r="D495" t="s">
        <v>12</v>
      </c>
      <c r="E495" t="s">
        <v>13</v>
      </c>
      <c r="F495" t="s">
        <v>54</v>
      </c>
      <c r="G495">
        <v>12</v>
      </c>
      <c r="H495">
        <v>198</v>
      </c>
      <c r="I495" t="s">
        <v>15</v>
      </c>
    </row>
    <row r="496" spans="1:10">
      <c r="A496" t="s">
        <v>1020</v>
      </c>
      <c r="B496" t="s">
        <v>1021</v>
      </c>
      <c r="C496">
        <v>1259</v>
      </c>
      <c r="D496" t="s">
        <v>47</v>
      </c>
      <c r="E496" t="s">
        <v>33</v>
      </c>
      <c r="F496" t="s">
        <v>14</v>
      </c>
      <c r="G496">
        <v>302</v>
      </c>
      <c r="H496">
        <v>5627</v>
      </c>
      <c r="I496" t="s">
        <v>15</v>
      </c>
      <c r="J496">
        <v>3</v>
      </c>
    </row>
    <row r="497" spans="1:10">
      <c r="A497" t="s">
        <v>1022</v>
      </c>
      <c r="B497" t="s">
        <v>1023</v>
      </c>
      <c r="C497">
        <v>1258</v>
      </c>
      <c r="D497" t="s">
        <v>18</v>
      </c>
      <c r="E497" t="s">
        <v>33</v>
      </c>
      <c r="F497" t="s">
        <v>54</v>
      </c>
      <c r="G497">
        <v>456</v>
      </c>
      <c r="H497">
        <v>6595</v>
      </c>
      <c r="I497" t="s">
        <v>15</v>
      </c>
    </row>
    <row r="498" spans="1:10">
      <c r="A498" t="s">
        <v>1024</v>
      </c>
      <c r="B498" t="s">
        <v>1025</v>
      </c>
      <c r="C498">
        <v>1267</v>
      </c>
      <c r="D498" t="s">
        <v>32</v>
      </c>
      <c r="E498" t="s">
        <v>27</v>
      </c>
      <c r="F498" t="s">
        <v>54</v>
      </c>
      <c r="G498">
        <v>144</v>
      </c>
      <c r="H498">
        <v>510</v>
      </c>
      <c r="I498" t="s">
        <v>15</v>
      </c>
      <c r="J498">
        <v>2</v>
      </c>
    </row>
    <row r="499" spans="1:10">
      <c r="A499" t="s">
        <v>1026</v>
      </c>
      <c r="B499" t="s">
        <v>1027</v>
      </c>
      <c r="C499">
        <v>1644</v>
      </c>
      <c r="D499" t="s">
        <v>26</v>
      </c>
      <c r="E499" t="s">
        <v>13</v>
      </c>
      <c r="F499" t="s">
        <v>64</v>
      </c>
      <c r="G499">
        <v>3</v>
      </c>
      <c r="I499" t="s">
        <v>29</v>
      </c>
    </row>
    <row r="500" spans="1:10">
      <c r="A500" t="s">
        <v>1028</v>
      </c>
      <c r="B500" t="s">
        <v>1029</v>
      </c>
      <c r="C500">
        <v>1893</v>
      </c>
      <c r="D500" t="s">
        <v>12</v>
      </c>
      <c r="E500" t="s">
        <v>27</v>
      </c>
      <c r="F500" t="s">
        <v>54</v>
      </c>
      <c r="G500">
        <v>109</v>
      </c>
      <c r="H500">
        <v>1179</v>
      </c>
      <c r="I500" t="s">
        <v>15</v>
      </c>
      <c r="J500">
        <v>5</v>
      </c>
    </row>
    <row r="501" spans="1:10">
      <c r="A501" t="s">
        <v>1030</v>
      </c>
      <c r="B501" t="s">
        <v>1031</v>
      </c>
      <c r="C501">
        <v>1044</v>
      </c>
      <c r="D501" t="s">
        <v>32</v>
      </c>
      <c r="E501" t="s">
        <v>27</v>
      </c>
      <c r="F501" t="s">
        <v>54</v>
      </c>
      <c r="G501">
        <v>93</v>
      </c>
      <c r="H501">
        <v>1017</v>
      </c>
      <c r="I501" t="s">
        <v>20</v>
      </c>
    </row>
    <row r="502" spans="1:10">
      <c r="A502" t="s">
        <v>1032</v>
      </c>
      <c r="B502" t="s">
        <v>1033</v>
      </c>
      <c r="C502">
        <v>1453</v>
      </c>
      <c r="D502" t="s">
        <v>26</v>
      </c>
      <c r="E502" t="s">
        <v>19</v>
      </c>
      <c r="F502" t="s">
        <v>43</v>
      </c>
      <c r="G502">
        <v>32</v>
      </c>
      <c r="H502">
        <v>1247</v>
      </c>
      <c r="I502" t="s">
        <v>15</v>
      </c>
      <c r="J502">
        <v>1</v>
      </c>
    </row>
    <row r="503" spans="1:10">
      <c r="A503" t="s">
        <v>1034</v>
      </c>
      <c r="B503" t="s">
        <v>1035</v>
      </c>
      <c r="C503">
        <v>1560</v>
      </c>
      <c r="D503" t="s">
        <v>18</v>
      </c>
      <c r="E503" t="s">
        <v>27</v>
      </c>
      <c r="F503" t="s">
        <v>34</v>
      </c>
      <c r="G503">
        <v>78</v>
      </c>
      <c r="H503">
        <v>1690</v>
      </c>
      <c r="I503" t="s">
        <v>15</v>
      </c>
      <c r="J503">
        <v>4</v>
      </c>
    </row>
    <row r="504" spans="1:10">
      <c r="A504" t="s">
        <v>1036</v>
      </c>
      <c r="B504" t="s">
        <v>1037</v>
      </c>
      <c r="C504">
        <v>1766</v>
      </c>
      <c r="D504" t="s">
        <v>18</v>
      </c>
      <c r="E504" t="s">
        <v>27</v>
      </c>
      <c r="F504" t="s">
        <v>54</v>
      </c>
      <c r="G504">
        <v>49</v>
      </c>
      <c r="H504">
        <v>2235</v>
      </c>
      <c r="I504" t="s">
        <v>20</v>
      </c>
    </row>
    <row r="505" spans="1:10">
      <c r="A505" t="s">
        <v>1038</v>
      </c>
      <c r="B505" t="s">
        <v>1039</v>
      </c>
      <c r="C505">
        <v>1057</v>
      </c>
      <c r="D505" t="s">
        <v>32</v>
      </c>
      <c r="E505" t="s">
        <v>19</v>
      </c>
      <c r="F505" t="s">
        <v>28</v>
      </c>
      <c r="G505">
        <v>28</v>
      </c>
      <c r="H505">
        <v>724</v>
      </c>
      <c r="I505" t="s">
        <v>15</v>
      </c>
    </row>
    <row r="506" spans="1:10">
      <c r="A506" t="s">
        <v>1040</v>
      </c>
      <c r="B506" t="s">
        <v>1041</v>
      </c>
      <c r="C506">
        <v>1643</v>
      </c>
      <c r="D506" t="s">
        <v>18</v>
      </c>
      <c r="E506" t="s">
        <v>19</v>
      </c>
      <c r="F506" t="s">
        <v>28</v>
      </c>
      <c r="G506">
        <v>36</v>
      </c>
      <c r="H506">
        <v>966</v>
      </c>
      <c r="I506" t="s">
        <v>20</v>
      </c>
    </row>
    <row r="507" spans="1:10">
      <c r="A507" t="s">
        <v>1042</v>
      </c>
      <c r="B507" t="s">
        <v>1043</v>
      </c>
      <c r="C507">
        <v>1230</v>
      </c>
      <c r="D507" t="s">
        <v>26</v>
      </c>
      <c r="E507" t="s">
        <v>33</v>
      </c>
      <c r="F507" t="s">
        <v>71</v>
      </c>
      <c r="G507">
        <v>216</v>
      </c>
      <c r="H507">
        <v>3528</v>
      </c>
      <c r="I507" t="s">
        <v>15</v>
      </c>
      <c r="J507">
        <v>3</v>
      </c>
    </row>
    <row r="508" spans="1:10">
      <c r="A508" t="s">
        <v>1044</v>
      </c>
      <c r="B508" t="s">
        <v>1045</v>
      </c>
      <c r="C508">
        <v>1981</v>
      </c>
      <c r="D508" t="s">
        <v>12</v>
      </c>
      <c r="E508" t="s">
        <v>27</v>
      </c>
      <c r="F508" t="s">
        <v>43</v>
      </c>
      <c r="G508">
        <v>141</v>
      </c>
      <c r="H508">
        <v>2095</v>
      </c>
      <c r="I508" t="s">
        <v>15</v>
      </c>
    </row>
    <row r="509" spans="1:10">
      <c r="A509" t="s">
        <v>1046</v>
      </c>
      <c r="B509" t="s">
        <v>1047</v>
      </c>
      <c r="C509">
        <v>1567</v>
      </c>
      <c r="D509" t="s">
        <v>18</v>
      </c>
      <c r="E509" t="s">
        <v>27</v>
      </c>
      <c r="F509" t="s">
        <v>43</v>
      </c>
      <c r="G509">
        <v>107</v>
      </c>
      <c r="I509" t="s">
        <v>44</v>
      </c>
    </row>
    <row r="510" spans="1:10">
      <c r="A510" t="s">
        <v>1048</v>
      </c>
      <c r="B510" t="s">
        <v>1049</v>
      </c>
      <c r="C510">
        <v>1723</v>
      </c>
      <c r="D510" t="s">
        <v>32</v>
      </c>
      <c r="E510" t="s">
        <v>27</v>
      </c>
      <c r="F510" t="s">
        <v>43</v>
      </c>
      <c r="G510">
        <v>124</v>
      </c>
      <c r="H510">
        <v>1438</v>
      </c>
      <c r="I510" t="s">
        <v>15</v>
      </c>
      <c r="J510">
        <v>1</v>
      </c>
    </row>
    <row r="511" spans="1:10">
      <c r="A511" t="s">
        <v>1050</v>
      </c>
      <c r="B511" t="s">
        <v>1051</v>
      </c>
      <c r="C511">
        <v>1803</v>
      </c>
      <c r="D511" t="s">
        <v>18</v>
      </c>
      <c r="E511" t="s">
        <v>27</v>
      </c>
      <c r="F511" t="s">
        <v>59</v>
      </c>
      <c r="G511">
        <v>112</v>
      </c>
      <c r="I511" t="s">
        <v>29</v>
      </c>
    </row>
    <row r="512" spans="1:10">
      <c r="A512" t="s">
        <v>1052</v>
      </c>
      <c r="B512" t="s">
        <v>1053</v>
      </c>
      <c r="C512">
        <v>1997</v>
      </c>
      <c r="D512" t="s">
        <v>12</v>
      </c>
      <c r="E512" t="s">
        <v>27</v>
      </c>
      <c r="F512" t="s">
        <v>23</v>
      </c>
      <c r="G512">
        <v>171</v>
      </c>
      <c r="I512" t="s">
        <v>29</v>
      </c>
    </row>
    <row r="513" spans="1:10">
      <c r="A513" t="s">
        <v>1054</v>
      </c>
      <c r="B513" t="s">
        <v>1055</v>
      </c>
      <c r="C513">
        <v>1082</v>
      </c>
      <c r="D513" t="s">
        <v>32</v>
      </c>
      <c r="E513" t="s">
        <v>13</v>
      </c>
      <c r="F513" t="s">
        <v>64</v>
      </c>
      <c r="G513">
        <v>6</v>
      </c>
      <c r="H513">
        <v>83</v>
      </c>
      <c r="I513" t="s">
        <v>15</v>
      </c>
    </row>
    <row r="514" spans="1:10">
      <c r="A514" t="s">
        <v>1056</v>
      </c>
      <c r="B514" t="s">
        <v>1057</v>
      </c>
      <c r="C514">
        <v>1676</v>
      </c>
      <c r="D514" t="s">
        <v>47</v>
      </c>
      <c r="E514" t="s">
        <v>27</v>
      </c>
      <c r="F514" t="s">
        <v>23</v>
      </c>
      <c r="G514">
        <v>33</v>
      </c>
      <c r="H514">
        <v>2990</v>
      </c>
      <c r="I514" t="s">
        <v>15</v>
      </c>
      <c r="J514">
        <v>5</v>
      </c>
    </row>
    <row r="515" spans="1:10">
      <c r="A515" t="s">
        <v>1058</v>
      </c>
      <c r="B515" t="s">
        <v>1059</v>
      </c>
      <c r="C515">
        <v>1463</v>
      </c>
      <c r="D515" t="s">
        <v>47</v>
      </c>
      <c r="E515" t="s">
        <v>27</v>
      </c>
      <c r="F515" t="s">
        <v>14</v>
      </c>
      <c r="G515">
        <v>39</v>
      </c>
      <c r="H515">
        <v>1906</v>
      </c>
      <c r="I515" t="s">
        <v>15</v>
      </c>
      <c r="J515">
        <v>4</v>
      </c>
    </row>
    <row r="516" spans="1:10">
      <c r="A516" t="s">
        <v>1060</v>
      </c>
      <c r="B516" t="s">
        <v>1061</v>
      </c>
      <c r="C516">
        <v>1430</v>
      </c>
      <c r="D516" t="s">
        <v>18</v>
      </c>
      <c r="E516" t="s">
        <v>27</v>
      </c>
      <c r="F516" t="s">
        <v>14</v>
      </c>
      <c r="G516">
        <v>91</v>
      </c>
      <c r="H516">
        <v>2611</v>
      </c>
      <c r="I516" t="s">
        <v>20</v>
      </c>
    </row>
    <row r="517" spans="1:10">
      <c r="A517" t="s">
        <v>1062</v>
      </c>
      <c r="B517" t="s">
        <v>1063</v>
      </c>
      <c r="C517">
        <v>1963</v>
      </c>
      <c r="D517" t="s">
        <v>32</v>
      </c>
      <c r="E517" t="s">
        <v>27</v>
      </c>
      <c r="F517" t="s">
        <v>54</v>
      </c>
      <c r="G517">
        <v>69</v>
      </c>
      <c r="H517">
        <v>1910</v>
      </c>
      <c r="I517" t="s">
        <v>20</v>
      </c>
    </row>
    <row r="518" spans="1:10">
      <c r="A518" t="s">
        <v>1064</v>
      </c>
      <c r="B518" t="s">
        <v>1065</v>
      </c>
      <c r="C518">
        <v>1716</v>
      </c>
      <c r="D518" t="s">
        <v>18</v>
      </c>
      <c r="E518" t="s">
        <v>33</v>
      </c>
      <c r="F518" t="s">
        <v>28</v>
      </c>
      <c r="G518">
        <v>238</v>
      </c>
      <c r="H518">
        <v>5374</v>
      </c>
      <c r="I518" t="s">
        <v>15</v>
      </c>
      <c r="J518">
        <v>2</v>
      </c>
    </row>
    <row r="519" spans="1:10">
      <c r="A519" t="s">
        <v>1066</v>
      </c>
      <c r="B519" t="s">
        <v>1067</v>
      </c>
      <c r="C519">
        <v>1123</v>
      </c>
      <c r="D519" t="s">
        <v>26</v>
      </c>
      <c r="E519" t="s">
        <v>13</v>
      </c>
      <c r="F519" t="s">
        <v>23</v>
      </c>
      <c r="G519">
        <v>12</v>
      </c>
      <c r="H519">
        <v>283</v>
      </c>
      <c r="I519" t="s">
        <v>20</v>
      </c>
    </row>
    <row r="520" spans="1:10">
      <c r="A520" t="s">
        <v>1068</v>
      </c>
      <c r="B520" t="s">
        <v>1069</v>
      </c>
      <c r="C520">
        <v>1630</v>
      </c>
      <c r="D520" t="s">
        <v>47</v>
      </c>
      <c r="E520" t="s">
        <v>19</v>
      </c>
      <c r="F520" t="s">
        <v>28</v>
      </c>
      <c r="G520">
        <v>20</v>
      </c>
      <c r="H520">
        <v>956</v>
      </c>
      <c r="I520" t="s">
        <v>20</v>
      </c>
      <c r="J520">
        <v>2</v>
      </c>
    </row>
    <row r="521" spans="1:10">
      <c r="A521" t="s">
        <v>1070</v>
      </c>
      <c r="B521" t="s">
        <v>1071</v>
      </c>
      <c r="C521">
        <v>1233</v>
      </c>
      <c r="D521" t="s">
        <v>18</v>
      </c>
      <c r="E521" t="s">
        <v>33</v>
      </c>
      <c r="F521" t="s">
        <v>14</v>
      </c>
      <c r="G521">
        <v>117</v>
      </c>
      <c r="H521">
        <v>6076</v>
      </c>
      <c r="I521" t="s">
        <v>20</v>
      </c>
      <c r="J521">
        <v>5</v>
      </c>
    </row>
    <row r="522" spans="1:10">
      <c r="A522" t="s">
        <v>1072</v>
      </c>
      <c r="B522" t="s">
        <v>1073</v>
      </c>
      <c r="C522">
        <v>1209</v>
      </c>
      <c r="D522" t="s">
        <v>32</v>
      </c>
      <c r="E522" t="s">
        <v>19</v>
      </c>
      <c r="F522" t="s">
        <v>43</v>
      </c>
      <c r="G522">
        <v>30</v>
      </c>
      <c r="H522">
        <v>430</v>
      </c>
      <c r="I522" t="s">
        <v>15</v>
      </c>
    </row>
    <row r="523" spans="1:10">
      <c r="A523" t="s">
        <v>1074</v>
      </c>
      <c r="B523" t="s">
        <v>1075</v>
      </c>
      <c r="C523">
        <v>1320</v>
      </c>
      <c r="D523" t="s">
        <v>26</v>
      </c>
      <c r="E523" t="s">
        <v>19</v>
      </c>
      <c r="F523" t="s">
        <v>14</v>
      </c>
      <c r="G523">
        <v>17</v>
      </c>
      <c r="H523">
        <v>944</v>
      </c>
      <c r="I523" t="s">
        <v>15</v>
      </c>
    </row>
    <row r="524" spans="1:10">
      <c r="A524" t="s">
        <v>1076</v>
      </c>
      <c r="B524" t="s">
        <v>1077</v>
      </c>
      <c r="C524">
        <v>1182</v>
      </c>
      <c r="D524" t="s">
        <v>12</v>
      </c>
      <c r="E524" t="s">
        <v>33</v>
      </c>
      <c r="F524" t="s">
        <v>71</v>
      </c>
      <c r="G524">
        <v>245</v>
      </c>
      <c r="I524" t="s">
        <v>44</v>
      </c>
    </row>
    <row r="525" spans="1:10">
      <c r="A525" t="s">
        <v>1078</v>
      </c>
      <c r="B525" t="s">
        <v>1079</v>
      </c>
      <c r="C525">
        <v>1917</v>
      </c>
      <c r="D525" t="s">
        <v>32</v>
      </c>
      <c r="E525" t="s">
        <v>27</v>
      </c>
      <c r="F525" t="s">
        <v>34</v>
      </c>
      <c r="G525">
        <v>105</v>
      </c>
      <c r="H525">
        <v>1505</v>
      </c>
      <c r="I525" t="s">
        <v>20</v>
      </c>
      <c r="J525">
        <v>2</v>
      </c>
    </row>
    <row r="526" spans="1:10">
      <c r="A526" t="s">
        <v>1080</v>
      </c>
      <c r="B526" t="s">
        <v>1081</v>
      </c>
      <c r="C526">
        <v>1826</v>
      </c>
      <c r="D526" t="s">
        <v>18</v>
      </c>
      <c r="E526" t="s">
        <v>27</v>
      </c>
      <c r="F526" t="s">
        <v>28</v>
      </c>
      <c r="G526">
        <v>40</v>
      </c>
      <c r="I526" t="s">
        <v>29</v>
      </c>
    </row>
    <row r="527" spans="1:10">
      <c r="A527" t="s">
        <v>1082</v>
      </c>
      <c r="B527" t="s">
        <v>1083</v>
      </c>
      <c r="C527">
        <v>1710</v>
      </c>
      <c r="D527" t="s">
        <v>47</v>
      </c>
      <c r="E527" t="s">
        <v>13</v>
      </c>
      <c r="F527" t="s">
        <v>54</v>
      </c>
      <c r="G527">
        <v>9</v>
      </c>
      <c r="H527">
        <v>365</v>
      </c>
      <c r="I527" t="s">
        <v>15</v>
      </c>
      <c r="J527">
        <v>2</v>
      </c>
    </row>
    <row r="528" spans="1:10">
      <c r="A528" t="s">
        <v>1084</v>
      </c>
      <c r="B528" t="s">
        <v>1085</v>
      </c>
      <c r="C528">
        <v>1696</v>
      </c>
      <c r="D528" t="s">
        <v>26</v>
      </c>
      <c r="E528" t="s">
        <v>27</v>
      </c>
      <c r="F528" t="s">
        <v>59</v>
      </c>
      <c r="G528">
        <v>90</v>
      </c>
      <c r="H528">
        <v>2966</v>
      </c>
      <c r="I528" t="s">
        <v>15</v>
      </c>
    </row>
    <row r="529" spans="1:10">
      <c r="A529" t="s">
        <v>1086</v>
      </c>
      <c r="B529" t="s">
        <v>1087</v>
      </c>
      <c r="C529">
        <v>1029</v>
      </c>
      <c r="D529" t="s">
        <v>12</v>
      </c>
      <c r="E529" t="s">
        <v>13</v>
      </c>
      <c r="F529" t="s">
        <v>43</v>
      </c>
      <c r="G529">
        <v>2</v>
      </c>
      <c r="H529">
        <v>386</v>
      </c>
      <c r="I529" t="s">
        <v>15</v>
      </c>
      <c r="J529">
        <v>1</v>
      </c>
    </row>
    <row r="530" spans="1:10">
      <c r="A530" t="s">
        <v>1088</v>
      </c>
      <c r="B530" t="s">
        <v>1089</v>
      </c>
      <c r="C530">
        <v>1145</v>
      </c>
      <c r="D530" t="s">
        <v>32</v>
      </c>
      <c r="E530" t="s">
        <v>27</v>
      </c>
      <c r="F530" t="s">
        <v>43</v>
      </c>
      <c r="G530">
        <v>114</v>
      </c>
      <c r="H530">
        <v>1866</v>
      </c>
      <c r="I530" t="s">
        <v>15</v>
      </c>
      <c r="J530">
        <v>3</v>
      </c>
    </row>
    <row r="531" spans="1:10">
      <c r="A531" t="s">
        <v>1090</v>
      </c>
      <c r="B531" t="s">
        <v>1091</v>
      </c>
      <c r="C531">
        <v>1444</v>
      </c>
      <c r="D531" t="s">
        <v>47</v>
      </c>
      <c r="E531" t="s">
        <v>13</v>
      </c>
      <c r="F531" t="s">
        <v>34</v>
      </c>
      <c r="G531">
        <v>11</v>
      </c>
      <c r="H531">
        <v>228</v>
      </c>
      <c r="I531" t="s">
        <v>15</v>
      </c>
      <c r="J531">
        <v>4</v>
      </c>
    </row>
    <row r="532" spans="1:10">
      <c r="A532" t="s">
        <v>1092</v>
      </c>
      <c r="B532" t="s">
        <v>1093</v>
      </c>
      <c r="C532">
        <v>1191</v>
      </c>
      <c r="D532" t="s">
        <v>18</v>
      </c>
      <c r="E532" t="s">
        <v>13</v>
      </c>
      <c r="F532" t="s">
        <v>71</v>
      </c>
      <c r="G532">
        <v>10</v>
      </c>
      <c r="H532">
        <v>339</v>
      </c>
      <c r="I532" t="s">
        <v>15</v>
      </c>
      <c r="J532">
        <v>3</v>
      </c>
    </row>
    <row r="533" spans="1:10">
      <c r="A533" t="s">
        <v>1094</v>
      </c>
      <c r="B533" t="s">
        <v>1095</v>
      </c>
      <c r="C533">
        <v>1311</v>
      </c>
      <c r="D533" t="s">
        <v>32</v>
      </c>
      <c r="E533" t="s">
        <v>19</v>
      </c>
      <c r="F533" t="s">
        <v>59</v>
      </c>
      <c r="G533">
        <v>32</v>
      </c>
      <c r="H533">
        <v>179</v>
      </c>
      <c r="I533" t="s">
        <v>15</v>
      </c>
      <c r="J533">
        <v>3</v>
      </c>
    </row>
    <row r="534" spans="1:10">
      <c r="A534" t="s">
        <v>1096</v>
      </c>
      <c r="B534" t="s">
        <v>1097</v>
      </c>
      <c r="C534">
        <v>1768</v>
      </c>
      <c r="D534" t="s">
        <v>32</v>
      </c>
      <c r="E534" t="s">
        <v>27</v>
      </c>
      <c r="F534" t="s">
        <v>43</v>
      </c>
      <c r="G534">
        <v>104</v>
      </c>
      <c r="H534">
        <v>1674</v>
      </c>
      <c r="I534" t="s">
        <v>15</v>
      </c>
      <c r="J534">
        <v>3</v>
      </c>
    </row>
    <row r="535" spans="1:10">
      <c r="A535" t="s">
        <v>1098</v>
      </c>
      <c r="B535" t="s">
        <v>1099</v>
      </c>
      <c r="C535">
        <v>1457</v>
      </c>
      <c r="D535" t="s">
        <v>32</v>
      </c>
      <c r="E535" t="s">
        <v>27</v>
      </c>
      <c r="F535" t="s">
        <v>14</v>
      </c>
      <c r="G535">
        <v>105</v>
      </c>
      <c r="I535" t="s">
        <v>44</v>
      </c>
    </row>
    <row r="536" spans="1:10">
      <c r="A536" t="s">
        <v>1100</v>
      </c>
      <c r="B536" t="s">
        <v>1101</v>
      </c>
      <c r="C536">
        <v>1768</v>
      </c>
      <c r="D536" t="s">
        <v>32</v>
      </c>
      <c r="E536" t="s">
        <v>33</v>
      </c>
      <c r="F536" t="s">
        <v>34</v>
      </c>
      <c r="G536">
        <v>126</v>
      </c>
      <c r="H536">
        <v>2622</v>
      </c>
      <c r="I536" t="s">
        <v>15</v>
      </c>
      <c r="J536">
        <v>5</v>
      </c>
    </row>
    <row r="537" spans="1:10">
      <c r="A537" t="s">
        <v>1102</v>
      </c>
      <c r="B537" t="s">
        <v>1103</v>
      </c>
      <c r="C537">
        <v>1021</v>
      </c>
      <c r="D537" t="s">
        <v>26</v>
      </c>
      <c r="E537" t="s">
        <v>13</v>
      </c>
      <c r="F537" t="s">
        <v>34</v>
      </c>
      <c r="G537">
        <v>10</v>
      </c>
      <c r="H537">
        <v>115</v>
      </c>
      <c r="I537" t="s">
        <v>15</v>
      </c>
      <c r="J537">
        <v>2</v>
      </c>
    </row>
    <row r="538" spans="1:10">
      <c r="A538" t="s">
        <v>1104</v>
      </c>
      <c r="B538" t="s">
        <v>1105</v>
      </c>
      <c r="C538">
        <v>1770</v>
      </c>
      <c r="D538" t="s">
        <v>32</v>
      </c>
      <c r="E538" t="s">
        <v>33</v>
      </c>
      <c r="F538" t="s">
        <v>14</v>
      </c>
      <c r="G538">
        <v>219</v>
      </c>
      <c r="H538">
        <v>5031</v>
      </c>
      <c r="I538" t="s">
        <v>15</v>
      </c>
    </row>
    <row r="539" spans="1:10">
      <c r="A539" t="s">
        <v>1106</v>
      </c>
      <c r="B539" t="s">
        <v>1107</v>
      </c>
      <c r="C539">
        <v>1638</v>
      </c>
      <c r="D539" t="s">
        <v>18</v>
      </c>
      <c r="E539" t="s">
        <v>27</v>
      </c>
      <c r="F539" t="s">
        <v>28</v>
      </c>
      <c r="G539">
        <v>70</v>
      </c>
      <c r="H539">
        <v>704</v>
      </c>
      <c r="I539" t="s">
        <v>15</v>
      </c>
    </row>
    <row r="540" spans="1:10">
      <c r="A540" t="s">
        <v>1108</v>
      </c>
      <c r="B540" t="s">
        <v>1109</v>
      </c>
      <c r="C540">
        <v>1828</v>
      </c>
      <c r="D540" t="s">
        <v>47</v>
      </c>
      <c r="E540" t="s">
        <v>33</v>
      </c>
      <c r="F540" t="s">
        <v>34</v>
      </c>
      <c r="G540">
        <v>388</v>
      </c>
      <c r="H540">
        <v>3583</v>
      </c>
      <c r="I540" t="s">
        <v>15</v>
      </c>
      <c r="J540">
        <v>4</v>
      </c>
    </row>
    <row r="541" spans="1:10">
      <c r="A541" t="s">
        <v>1110</v>
      </c>
      <c r="B541" t="s">
        <v>1111</v>
      </c>
      <c r="C541">
        <v>1323</v>
      </c>
      <c r="D541" t="s">
        <v>26</v>
      </c>
      <c r="E541" t="s">
        <v>33</v>
      </c>
      <c r="F541" t="s">
        <v>34</v>
      </c>
      <c r="G541">
        <v>254</v>
      </c>
      <c r="H541">
        <v>6093</v>
      </c>
      <c r="I541" t="s">
        <v>15</v>
      </c>
      <c r="J541">
        <v>4</v>
      </c>
    </row>
    <row r="542" spans="1:10">
      <c r="A542" t="s">
        <v>1112</v>
      </c>
      <c r="B542" t="s">
        <v>1113</v>
      </c>
      <c r="C542">
        <v>1333</v>
      </c>
      <c r="D542" t="s">
        <v>18</v>
      </c>
      <c r="E542" t="s">
        <v>13</v>
      </c>
      <c r="F542" t="s">
        <v>43</v>
      </c>
      <c r="G542">
        <v>8</v>
      </c>
      <c r="H542">
        <v>333</v>
      </c>
      <c r="I542" t="s">
        <v>20</v>
      </c>
    </row>
    <row r="543" spans="1:10">
      <c r="A543" t="s">
        <v>1114</v>
      </c>
      <c r="B543" t="s">
        <v>1115</v>
      </c>
      <c r="C543">
        <v>1601</v>
      </c>
      <c r="D543" t="s">
        <v>47</v>
      </c>
      <c r="E543" t="s">
        <v>33</v>
      </c>
      <c r="F543" t="s">
        <v>54</v>
      </c>
      <c r="G543">
        <v>100</v>
      </c>
      <c r="I543" t="s">
        <v>44</v>
      </c>
    </row>
    <row r="544" spans="1:10">
      <c r="A544" t="s">
        <v>1116</v>
      </c>
      <c r="B544" t="s">
        <v>1117</v>
      </c>
      <c r="C544">
        <v>1505</v>
      </c>
      <c r="D544" t="s">
        <v>18</v>
      </c>
      <c r="E544" t="s">
        <v>19</v>
      </c>
      <c r="F544" t="s">
        <v>14</v>
      </c>
      <c r="G544">
        <v>32</v>
      </c>
      <c r="H544">
        <v>453</v>
      </c>
      <c r="I544" t="s">
        <v>15</v>
      </c>
    </row>
    <row r="545" spans="1:10">
      <c r="A545" t="s">
        <v>1118</v>
      </c>
      <c r="B545" t="s">
        <v>1119</v>
      </c>
      <c r="C545">
        <v>1623</v>
      </c>
      <c r="D545" t="s">
        <v>32</v>
      </c>
      <c r="E545" t="s">
        <v>27</v>
      </c>
      <c r="F545" t="s">
        <v>64</v>
      </c>
      <c r="G545">
        <v>157</v>
      </c>
      <c r="H545">
        <v>1930</v>
      </c>
      <c r="I545" t="s">
        <v>20</v>
      </c>
      <c r="J545">
        <v>4</v>
      </c>
    </row>
    <row r="546" spans="1:10">
      <c r="A546" t="s">
        <v>1120</v>
      </c>
      <c r="B546" t="s">
        <v>1121</v>
      </c>
      <c r="C546">
        <v>1129</v>
      </c>
      <c r="D546" t="s">
        <v>26</v>
      </c>
      <c r="E546" t="s">
        <v>19</v>
      </c>
      <c r="F546" t="s">
        <v>43</v>
      </c>
      <c r="G546">
        <v>19</v>
      </c>
      <c r="H546">
        <v>640</v>
      </c>
      <c r="I546" t="s">
        <v>15</v>
      </c>
    </row>
    <row r="547" spans="1:10">
      <c r="A547" t="s">
        <v>1122</v>
      </c>
      <c r="B547" t="s">
        <v>1123</v>
      </c>
      <c r="C547">
        <v>1216</v>
      </c>
      <c r="D547" t="s">
        <v>26</v>
      </c>
      <c r="E547" t="s">
        <v>13</v>
      </c>
      <c r="F547" t="s">
        <v>28</v>
      </c>
      <c r="G547">
        <v>11</v>
      </c>
      <c r="H547">
        <v>289</v>
      </c>
      <c r="I547" t="s">
        <v>20</v>
      </c>
    </row>
    <row r="548" spans="1:10">
      <c r="A548" t="s">
        <v>1124</v>
      </c>
      <c r="B548" t="s">
        <v>1125</v>
      </c>
      <c r="C548">
        <v>1642</v>
      </c>
      <c r="D548" t="s">
        <v>47</v>
      </c>
      <c r="E548" t="s">
        <v>33</v>
      </c>
      <c r="F548" t="s">
        <v>14</v>
      </c>
      <c r="G548">
        <v>403</v>
      </c>
      <c r="H548">
        <v>4788</v>
      </c>
      <c r="I548" t="s">
        <v>20</v>
      </c>
      <c r="J548">
        <v>5</v>
      </c>
    </row>
    <row r="549" spans="1:10">
      <c r="A549" t="s">
        <v>1126</v>
      </c>
      <c r="B549" t="s">
        <v>1127</v>
      </c>
      <c r="C549">
        <v>1885</v>
      </c>
      <c r="D549" t="s">
        <v>12</v>
      </c>
      <c r="E549" t="s">
        <v>33</v>
      </c>
      <c r="F549" t="s">
        <v>54</v>
      </c>
      <c r="G549">
        <v>267</v>
      </c>
      <c r="H549">
        <v>7853</v>
      </c>
      <c r="I549" t="s">
        <v>20</v>
      </c>
      <c r="J549">
        <v>2</v>
      </c>
    </row>
    <row r="550" spans="1:10">
      <c r="A550" t="s">
        <v>1128</v>
      </c>
      <c r="B550" t="s">
        <v>1129</v>
      </c>
      <c r="C550">
        <v>1075</v>
      </c>
      <c r="D550" t="s">
        <v>32</v>
      </c>
      <c r="E550" t="s">
        <v>27</v>
      </c>
      <c r="F550" t="s">
        <v>28</v>
      </c>
      <c r="G550">
        <v>87</v>
      </c>
      <c r="H550">
        <v>3406</v>
      </c>
      <c r="I550" t="s">
        <v>15</v>
      </c>
    </row>
    <row r="551" spans="1:10">
      <c r="A551" t="s">
        <v>1130</v>
      </c>
      <c r="B551" t="s">
        <v>1131</v>
      </c>
      <c r="C551">
        <v>1028</v>
      </c>
      <c r="D551" t="s">
        <v>12</v>
      </c>
      <c r="E551" t="s">
        <v>33</v>
      </c>
      <c r="F551" t="s">
        <v>14</v>
      </c>
      <c r="G551">
        <v>427</v>
      </c>
      <c r="H551">
        <v>2874</v>
      </c>
      <c r="I551" t="s">
        <v>20</v>
      </c>
    </row>
    <row r="552" spans="1:10">
      <c r="A552" t="s">
        <v>1132</v>
      </c>
      <c r="B552" t="s">
        <v>1133</v>
      </c>
      <c r="C552">
        <v>1246</v>
      </c>
      <c r="D552" t="s">
        <v>32</v>
      </c>
      <c r="E552" t="s">
        <v>19</v>
      </c>
      <c r="F552" t="s">
        <v>64</v>
      </c>
      <c r="G552">
        <v>24</v>
      </c>
      <c r="H552">
        <v>297</v>
      </c>
      <c r="I552" t="s">
        <v>15</v>
      </c>
      <c r="J552">
        <v>5</v>
      </c>
    </row>
    <row r="553" spans="1:10">
      <c r="A553" t="s">
        <v>1134</v>
      </c>
      <c r="B553" t="s">
        <v>1135</v>
      </c>
      <c r="C553">
        <v>1664</v>
      </c>
      <c r="D553" t="s">
        <v>32</v>
      </c>
      <c r="E553" t="s">
        <v>27</v>
      </c>
      <c r="F553" t="s">
        <v>59</v>
      </c>
      <c r="G553">
        <v>99</v>
      </c>
      <c r="H553">
        <v>3110</v>
      </c>
      <c r="I553" t="s">
        <v>15</v>
      </c>
    </row>
    <row r="554" spans="1:10">
      <c r="A554" t="s">
        <v>1136</v>
      </c>
      <c r="B554" t="s">
        <v>1137</v>
      </c>
      <c r="C554">
        <v>1194</v>
      </c>
      <c r="D554" t="s">
        <v>12</v>
      </c>
      <c r="E554" t="s">
        <v>33</v>
      </c>
      <c r="F554" t="s">
        <v>14</v>
      </c>
      <c r="G554">
        <v>440</v>
      </c>
      <c r="H554">
        <v>2492</v>
      </c>
      <c r="I554" t="s">
        <v>15</v>
      </c>
      <c r="J554">
        <v>3</v>
      </c>
    </row>
    <row r="555" spans="1:10">
      <c r="A555" t="s">
        <v>1138</v>
      </c>
      <c r="B555" t="s">
        <v>1139</v>
      </c>
      <c r="C555">
        <v>1308</v>
      </c>
      <c r="D555" t="s">
        <v>47</v>
      </c>
      <c r="E555" t="s">
        <v>27</v>
      </c>
      <c r="F555" t="s">
        <v>23</v>
      </c>
      <c r="G555">
        <v>164</v>
      </c>
      <c r="H555">
        <v>2236</v>
      </c>
      <c r="I555" t="s">
        <v>15</v>
      </c>
      <c r="J555">
        <v>3</v>
      </c>
    </row>
    <row r="556" spans="1:10">
      <c r="A556" t="s">
        <v>1140</v>
      </c>
      <c r="B556" t="s">
        <v>1141</v>
      </c>
      <c r="C556">
        <v>1298</v>
      </c>
      <c r="D556" t="s">
        <v>12</v>
      </c>
      <c r="E556" t="s">
        <v>13</v>
      </c>
      <c r="F556" t="s">
        <v>43</v>
      </c>
      <c r="G556">
        <v>2</v>
      </c>
      <c r="I556" t="s">
        <v>29</v>
      </c>
    </row>
    <row r="557" spans="1:10">
      <c r="A557" t="s">
        <v>1142</v>
      </c>
      <c r="B557" t="s">
        <v>1143</v>
      </c>
      <c r="C557">
        <v>1948</v>
      </c>
      <c r="D557" t="s">
        <v>32</v>
      </c>
      <c r="E557" t="s">
        <v>27</v>
      </c>
      <c r="F557" t="s">
        <v>71</v>
      </c>
      <c r="G557">
        <v>61</v>
      </c>
      <c r="H557">
        <v>1097</v>
      </c>
      <c r="I557" t="s">
        <v>15</v>
      </c>
      <c r="J557">
        <v>3</v>
      </c>
    </row>
    <row r="558" spans="1:10">
      <c r="A558" t="s">
        <v>1144</v>
      </c>
      <c r="B558" t="s">
        <v>1145</v>
      </c>
      <c r="C558">
        <v>1112</v>
      </c>
      <c r="D558" t="s">
        <v>18</v>
      </c>
      <c r="E558" t="s">
        <v>13</v>
      </c>
      <c r="F558" t="s">
        <v>71</v>
      </c>
      <c r="G558">
        <v>3</v>
      </c>
      <c r="H558">
        <v>161</v>
      </c>
      <c r="I558" t="s">
        <v>15</v>
      </c>
    </row>
    <row r="559" spans="1:10">
      <c r="A559" t="s">
        <v>1146</v>
      </c>
      <c r="B559" t="s">
        <v>1147</v>
      </c>
      <c r="C559">
        <v>1644</v>
      </c>
      <c r="D559" t="s">
        <v>18</v>
      </c>
      <c r="E559" t="s">
        <v>27</v>
      </c>
      <c r="F559" t="s">
        <v>43</v>
      </c>
      <c r="G559">
        <v>155</v>
      </c>
      <c r="H559">
        <v>1897</v>
      </c>
      <c r="I559" t="s">
        <v>15</v>
      </c>
      <c r="J559">
        <v>3</v>
      </c>
    </row>
    <row r="560" spans="1:10">
      <c r="A560" t="s">
        <v>1148</v>
      </c>
      <c r="B560" t="s">
        <v>1149</v>
      </c>
      <c r="C560">
        <v>1295</v>
      </c>
      <c r="D560" t="s">
        <v>12</v>
      </c>
      <c r="E560" t="s">
        <v>19</v>
      </c>
      <c r="F560" t="s">
        <v>71</v>
      </c>
      <c r="G560">
        <v>49</v>
      </c>
      <c r="H560">
        <v>511</v>
      </c>
      <c r="I560" t="s">
        <v>15</v>
      </c>
    </row>
    <row r="561" spans="1:10">
      <c r="A561" t="s">
        <v>1150</v>
      </c>
      <c r="B561" t="s">
        <v>1151</v>
      </c>
      <c r="C561">
        <v>1734</v>
      </c>
      <c r="D561" t="s">
        <v>12</v>
      </c>
      <c r="E561" t="s">
        <v>33</v>
      </c>
      <c r="F561" t="s">
        <v>28</v>
      </c>
      <c r="G561">
        <v>404</v>
      </c>
      <c r="H561">
        <v>2719</v>
      </c>
      <c r="I561" t="s">
        <v>15</v>
      </c>
      <c r="J561">
        <v>3</v>
      </c>
    </row>
    <row r="562" spans="1:10">
      <c r="A562" t="s">
        <v>1152</v>
      </c>
      <c r="B562" t="s">
        <v>1153</v>
      </c>
      <c r="C562">
        <v>1251</v>
      </c>
      <c r="D562" t="s">
        <v>47</v>
      </c>
      <c r="E562" t="s">
        <v>13</v>
      </c>
      <c r="F562" t="s">
        <v>71</v>
      </c>
      <c r="G562">
        <v>6</v>
      </c>
      <c r="H562">
        <v>425</v>
      </c>
      <c r="I562" t="s">
        <v>15</v>
      </c>
    </row>
    <row r="563" spans="1:10">
      <c r="A563" t="s">
        <v>1154</v>
      </c>
      <c r="B563" t="s">
        <v>1155</v>
      </c>
      <c r="C563">
        <v>1126</v>
      </c>
      <c r="D563" t="s">
        <v>12</v>
      </c>
      <c r="E563" t="s">
        <v>33</v>
      </c>
      <c r="F563" t="s">
        <v>71</v>
      </c>
      <c r="G563">
        <v>276</v>
      </c>
      <c r="H563">
        <v>6340</v>
      </c>
      <c r="I563" t="s">
        <v>20</v>
      </c>
      <c r="J563">
        <v>3</v>
      </c>
    </row>
    <row r="564" spans="1:10">
      <c r="A564" t="s">
        <v>1156</v>
      </c>
      <c r="B564" t="s">
        <v>1157</v>
      </c>
      <c r="C564">
        <v>1369</v>
      </c>
      <c r="D564" t="s">
        <v>26</v>
      </c>
      <c r="E564" t="s">
        <v>27</v>
      </c>
      <c r="F564" t="s">
        <v>43</v>
      </c>
      <c r="G564">
        <v>46</v>
      </c>
      <c r="H564">
        <v>3468</v>
      </c>
      <c r="I564" t="s">
        <v>20</v>
      </c>
    </row>
    <row r="565" spans="1:10">
      <c r="A565" t="s">
        <v>1158</v>
      </c>
      <c r="B565" t="s">
        <v>1159</v>
      </c>
      <c r="C565">
        <v>1439</v>
      </c>
      <c r="D565" t="s">
        <v>18</v>
      </c>
      <c r="E565" t="s">
        <v>33</v>
      </c>
      <c r="F565" t="s">
        <v>71</v>
      </c>
      <c r="G565">
        <v>352</v>
      </c>
      <c r="H565">
        <v>3138</v>
      </c>
      <c r="I565" t="s">
        <v>20</v>
      </c>
      <c r="J565">
        <v>3</v>
      </c>
    </row>
    <row r="566" spans="1:10">
      <c r="A566" t="s">
        <v>1160</v>
      </c>
      <c r="B566" t="s">
        <v>1161</v>
      </c>
      <c r="C566">
        <v>1947</v>
      </c>
      <c r="D566" t="s">
        <v>18</v>
      </c>
      <c r="E566" t="s">
        <v>33</v>
      </c>
      <c r="F566" t="s">
        <v>14</v>
      </c>
      <c r="G566">
        <v>259</v>
      </c>
      <c r="H566">
        <v>7996</v>
      </c>
      <c r="I566" t="s">
        <v>15</v>
      </c>
    </row>
    <row r="567" spans="1:10">
      <c r="A567" t="s">
        <v>1162</v>
      </c>
      <c r="B567" t="s">
        <v>1163</v>
      </c>
      <c r="C567">
        <v>1041</v>
      </c>
      <c r="D567" t="s">
        <v>26</v>
      </c>
      <c r="E567" t="s">
        <v>19</v>
      </c>
      <c r="F567" t="s">
        <v>28</v>
      </c>
      <c r="G567">
        <v>11</v>
      </c>
      <c r="H567">
        <v>519</v>
      </c>
      <c r="I567" t="s">
        <v>20</v>
      </c>
      <c r="J567">
        <v>4</v>
      </c>
    </row>
    <row r="568" spans="1:10">
      <c r="A568" t="s">
        <v>1164</v>
      </c>
      <c r="B568" t="s">
        <v>1165</v>
      </c>
      <c r="C568">
        <v>1342</v>
      </c>
      <c r="D568" t="s">
        <v>32</v>
      </c>
      <c r="E568" t="s">
        <v>27</v>
      </c>
      <c r="F568" t="s">
        <v>28</v>
      </c>
      <c r="G568">
        <v>28</v>
      </c>
      <c r="H568">
        <v>2509</v>
      </c>
      <c r="I568" t="s">
        <v>15</v>
      </c>
      <c r="J568">
        <v>2</v>
      </c>
    </row>
    <row r="569" spans="1:10">
      <c r="A569" t="s">
        <v>1166</v>
      </c>
      <c r="B569" t="s">
        <v>1167</v>
      </c>
      <c r="C569">
        <v>1514</v>
      </c>
      <c r="D569" t="s">
        <v>26</v>
      </c>
      <c r="E569" t="s">
        <v>27</v>
      </c>
      <c r="F569" t="s">
        <v>59</v>
      </c>
      <c r="G569">
        <v>72</v>
      </c>
      <c r="H569">
        <v>945</v>
      </c>
      <c r="I569" t="s">
        <v>15</v>
      </c>
    </row>
    <row r="570" spans="1:10">
      <c r="A570" t="s">
        <v>1168</v>
      </c>
      <c r="B570" t="s">
        <v>1169</v>
      </c>
      <c r="C570">
        <v>1261</v>
      </c>
      <c r="D570" t="s">
        <v>26</v>
      </c>
      <c r="E570" t="s">
        <v>27</v>
      </c>
      <c r="F570" t="s">
        <v>34</v>
      </c>
      <c r="G570">
        <v>100</v>
      </c>
      <c r="H570">
        <v>1426</v>
      </c>
      <c r="I570" t="s">
        <v>15</v>
      </c>
    </row>
    <row r="571" spans="1:10">
      <c r="A571" t="s">
        <v>1170</v>
      </c>
      <c r="B571" t="s">
        <v>1171</v>
      </c>
      <c r="C571">
        <v>1899</v>
      </c>
      <c r="D571" t="s">
        <v>47</v>
      </c>
      <c r="E571" t="s">
        <v>19</v>
      </c>
      <c r="F571" t="s">
        <v>14</v>
      </c>
      <c r="G571">
        <v>47</v>
      </c>
      <c r="H571">
        <v>817</v>
      </c>
      <c r="I571" t="s">
        <v>15</v>
      </c>
    </row>
    <row r="572" spans="1:10">
      <c r="A572" t="s">
        <v>1172</v>
      </c>
      <c r="B572" t="s">
        <v>1173</v>
      </c>
      <c r="C572">
        <v>1331</v>
      </c>
      <c r="D572" t="s">
        <v>47</v>
      </c>
      <c r="E572" t="s">
        <v>13</v>
      </c>
      <c r="F572" t="s">
        <v>54</v>
      </c>
      <c r="G572">
        <v>3</v>
      </c>
      <c r="H572">
        <v>352</v>
      </c>
      <c r="I572" t="s">
        <v>15</v>
      </c>
      <c r="J572">
        <v>2</v>
      </c>
    </row>
    <row r="573" spans="1:10">
      <c r="A573" t="s">
        <v>1174</v>
      </c>
      <c r="B573" t="s">
        <v>1175</v>
      </c>
      <c r="C573">
        <v>1411</v>
      </c>
      <c r="D573" t="s">
        <v>47</v>
      </c>
      <c r="E573" t="s">
        <v>19</v>
      </c>
      <c r="F573" t="s">
        <v>14</v>
      </c>
      <c r="G573">
        <v>40</v>
      </c>
      <c r="H573">
        <v>852</v>
      </c>
      <c r="I573" t="s">
        <v>15</v>
      </c>
      <c r="J573">
        <v>1</v>
      </c>
    </row>
    <row r="574" spans="1:10">
      <c r="A574" t="s">
        <v>1176</v>
      </c>
      <c r="B574" t="s">
        <v>1177</v>
      </c>
      <c r="C574">
        <v>1804</v>
      </c>
      <c r="D574" t="s">
        <v>26</v>
      </c>
      <c r="E574" t="s">
        <v>19</v>
      </c>
      <c r="F574" t="s">
        <v>28</v>
      </c>
      <c r="G574">
        <v>17</v>
      </c>
      <c r="H574">
        <v>1115</v>
      </c>
      <c r="I574" t="s">
        <v>15</v>
      </c>
    </row>
    <row r="575" spans="1:10">
      <c r="A575" t="s">
        <v>1178</v>
      </c>
      <c r="B575" t="s">
        <v>1179</v>
      </c>
      <c r="C575">
        <v>1582</v>
      </c>
      <c r="D575" t="s">
        <v>47</v>
      </c>
      <c r="E575" t="s">
        <v>27</v>
      </c>
      <c r="F575" t="s">
        <v>54</v>
      </c>
      <c r="G575">
        <v>74</v>
      </c>
      <c r="I575" t="s">
        <v>44</v>
      </c>
    </row>
    <row r="576" spans="1:10">
      <c r="A576" t="s">
        <v>1180</v>
      </c>
      <c r="B576" t="s">
        <v>1181</v>
      </c>
      <c r="C576">
        <v>1697</v>
      </c>
      <c r="D576" t="s">
        <v>47</v>
      </c>
      <c r="E576" t="s">
        <v>27</v>
      </c>
      <c r="F576" t="s">
        <v>64</v>
      </c>
      <c r="G576">
        <v>43</v>
      </c>
      <c r="H576">
        <v>866</v>
      </c>
      <c r="I576" t="s">
        <v>15</v>
      </c>
      <c r="J576">
        <v>4</v>
      </c>
    </row>
    <row r="577" spans="1:10">
      <c r="A577" t="s">
        <v>1182</v>
      </c>
      <c r="B577" t="s">
        <v>1183</v>
      </c>
      <c r="C577">
        <v>1330</v>
      </c>
      <c r="D577" t="s">
        <v>18</v>
      </c>
      <c r="E577" t="s">
        <v>19</v>
      </c>
      <c r="F577" t="s">
        <v>14</v>
      </c>
      <c r="G577">
        <v>33</v>
      </c>
      <c r="H577">
        <v>731</v>
      </c>
      <c r="I577" t="s">
        <v>15</v>
      </c>
      <c r="J577">
        <v>3</v>
      </c>
    </row>
    <row r="578" spans="1:10">
      <c r="A578" t="s">
        <v>1184</v>
      </c>
      <c r="B578" t="s">
        <v>1185</v>
      </c>
      <c r="C578">
        <v>1423</v>
      </c>
      <c r="D578" t="s">
        <v>18</v>
      </c>
      <c r="E578" t="s">
        <v>13</v>
      </c>
      <c r="F578" t="s">
        <v>14</v>
      </c>
      <c r="G578">
        <v>10</v>
      </c>
      <c r="H578">
        <v>166</v>
      </c>
      <c r="I578" t="s">
        <v>15</v>
      </c>
      <c r="J578">
        <v>1</v>
      </c>
    </row>
    <row r="579" spans="1:10">
      <c r="A579" t="s">
        <v>1186</v>
      </c>
      <c r="B579" t="s">
        <v>1187</v>
      </c>
      <c r="C579">
        <v>1424</v>
      </c>
      <c r="D579" t="s">
        <v>12</v>
      </c>
      <c r="E579" t="s">
        <v>33</v>
      </c>
      <c r="F579" t="s">
        <v>43</v>
      </c>
      <c r="G579">
        <v>243</v>
      </c>
      <c r="H579">
        <v>5667</v>
      </c>
      <c r="I579" t="s">
        <v>20</v>
      </c>
    </row>
    <row r="580" spans="1:10">
      <c r="A580" t="s">
        <v>1188</v>
      </c>
      <c r="B580" t="s">
        <v>1189</v>
      </c>
      <c r="C580">
        <v>1710</v>
      </c>
      <c r="D580" t="s">
        <v>18</v>
      </c>
      <c r="E580" t="s">
        <v>27</v>
      </c>
      <c r="F580" t="s">
        <v>28</v>
      </c>
      <c r="G580">
        <v>146</v>
      </c>
      <c r="H580">
        <v>2682</v>
      </c>
      <c r="I580" t="s">
        <v>15</v>
      </c>
    </row>
    <row r="581" spans="1:10">
      <c r="A581" t="s">
        <v>1190</v>
      </c>
      <c r="B581" t="s">
        <v>1191</v>
      </c>
      <c r="C581">
        <v>1659</v>
      </c>
      <c r="D581" t="s">
        <v>26</v>
      </c>
      <c r="E581" t="s">
        <v>27</v>
      </c>
      <c r="F581" t="s">
        <v>54</v>
      </c>
      <c r="G581">
        <v>121</v>
      </c>
      <c r="H581">
        <v>3263</v>
      </c>
      <c r="I581" t="s">
        <v>15</v>
      </c>
      <c r="J581">
        <v>1</v>
      </c>
    </row>
    <row r="582" spans="1:10">
      <c r="A582" t="s">
        <v>1192</v>
      </c>
      <c r="B582" t="s">
        <v>1193</v>
      </c>
      <c r="C582">
        <v>1563</v>
      </c>
      <c r="D582" t="s">
        <v>32</v>
      </c>
      <c r="E582" t="s">
        <v>13</v>
      </c>
      <c r="F582" t="s">
        <v>54</v>
      </c>
      <c r="G582">
        <v>8</v>
      </c>
      <c r="H582">
        <v>172</v>
      </c>
      <c r="I582" t="s">
        <v>15</v>
      </c>
    </row>
    <row r="583" spans="1:10">
      <c r="A583" t="s">
        <v>1194</v>
      </c>
      <c r="B583" t="s">
        <v>1195</v>
      </c>
      <c r="C583">
        <v>1875</v>
      </c>
      <c r="D583" t="s">
        <v>47</v>
      </c>
      <c r="E583" t="s">
        <v>13</v>
      </c>
      <c r="F583" t="s">
        <v>54</v>
      </c>
      <c r="G583">
        <v>3</v>
      </c>
      <c r="H583">
        <v>121</v>
      </c>
      <c r="I583" t="s">
        <v>20</v>
      </c>
      <c r="J583">
        <v>4</v>
      </c>
    </row>
    <row r="584" spans="1:10">
      <c r="A584" t="s">
        <v>1196</v>
      </c>
      <c r="B584" t="s">
        <v>1197</v>
      </c>
      <c r="C584">
        <v>1271</v>
      </c>
      <c r="D584" t="s">
        <v>12</v>
      </c>
      <c r="E584" t="s">
        <v>13</v>
      </c>
      <c r="F584" t="s">
        <v>34</v>
      </c>
      <c r="G584">
        <v>3</v>
      </c>
      <c r="H584">
        <v>318</v>
      </c>
      <c r="I584" t="s">
        <v>20</v>
      </c>
      <c r="J584">
        <v>4</v>
      </c>
    </row>
    <row r="585" spans="1:10">
      <c r="A585" t="s">
        <v>1198</v>
      </c>
      <c r="B585" t="s">
        <v>1199</v>
      </c>
      <c r="C585">
        <v>1714</v>
      </c>
      <c r="D585" t="s">
        <v>12</v>
      </c>
      <c r="E585" t="s">
        <v>27</v>
      </c>
      <c r="F585" t="s">
        <v>28</v>
      </c>
      <c r="G585">
        <v>154</v>
      </c>
      <c r="H585">
        <v>2234</v>
      </c>
      <c r="I585" t="s">
        <v>15</v>
      </c>
      <c r="J585">
        <v>2</v>
      </c>
    </row>
    <row r="586" spans="1:10">
      <c r="A586" t="s">
        <v>1200</v>
      </c>
      <c r="B586" t="s">
        <v>1201</v>
      </c>
      <c r="C586">
        <v>1189</v>
      </c>
      <c r="D586" t="s">
        <v>32</v>
      </c>
      <c r="E586" t="s">
        <v>27</v>
      </c>
      <c r="F586" t="s">
        <v>71</v>
      </c>
      <c r="G586">
        <v>125</v>
      </c>
      <c r="H586">
        <v>3500</v>
      </c>
      <c r="I586" t="s">
        <v>15</v>
      </c>
    </row>
    <row r="587" spans="1:10">
      <c r="A587" t="s">
        <v>1202</v>
      </c>
      <c r="B587" t="s">
        <v>1203</v>
      </c>
      <c r="C587">
        <v>1297</v>
      </c>
      <c r="D587" t="s">
        <v>12</v>
      </c>
      <c r="E587" t="s">
        <v>33</v>
      </c>
      <c r="F587" t="s">
        <v>43</v>
      </c>
      <c r="G587">
        <v>322</v>
      </c>
      <c r="H587">
        <v>7765</v>
      </c>
      <c r="I587" t="s">
        <v>15</v>
      </c>
      <c r="J587">
        <v>1</v>
      </c>
    </row>
    <row r="588" spans="1:10">
      <c r="A588" t="s">
        <v>1204</v>
      </c>
      <c r="B588" t="s">
        <v>1205</v>
      </c>
      <c r="C588">
        <v>1007</v>
      </c>
      <c r="D588" t="s">
        <v>32</v>
      </c>
      <c r="E588" t="s">
        <v>33</v>
      </c>
      <c r="F588" t="s">
        <v>64</v>
      </c>
      <c r="G588">
        <v>401</v>
      </c>
      <c r="I588" t="s">
        <v>29</v>
      </c>
    </row>
    <row r="589" spans="1:10">
      <c r="A589" t="s">
        <v>1206</v>
      </c>
      <c r="B589" t="s">
        <v>1207</v>
      </c>
      <c r="C589">
        <v>1710</v>
      </c>
      <c r="D589" t="s">
        <v>18</v>
      </c>
      <c r="E589" t="s">
        <v>19</v>
      </c>
      <c r="F589" t="s">
        <v>54</v>
      </c>
      <c r="G589">
        <v>30</v>
      </c>
      <c r="H589">
        <v>364</v>
      </c>
      <c r="I589" t="s">
        <v>20</v>
      </c>
    </row>
    <row r="590" spans="1:10">
      <c r="A590" t="s">
        <v>1208</v>
      </c>
      <c r="B590" t="s">
        <v>1209</v>
      </c>
      <c r="C590">
        <v>1525</v>
      </c>
      <c r="D590" t="s">
        <v>32</v>
      </c>
      <c r="E590" t="s">
        <v>33</v>
      </c>
      <c r="F590" t="s">
        <v>28</v>
      </c>
      <c r="G590">
        <v>187</v>
      </c>
      <c r="H590">
        <v>7184</v>
      </c>
      <c r="I590" t="s">
        <v>15</v>
      </c>
    </row>
    <row r="591" spans="1:10">
      <c r="A591" t="s">
        <v>1210</v>
      </c>
      <c r="B591" t="s">
        <v>1211</v>
      </c>
      <c r="C591">
        <v>1870</v>
      </c>
      <c r="D591" t="s">
        <v>12</v>
      </c>
      <c r="E591" t="s">
        <v>33</v>
      </c>
      <c r="F591" t="s">
        <v>28</v>
      </c>
      <c r="G591">
        <v>242</v>
      </c>
      <c r="H591">
        <v>1799</v>
      </c>
      <c r="I591" t="s">
        <v>20</v>
      </c>
      <c r="J591">
        <v>3</v>
      </c>
    </row>
    <row r="592" spans="1:10">
      <c r="A592" t="s">
        <v>1212</v>
      </c>
      <c r="B592" t="s">
        <v>1213</v>
      </c>
      <c r="C592">
        <v>1722</v>
      </c>
      <c r="D592" t="s">
        <v>32</v>
      </c>
      <c r="E592" t="s">
        <v>27</v>
      </c>
      <c r="F592" t="s">
        <v>34</v>
      </c>
      <c r="G592">
        <v>60</v>
      </c>
      <c r="H592">
        <v>1443</v>
      </c>
      <c r="I592" t="s">
        <v>20</v>
      </c>
      <c r="J592">
        <v>2</v>
      </c>
    </row>
    <row r="593" spans="1:10">
      <c r="A593" t="s">
        <v>1214</v>
      </c>
      <c r="B593" t="s">
        <v>1215</v>
      </c>
      <c r="C593">
        <v>1505</v>
      </c>
      <c r="D593" t="s">
        <v>47</v>
      </c>
      <c r="E593" t="s">
        <v>33</v>
      </c>
      <c r="F593" t="s">
        <v>34</v>
      </c>
      <c r="G593">
        <v>215</v>
      </c>
      <c r="H593">
        <v>1807</v>
      </c>
      <c r="I593" t="s">
        <v>15</v>
      </c>
    </row>
    <row r="594" spans="1:10">
      <c r="A594" t="s">
        <v>1216</v>
      </c>
      <c r="B594" t="s">
        <v>1217</v>
      </c>
      <c r="C594">
        <v>1237</v>
      </c>
      <c r="D594" t="s">
        <v>47</v>
      </c>
      <c r="E594" t="s">
        <v>27</v>
      </c>
      <c r="F594" t="s">
        <v>54</v>
      </c>
      <c r="G594">
        <v>126</v>
      </c>
      <c r="H594">
        <v>3113</v>
      </c>
      <c r="I594" t="s">
        <v>15</v>
      </c>
      <c r="J594">
        <v>2</v>
      </c>
    </row>
    <row r="595" spans="1:10">
      <c r="A595" t="s">
        <v>1218</v>
      </c>
      <c r="B595" t="s">
        <v>1219</v>
      </c>
      <c r="C595">
        <v>1131</v>
      </c>
      <c r="D595" t="s">
        <v>32</v>
      </c>
      <c r="E595" t="s">
        <v>13</v>
      </c>
      <c r="F595" t="s">
        <v>34</v>
      </c>
      <c r="G595">
        <v>7</v>
      </c>
      <c r="I595" t="s">
        <v>29</v>
      </c>
    </row>
    <row r="596" spans="1:10">
      <c r="A596" t="s">
        <v>1220</v>
      </c>
      <c r="B596" t="s">
        <v>1221</v>
      </c>
      <c r="C596">
        <v>1093</v>
      </c>
      <c r="D596" t="s">
        <v>18</v>
      </c>
      <c r="E596" t="s">
        <v>33</v>
      </c>
      <c r="F596" t="s">
        <v>23</v>
      </c>
      <c r="G596">
        <v>364</v>
      </c>
      <c r="I596" t="s">
        <v>44</v>
      </c>
    </row>
    <row r="597" spans="1:10">
      <c r="A597" t="s">
        <v>1222</v>
      </c>
      <c r="B597" t="s">
        <v>1223</v>
      </c>
      <c r="C597">
        <v>1730</v>
      </c>
      <c r="D597" t="s">
        <v>12</v>
      </c>
      <c r="E597" t="s">
        <v>33</v>
      </c>
      <c r="F597" t="s">
        <v>54</v>
      </c>
      <c r="G597">
        <v>147</v>
      </c>
      <c r="H597">
        <v>2861</v>
      </c>
      <c r="I597" t="s">
        <v>15</v>
      </c>
      <c r="J597">
        <v>3</v>
      </c>
    </row>
    <row r="598" spans="1:10">
      <c r="A598" t="s">
        <v>1224</v>
      </c>
      <c r="B598" t="s">
        <v>1225</v>
      </c>
      <c r="C598">
        <v>1073</v>
      </c>
      <c r="D598" t="s">
        <v>32</v>
      </c>
      <c r="E598" t="s">
        <v>33</v>
      </c>
      <c r="F598" t="s">
        <v>23</v>
      </c>
      <c r="G598">
        <v>141</v>
      </c>
      <c r="H598">
        <v>6928</v>
      </c>
      <c r="I598" t="s">
        <v>15</v>
      </c>
      <c r="J598">
        <v>5</v>
      </c>
    </row>
    <row r="599" spans="1:10">
      <c r="A599" t="s">
        <v>1226</v>
      </c>
      <c r="B599" t="s">
        <v>1227</v>
      </c>
      <c r="C599">
        <v>1631</v>
      </c>
      <c r="D599" t="s">
        <v>26</v>
      </c>
      <c r="E599" t="s">
        <v>19</v>
      </c>
      <c r="F599" t="s">
        <v>23</v>
      </c>
      <c r="G599">
        <v>12</v>
      </c>
      <c r="I599" t="s">
        <v>29</v>
      </c>
    </row>
    <row r="600" spans="1:10">
      <c r="A600" t="s">
        <v>1228</v>
      </c>
      <c r="B600" t="s">
        <v>1229</v>
      </c>
      <c r="C600">
        <v>1011</v>
      </c>
      <c r="D600" t="s">
        <v>18</v>
      </c>
      <c r="E600" t="s">
        <v>27</v>
      </c>
      <c r="F600" t="s">
        <v>14</v>
      </c>
      <c r="G600">
        <v>160</v>
      </c>
      <c r="I600" t="s">
        <v>29</v>
      </c>
    </row>
    <row r="601" spans="1:10">
      <c r="A601" t="s">
        <v>1230</v>
      </c>
      <c r="B601" t="s">
        <v>1231</v>
      </c>
      <c r="C601">
        <v>1066</v>
      </c>
      <c r="D601" t="s">
        <v>47</v>
      </c>
      <c r="E601" t="s">
        <v>13</v>
      </c>
      <c r="F601" t="s">
        <v>23</v>
      </c>
      <c r="G601">
        <v>6</v>
      </c>
      <c r="I601" t="s">
        <v>29</v>
      </c>
    </row>
    <row r="602" spans="1:10">
      <c r="A602" t="s">
        <v>1232</v>
      </c>
      <c r="B602" t="s">
        <v>1233</v>
      </c>
      <c r="C602">
        <v>1649</v>
      </c>
      <c r="D602" t="s">
        <v>26</v>
      </c>
      <c r="E602" t="s">
        <v>19</v>
      </c>
      <c r="F602" t="s">
        <v>64</v>
      </c>
      <c r="G602">
        <v>19</v>
      </c>
      <c r="H602">
        <v>861</v>
      </c>
      <c r="I602" t="s">
        <v>15</v>
      </c>
      <c r="J602">
        <v>3</v>
      </c>
    </row>
    <row r="603" spans="1:10">
      <c r="A603" t="s">
        <v>1234</v>
      </c>
      <c r="B603" t="s">
        <v>1235</v>
      </c>
      <c r="C603">
        <v>1193</v>
      </c>
      <c r="D603" t="s">
        <v>32</v>
      </c>
      <c r="E603" t="s">
        <v>33</v>
      </c>
      <c r="F603" t="s">
        <v>14</v>
      </c>
      <c r="G603">
        <v>139</v>
      </c>
      <c r="I603" t="s">
        <v>29</v>
      </c>
    </row>
    <row r="604" spans="1:10">
      <c r="A604" t="s">
        <v>1236</v>
      </c>
      <c r="B604" t="s">
        <v>1237</v>
      </c>
      <c r="C604">
        <v>1304</v>
      </c>
      <c r="D604" t="s">
        <v>47</v>
      </c>
      <c r="E604" t="s">
        <v>19</v>
      </c>
      <c r="F604" t="s">
        <v>64</v>
      </c>
      <c r="G604">
        <v>27</v>
      </c>
      <c r="H604">
        <v>996</v>
      </c>
      <c r="I604" t="s">
        <v>15</v>
      </c>
    </row>
    <row r="605" spans="1:10">
      <c r="A605" t="s">
        <v>1238</v>
      </c>
      <c r="B605" t="s">
        <v>1239</v>
      </c>
      <c r="C605">
        <v>1949</v>
      </c>
      <c r="D605" t="s">
        <v>18</v>
      </c>
      <c r="E605" t="s">
        <v>13</v>
      </c>
      <c r="F605" t="s">
        <v>59</v>
      </c>
      <c r="G605">
        <v>7</v>
      </c>
      <c r="H605">
        <v>97</v>
      </c>
      <c r="I605" t="s">
        <v>20</v>
      </c>
      <c r="J605">
        <v>3</v>
      </c>
    </row>
    <row r="606" spans="1:10">
      <c r="A606" t="s">
        <v>1240</v>
      </c>
      <c r="B606" t="s">
        <v>1241</v>
      </c>
      <c r="C606">
        <v>1073</v>
      </c>
      <c r="D606" t="s">
        <v>32</v>
      </c>
      <c r="E606" t="s">
        <v>13</v>
      </c>
      <c r="F606" t="s">
        <v>23</v>
      </c>
      <c r="G606">
        <v>10</v>
      </c>
      <c r="H606">
        <v>280</v>
      </c>
      <c r="I606" t="s">
        <v>15</v>
      </c>
    </row>
    <row r="607" spans="1:10">
      <c r="A607" t="s">
        <v>1242</v>
      </c>
      <c r="B607" t="s">
        <v>1243</v>
      </c>
      <c r="C607">
        <v>1759</v>
      </c>
      <c r="D607" t="s">
        <v>12</v>
      </c>
      <c r="E607" t="s">
        <v>27</v>
      </c>
      <c r="F607" t="s">
        <v>54</v>
      </c>
      <c r="G607">
        <v>116</v>
      </c>
      <c r="H607">
        <v>3200</v>
      </c>
      <c r="I607" t="s">
        <v>15</v>
      </c>
      <c r="J607">
        <v>5</v>
      </c>
    </row>
    <row r="608" spans="1:10">
      <c r="A608" t="s">
        <v>1244</v>
      </c>
      <c r="B608" t="s">
        <v>1245</v>
      </c>
      <c r="C608">
        <v>1742</v>
      </c>
      <c r="D608" t="s">
        <v>26</v>
      </c>
      <c r="E608" t="s">
        <v>27</v>
      </c>
      <c r="F608" t="s">
        <v>34</v>
      </c>
      <c r="G608">
        <v>84</v>
      </c>
      <c r="I608" t="s">
        <v>44</v>
      </c>
    </row>
    <row r="609" spans="1:10">
      <c r="A609" t="s">
        <v>1246</v>
      </c>
      <c r="B609" t="s">
        <v>1247</v>
      </c>
      <c r="C609">
        <v>1960</v>
      </c>
      <c r="D609" t="s">
        <v>32</v>
      </c>
      <c r="E609" t="s">
        <v>13</v>
      </c>
      <c r="F609" t="s">
        <v>28</v>
      </c>
      <c r="G609">
        <v>3</v>
      </c>
      <c r="H609">
        <v>229</v>
      </c>
      <c r="I609" t="s">
        <v>15</v>
      </c>
      <c r="J609">
        <v>3</v>
      </c>
    </row>
    <row r="610" spans="1:10">
      <c r="A610" t="s">
        <v>1248</v>
      </c>
      <c r="B610" t="s">
        <v>1249</v>
      </c>
      <c r="C610">
        <v>1351</v>
      </c>
      <c r="D610" t="s">
        <v>26</v>
      </c>
      <c r="E610" t="s">
        <v>33</v>
      </c>
      <c r="F610" t="s">
        <v>54</v>
      </c>
      <c r="G610">
        <v>426</v>
      </c>
      <c r="I610" t="s">
        <v>29</v>
      </c>
    </row>
    <row r="611" spans="1:10">
      <c r="A611" t="s">
        <v>1250</v>
      </c>
      <c r="B611" t="s">
        <v>1251</v>
      </c>
      <c r="C611">
        <v>1574</v>
      </c>
      <c r="D611" t="s">
        <v>26</v>
      </c>
      <c r="E611" t="s">
        <v>27</v>
      </c>
      <c r="F611" t="s">
        <v>59</v>
      </c>
      <c r="G611">
        <v>108</v>
      </c>
      <c r="H611">
        <v>1663</v>
      </c>
      <c r="I611" t="s">
        <v>15</v>
      </c>
    </row>
    <row r="612" spans="1:10">
      <c r="A612" t="s">
        <v>1252</v>
      </c>
      <c r="B612" t="s">
        <v>1253</v>
      </c>
      <c r="C612">
        <v>1889</v>
      </c>
      <c r="D612" t="s">
        <v>18</v>
      </c>
      <c r="E612" t="s">
        <v>13</v>
      </c>
      <c r="F612" t="s">
        <v>43</v>
      </c>
      <c r="G612">
        <v>2</v>
      </c>
      <c r="H612">
        <v>398</v>
      </c>
      <c r="I612" t="s">
        <v>15</v>
      </c>
      <c r="J612">
        <v>1</v>
      </c>
    </row>
    <row r="613" spans="1:10">
      <c r="A613" t="s">
        <v>1254</v>
      </c>
      <c r="B613" t="s">
        <v>1255</v>
      </c>
      <c r="C613">
        <v>1290</v>
      </c>
      <c r="D613" t="s">
        <v>18</v>
      </c>
      <c r="E613" t="s">
        <v>27</v>
      </c>
      <c r="F613" t="s">
        <v>14</v>
      </c>
      <c r="G613">
        <v>88</v>
      </c>
      <c r="H613">
        <v>2903</v>
      </c>
      <c r="I613" t="s">
        <v>20</v>
      </c>
    </row>
    <row r="614" spans="1:10">
      <c r="A614" t="s">
        <v>1256</v>
      </c>
      <c r="B614" t="s">
        <v>1257</v>
      </c>
      <c r="C614">
        <v>1061</v>
      </c>
      <c r="D614" t="s">
        <v>18</v>
      </c>
      <c r="E614" t="s">
        <v>33</v>
      </c>
      <c r="F614" t="s">
        <v>43</v>
      </c>
      <c r="G614">
        <v>411</v>
      </c>
      <c r="H614">
        <v>1441</v>
      </c>
      <c r="I614" t="s">
        <v>15</v>
      </c>
    </row>
    <row r="615" spans="1:10">
      <c r="A615" t="s">
        <v>1258</v>
      </c>
      <c r="B615" t="s">
        <v>1259</v>
      </c>
      <c r="C615">
        <v>1133</v>
      </c>
      <c r="D615" t="s">
        <v>32</v>
      </c>
      <c r="E615" t="s">
        <v>27</v>
      </c>
      <c r="F615" t="s">
        <v>59</v>
      </c>
      <c r="G615">
        <v>162</v>
      </c>
      <c r="H615">
        <v>2967</v>
      </c>
      <c r="I615" t="s">
        <v>15</v>
      </c>
    </row>
    <row r="616" spans="1:10">
      <c r="A616" t="s">
        <v>1260</v>
      </c>
      <c r="B616" t="s">
        <v>1261</v>
      </c>
      <c r="C616">
        <v>1431</v>
      </c>
      <c r="D616" t="s">
        <v>12</v>
      </c>
      <c r="E616" t="s">
        <v>13</v>
      </c>
      <c r="F616" t="s">
        <v>43</v>
      </c>
      <c r="G616">
        <v>8</v>
      </c>
      <c r="H616">
        <v>149</v>
      </c>
      <c r="I616" t="s">
        <v>15</v>
      </c>
      <c r="J616">
        <v>4</v>
      </c>
    </row>
    <row r="617" spans="1:10">
      <c r="A617" t="s">
        <v>1262</v>
      </c>
      <c r="B617" t="s">
        <v>1263</v>
      </c>
      <c r="C617">
        <v>1035</v>
      </c>
      <c r="D617" t="s">
        <v>32</v>
      </c>
      <c r="E617" t="s">
        <v>19</v>
      </c>
      <c r="F617" t="s">
        <v>28</v>
      </c>
      <c r="G617">
        <v>35</v>
      </c>
      <c r="H617">
        <v>311</v>
      </c>
      <c r="I617" t="s">
        <v>15</v>
      </c>
    </row>
    <row r="618" spans="1:10">
      <c r="A618" t="s">
        <v>1264</v>
      </c>
      <c r="B618" t="s">
        <v>1265</v>
      </c>
      <c r="C618">
        <v>1246</v>
      </c>
      <c r="D618" t="s">
        <v>32</v>
      </c>
      <c r="E618" t="s">
        <v>33</v>
      </c>
      <c r="F618" t="s">
        <v>59</v>
      </c>
      <c r="G618">
        <v>362</v>
      </c>
      <c r="H618">
        <v>2694</v>
      </c>
      <c r="I618" t="s">
        <v>15</v>
      </c>
      <c r="J618">
        <v>4</v>
      </c>
    </row>
    <row r="619" spans="1:10">
      <c r="A619" t="s">
        <v>1266</v>
      </c>
      <c r="B619" t="s">
        <v>1267</v>
      </c>
      <c r="C619">
        <v>1808</v>
      </c>
      <c r="D619" t="s">
        <v>12</v>
      </c>
      <c r="E619" t="s">
        <v>13</v>
      </c>
      <c r="F619" t="s">
        <v>43</v>
      </c>
      <c r="G619">
        <v>11</v>
      </c>
      <c r="H619">
        <v>332</v>
      </c>
      <c r="I619" t="s">
        <v>15</v>
      </c>
    </row>
    <row r="620" spans="1:10">
      <c r="A620" t="s">
        <v>1268</v>
      </c>
      <c r="B620" t="s">
        <v>1269</v>
      </c>
      <c r="C620">
        <v>1437</v>
      </c>
      <c r="D620" t="s">
        <v>12</v>
      </c>
      <c r="E620" t="s">
        <v>27</v>
      </c>
      <c r="F620" t="s">
        <v>59</v>
      </c>
      <c r="G620">
        <v>179</v>
      </c>
      <c r="H620">
        <v>1690</v>
      </c>
      <c r="I620" t="s">
        <v>15</v>
      </c>
      <c r="J620">
        <v>3</v>
      </c>
    </row>
    <row r="621" spans="1:10">
      <c r="A621" t="s">
        <v>1270</v>
      </c>
      <c r="B621" t="s">
        <v>1271</v>
      </c>
      <c r="C621">
        <v>1584</v>
      </c>
      <c r="D621" t="s">
        <v>26</v>
      </c>
      <c r="E621" t="s">
        <v>13</v>
      </c>
      <c r="F621" t="s">
        <v>71</v>
      </c>
      <c r="G621">
        <v>8</v>
      </c>
      <c r="H621">
        <v>364</v>
      </c>
      <c r="I621" t="s">
        <v>15</v>
      </c>
      <c r="J621">
        <v>4</v>
      </c>
    </row>
    <row r="622" spans="1:10">
      <c r="A622" t="s">
        <v>1272</v>
      </c>
      <c r="B622" t="s">
        <v>1273</v>
      </c>
      <c r="C622">
        <v>1148</v>
      </c>
      <c r="D622" t="s">
        <v>47</v>
      </c>
      <c r="E622" t="s">
        <v>33</v>
      </c>
      <c r="F622" t="s">
        <v>59</v>
      </c>
      <c r="G622">
        <v>377</v>
      </c>
      <c r="H622">
        <v>4931</v>
      </c>
      <c r="I622" t="s">
        <v>20</v>
      </c>
      <c r="J622">
        <v>5</v>
      </c>
    </row>
    <row r="623" spans="1:10">
      <c r="A623" t="s">
        <v>1274</v>
      </c>
      <c r="B623" t="s">
        <v>1275</v>
      </c>
      <c r="C623">
        <v>1578</v>
      </c>
      <c r="D623" t="s">
        <v>18</v>
      </c>
      <c r="E623" t="s">
        <v>27</v>
      </c>
      <c r="F623" t="s">
        <v>43</v>
      </c>
      <c r="G623">
        <v>74</v>
      </c>
      <c r="H623">
        <v>1674</v>
      </c>
      <c r="I623" t="s">
        <v>20</v>
      </c>
      <c r="J623">
        <v>5</v>
      </c>
    </row>
    <row r="624" spans="1:10">
      <c r="A624" t="s">
        <v>1276</v>
      </c>
      <c r="B624" t="s">
        <v>1277</v>
      </c>
      <c r="C624">
        <v>1891</v>
      </c>
      <c r="D624" t="s">
        <v>47</v>
      </c>
      <c r="E624" t="s">
        <v>27</v>
      </c>
      <c r="F624" t="s">
        <v>59</v>
      </c>
      <c r="G624">
        <v>39</v>
      </c>
      <c r="H624">
        <v>3594</v>
      </c>
      <c r="I624" t="s">
        <v>15</v>
      </c>
      <c r="J624">
        <v>5</v>
      </c>
    </row>
    <row r="625" spans="1:10">
      <c r="A625" t="s">
        <v>1278</v>
      </c>
      <c r="B625" t="s">
        <v>1279</v>
      </c>
      <c r="C625">
        <v>1414</v>
      </c>
      <c r="D625" t="s">
        <v>47</v>
      </c>
      <c r="E625" t="s">
        <v>27</v>
      </c>
      <c r="F625" t="s">
        <v>14</v>
      </c>
      <c r="G625">
        <v>54</v>
      </c>
      <c r="H625">
        <v>1980</v>
      </c>
      <c r="I625" t="s">
        <v>15</v>
      </c>
    </row>
    <row r="626" spans="1:10">
      <c r="A626" t="s">
        <v>1280</v>
      </c>
      <c r="B626" t="s">
        <v>1281</v>
      </c>
      <c r="C626">
        <v>1335</v>
      </c>
      <c r="D626" t="s">
        <v>32</v>
      </c>
      <c r="E626" t="s">
        <v>33</v>
      </c>
      <c r="F626" t="s">
        <v>14</v>
      </c>
      <c r="G626">
        <v>295</v>
      </c>
      <c r="H626">
        <v>1386</v>
      </c>
      <c r="I626" t="s">
        <v>15</v>
      </c>
    </row>
    <row r="627" spans="1:10">
      <c r="A627" t="s">
        <v>1282</v>
      </c>
      <c r="B627" t="s">
        <v>1283</v>
      </c>
      <c r="C627">
        <v>1930</v>
      </c>
      <c r="D627" t="s">
        <v>26</v>
      </c>
      <c r="E627" t="s">
        <v>27</v>
      </c>
      <c r="F627" t="s">
        <v>43</v>
      </c>
      <c r="G627">
        <v>49</v>
      </c>
      <c r="H627">
        <v>2942</v>
      </c>
      <c r="I627" t="s">
        <v>15</v>
      </c>
      <c r="J627">
        <v>2</v>
      </c>
    </row>
    <row r="628" spans="1:10">
      <c r="A628" t="s">
        <v>1284</v>
      </c>
      <c r="B628" t="s">
        <v>1285</v>
      </c>
      <c r="C628">
        <v>1493</v>
      </c>
      <c r="D628" t="s">
        <v>32</v>
      </c>
      <c r="E628" t="s">
        <v>33</v>
      </c>
      <c r="F628" t="s">
        <v>34</v>
      </c>
      <c r="G628">
        <v>253</v>
      </c>
      <c r="H628">
        <v>3860</v>
      </c>
      <c r="I628" t="s">
        <v>15</v>
      </c>
    </row>
    <row r="629" spans="1:10">
      <c r="A629" t="s">
        <v>1286</v>
      </c>
      <c r="B629" t="s">
        <v>1287</v>
      </c>
      <c r="C629">
        <v>1662</v>
      </c>
      <c r="D629" t="s">
        <v>47</v>
      </c>
      <c r="E629" t="s">
        <v>13</v>
      </c>
      <c r="F629" t="s">
        <v>28</v>
      </c>
      <c r="G629">
        <v>10</v>
      </c>
      <c r="H629">
        <v>240</v>
      </c>
      <c r="I629" t="s">
        <v>15</v>
      </c>
      <c r="J629">
        <v>1</v>
      </c>
    </row>
    <row r="630" spans="1:10">
      <c r="A630" t="s">
        <v>1288</v>
      </c>
      <c r="B630" t="s">
        <v>1289</v>
      </c>
      <c r="C630">
        <v>1680</v>
      </c>
      <c r="D630" t="s">
        <v>26</v>
      </c>
      <c r="E630" t="s">
        <v>27</v>
      </c>
      <c r="F630" t="s">
        <v>71</v>
      </c>
      <c r="G630">
        <v>149</v>
      </c>
      <c r="H630">
        <v>2265</v>
      </c>
      <c r="I630" t="s">
        <v>20</v>
      </c>
      <c r="J630">
        <v>5</v>
      </c>
    </row>
    <row r="631" spans="1:10">
      <c r="A631" t="s">
        <v>1290</v>
      </c>
      <c r="B631" t="s">
        <v>1291</v>
      </c>
      <c r="C631">
        <v>1488</v>
      </c>
      <c r="D631" t="s">
        <v>32</v>
      </c>
      <c r="E631" t="s">
        <v>27</v>
      </c>
      <c r="F631" t="s">
        <v>64</v>
      </c>
      <c r="G631">
        <v>168</v>
      </c>
      <c r="H631">
        <v>3494</v>
      </c>
      <c r="I631" t="s">
        <v>15</v>
      </c>
      <c r="J631">
        <v>3</v>
      </c>
    </row>
    <row r="632" spans="1:10">
      <c r="A632" t="s">
        <v>1292</v>
      </c>
      <c r="B632" t="s">
        <v>1293</v>
      </c>
      <c r="C632">
        <v>1440</v>
      </c>
      <c r="D632" t="s">
        <v>18</v>
      </c>
      <c r="E632" t="s">
        <v>27</v>
      </c>
      <c r="F632" t="s">
        <v>28</v>
      </c>
      <c r="G632">
        <v>36</v>
      </c>
      <c r="H632">
        <v>2697</v>
      </c>
      <c r="I632" t="s">
        <v>15</v>
      </c>
      <c r="J632">
        <v>5</v>
      </c>
    </row>
    <row r="633" spans="1:10">
      <c r="A633" t="s">
        <v>1294</v>
      </c>
      <c r="B633" t="s">
        <v>1295</v>
      </c>
      <c r="C633">
        <v>1286</v>
      </c>
      <c r="D633" t="s">
        <v>32</v>
      </c>
      <c r="E633" t="s">
        <v>27</v>
      </c>
      <c r="F633" t="s">
        <v>71</v>
      </c>
      <c r="G633">
        <v>146</v>
      </c>
      <c r="H633">
        <v>656</v>
      </c>
      <c r="I633" t="s">
        <v>15</v>
      </c>
    </row>
    <row r="634" spans="1:10">
      <c r="A634" t="s">
        <v>1296</v>
      </c>
      <c r="B634" t="s">
        <v>1297</v>
      </c>
      <c r="C634">
        <v>1050</v>
      </c>
      <c r="D634" t="s">
        <v>47</v>
      </c>
      <c r="E634" t="s">
        <v>33</v>
      </c>
      <c r="F634" t="s">
        <v>64</v>
      </c>
      <c r="G634">
        <v>353</v>
      </c>
      <c r="H634">
        <v>8536</v>
      </c>
      <c r="I634" t="s">
        <v>15</v>
      </c>
    </row>
    <row r="635" spans="1:10">
      <c r="A635" t="s">
        <v>1298</v>
      </c>
      <c r="B635" t="s">
        <v>1299</v>
      </c>
      <c r="C635">
        <v>1500</v>
      </c>
      <c r="D635" t="s">
        <v>47</v>
      </c>
      <c r="E635" t="s">
        <v>27</v>
      </c>
      <c r="F635" t="s">
        <v>71</v>
      </c>
      <c r="G635">
        <v>167</v>
      </c>
      <c r="I635" t="s">
        <v>44</v>
      </c>
    </row>
    <row r="636" spans="1:10">
      <c r="A636" t="s">
        <v>1300</v>
      </c>
      <c r="B636" t="s">
        <v>1301</v>
      </c>
      <c r="C636">
        <v>1565</v>
      </c>
      <c r="D636" t="s">
        <v>32</v>
      </c>
      <c r="E636" t="s">
        <v>19</v>
      </c>
      <c r="F636" t="s">
        <v>14</v>
      </c>
      <c r="G636">
        <v>42</v>
      </c>
      <c r="I636" t="s">
        <v>29</v>
      </c>
    </row>
    <row r="637" spans="1:10">
      <c r="A637" t="s">
        <v>1302</v>
      </c>
      <c r="B637" t="s">
        <v>1303</v>
      </c>
      <c r="C637">
        <v>1717</v>
      </c>
      <c r="D637" t="s">
        <v>32</v>
      </c>
      <c r="E637" t="s">
        <v>27</v>
      </c>
      <c r="F637" t="s">
        <v>71</v>
      </c>
      <c r="G637">
        <v>88</v>
      </c>
      <c r="H637">
        <v>973</v>
      </c>
      <c r="I637" t="s">
        <v>20</v>
      </c>
      <c r="J637">
        <v>2</v>
      </c>
    </row>
    <row r="638" spans="1:10">
      <c r="A638" t="s">
        <v>1304</v>
      </c>
      <c r="B638" t="s">
        <v>1305</v>
      </c>
      <c r="C638">
        <v>1353</v>
      </c>
      <c r="D638" t="s">
        <v>47</v>
      </c>
      <c r="E638" t="s">
        <v>13</v>
      </c>
      <c r="F638" t="s">
        <v>34</v>
      </c>
      <c r="G638">
        <v>11</v>
      </c>
      <c r="H638">
        <v>379</v>
      </c>
      <c r="I638" t="s">
        <v>15</v>
      </c>
    </row>
    <row r="639" spans="1:10">
      <c r="A639" t="s">
        <v>1306</v>
      </c>
      <c r="B639" t="s">
        <v>1307</v>
      </c>
      <c r="C639">
        <v>1261</v>
      </c>
      <c r="D639" t="s">
        <v>26</v>
      </c>
      <c r="E639" t="s">
        <v>27</v>
      </c>
      <c r="F639" t="s">
        <v>54</v>
      </c>
      <c r="G639">
        <v>54</v>
      </c>
      <c r="H639">
        <v>2174</v>
      </c>
      <c r="I639" t="s">
        <v>20</v>
      </c>
      <c r="J639">
        <v>2</v>
      </c>
    </row>
    <row r="640" spans="1:10">
      <c r="A640" t="s">
        <v>1308</v>
      </c>
      <c r="B640" t="s">
        <v>1309</v>
      </c>
      <c r="C640">
        <v>1013</v>
      </c>
      <c r="D640" t="s">
        <v>26</v>
      </c>
      <c r="E640" t="s">
        <v>19</v>
      </c>
      <c r="F640" t="s">
        <v>54</v>
      </c>
      <c r="G640">
        <v>40</v>
      </c>
      <c r="I640" t="s">
        <v>44</v>
      </c>
    </row>
    <row r="641" spans="1:10">
      <c r="A641" t="s">
        <v>1310</v>
      </c>
      <c r="B641" t="s">
        <v>1311</v>
      </c>
      <c r="C641">
        <v>1047</v>
      </c>
      <c r="D641" t="s">
        <v>32</v>
      </c>
      <c r="E641" t="s">
        <v>27</v>
      </c>
      <c r="F641" t="s">
        <v>28</v>
      </c>
      <c r="G641">
        <v>159</v>
      </c>
      <c r="H641">
        <v>2632</v>
      </c>
      <c r="I641" t="s">
        <v>15</v>
      </c>
    </row>
    <row r="642" spans="1:10">
      <c r="A642" t="s">
        <v>1312</v>
      </c>
      <c r="B642" t="s">
        <v>1313</v>
      </c>
      <c r="C642">
        <v>1531</v>
      </c>
      <c r="D642" t="s">
        <v>18</v>
      </c>
      <c r="E642" t="s">
        <v>27</v>
      </c>
      <c r="F642" t="s">
        <v>34</v>
      </c>
      <c r="G642">
        <v>81</v>
      </c>
      <c r="H642">
        <v>2338</v>
      </c>
      <c r="I642" t="s">
        <v>15</v>
      </c>
      <c r="J642">
        <v>5</v>
      </c>
    </row>
    <row r="643" spans="1:10">
      <c r="A643" t="s">
        <v>1314</v>
      </c>
      <c r="B643" t="s">
        <v>1315</v>
      </c>
      <c r="C643">
        <v>1509</v>
      </c>
      <c r="D643" t="s">
        <v>18</v>
      </c>
      <c r="E643" t="s">
        <v>27</v>
      </c>
      <c r="F643" t="s">
        <v>71</v>
      </c>
      <c r="G643">
        <v>94</v>
      </c>
      <c r="H643">
        <v>3467</v>
      </c>
      <c r="I643" t="s">
        <v>20</v>
      </c>
      <c r="J643">
        <v>3</v>
      </c>
    </row>
    <row r="644" spans="1:10">
      <c r="A644" t="s">
        <v>1316</v>
      </c>
      <c r="B644" t="s">
        <v>1317</v>
      </c>
      <c r="C644">
        <v>1494</v>
      </c>
      <c r="D644" t="s">
        <v>26</v>
      </c>
      <c r="E644" t="s">
        <v>13</v>
      </c>
      <c r="F644" t="s">
        <v>43</v>
      </c>
      <c r="G644">
        <v>4</v>
      </c>
      <c r="H644">
        <v>383</v>
      </c>
      <c r="I644" t="s">
        <v>15</v>
      </c>
      <c r="J644">
        <v>5</v>
      </c>
    </row>
    <row r="645" spans="1:10">
      <c r="A645" t="s">
        <v>1318</v>
      </c>
      <c r="B645" t="s">
        <v>1319</v>
      </c>
      <c r="C645">
        <v>1394</v>
      </c>
      <c r="D645" t="s">
        <v>18</v>
      </c>
      <c r="E645" t="s">
        <v>27</v>
      </c>
      <c r="F645" t="s">
        <v>28</v>
      </c>
      <c r="G645">
        <v>156</v>
      </c>
      <c r="H645">
        <v>2280</v>
      </c>
      <c r="I645" t="s">
        <v>15</v>
      </c>
    </row>
    <row r="646" spans="1:10">
      <c r="A646" t="s">
        <v>1320</v>
      </c>
      <c r="B646" t="s">
        <v>1321</v>
      </c>
      <c r="C646">
        <v>1469</v>
      </c>
      <c r="D646" t="s">
        <v>18</v>
      </c>
      <c r="E646" t="s">
        <v>27</v>
      </c>
      <c r="F646" t="s">
        <v>23</v>
      </c>
      <c r="G646">
        <v>46</v>
      </c>
      <c r="H646">
        <v>1821</v>
      </c>
      <c r="I646" t="s">
        <v>15</v>
      </c>
    </row>
    <row r="647" spans="1:10">
      <c r="A647" t="s">
        <v>1322</v>
      </c>
      <c r="B647" t="s">
        <v>1323</v>
      </c>
      <c r="C647">
        <v>1486</v>
      </c>
      <c r="D647" t="s">
        <v>26</v>
      </c>
      <c r="E647" t="s">
        <v>33</v>
      </c>
      <c r="F647" t="s">
        <v>34</v>
      </c>
      <c r="G647">
        <v>454</v>
      </c>
      <c r="H647">
        <v>8997</v>
      </c>
      <c r="I647" t="s">
        <v>15</v>
      </c>
      <c r="J647">
        <v>1</v>
      </c>
    </row>
    <row r="648" spans="1:10">
      <c r="A648" t="s">
        <v>1324</v>
      </c>
      <c r="B648" t="s">
        <v>1325</v>
      </c>
      <c r="C648">
        <v>1733</v>
      </c>
      <c r="D648" t="s">
        <v>18</v>
      </c>
      <c r="E648" t="s">
        <v>19</v>
      </c>
      <c r="F648" t="s">
        <v>71</v>
      </c>
      <c r="G648">
        <v>21</v>
      </c>
      <c r="H648">
        <v>294</v>
      </c>
      <c r="I648" t="s">
        <v>15</v>
      </c>
    </row>
    <row r="649" spans="1:10">
      <c r="A649" t="s">
        <v>1326</v>
      </c>
      <c r="B649" t="s">
        <v>1327</v>
      </c>
      <c r="C649">
        <v>1152</v>
      </c>
      <c r="D649" t="s">
        <v>47</v>
      </c>
      <c r="E649" t="s">
        <v>13</v>
      </c>
      <c r="F649" t="s">
        <v>14</v>
      </c>
      <c r="G649">
        <v>3</v>
      </c>
      <c r="H649">
        <v>356</v>
      </c>
      <c r="I649" t="s">
        <v>15</v>
      </c>
    </row>
    <row r="650" spans="1:10">
      <c r="A650" t="s">
        <v>1328</v>
      </c>
      <c r="B650" t="s">
        <v>1329</v>
      </c>
      <c r="C650">
        <v>1591</v>
      </c>
      <c r="D650" t="s">
        <v>12</v>
      </c>
      <c r="E650" t="s">
        <v>19</v>
      </c>
      <c r="F650" t="s">
        <v>43</v>
      </c>
      <c r="G650">
        <v>25</v>
      </c>
      <c r="H650">
        <v>1229</v>
      </c>
      <c r="I650" t="s">
        <v>15</v>
      </c>
    </row>
    <row r="651" spans="1:10">
      <c r="A651" t="s">
        <v>1330</v>
      </c>
      <c r="B651" t="s">
        <v>1331</v>
      </c>
      <c r="C651">
        <v>1547</v>
      </c>
      <c r="D651" t="s">
        <v>26</v>
      </c>
      <c r="E651" t="s">
        <v>33</v>
      </c>
      <c r="F651" t="s">
        <v>43</v>
      </c>
      <c r="G651">
        <v>218</v>
      </c>
      <c r="H651">
        <v>8434</v>
      </c>
      <c r="I651" t="s">
        <v>15</v>
      </c>
      <c r="J651">
        <v>5</v>
      </c>
    </row>
    <row r="652" spans="1:10">
      <c r="A652" t="s">
        <v>1332</v>
      </c>
      <c r="B652" t="s">
        <v>1333</v>
      </c>
      <c r="C652">
        <v>1212</v>
      </c>
      <c r="D652" t="s">
        <v>32</v>
      </c>
      <c r="E652" t="s">
        <v>19</v>
      </c>
      <c r="F652" t="s">
        <v>43</v>
      </c>
      <c r="G652">
        <v>46</v>
      </c>
      <c r="H652">
        <v>1224</v>
      </c>
      <c r="I652" t="s">
        <v>15</v>
      </c>
    </row>
    <row r="653" spans="1:10">
      <c r="A653" t="s">
        <v>1334</v>
      </c>
      <c r="B653" t="s">
        <v>1335</v>
      </c>
      <c r="C653">
        <v>1843</v>
      </c>
      <c r="D653" t="s">
        <v>18</v>
      </c>
      <c r="E653" t="s">
        <v>33</v>
      </c>
      <c r="F653" t="s">
        <v>64</v>
      </c>
      <c r="G653">
        <v>235</v>
      </c>
      <c r="I653" t="s">
        <v>29</v>
      </c>
    </row>
    <row r="654" spans="1:10">
      <c r="A654" t="s">
        <v>1336</v>
      </c>
      <c r="B654" t="s">
        <v>1337</v>
      </c>
      <c r="C654">
        <v>1170</v>
      </c>
      <c r="D654" t="s">
        <v>26</v>
      </c>
      <c r="E654" t="s">
        <v>27</v>
      </c>
      <c r="F654" t="s">
        <v>71</v>
      </c>
      <c r="G654">
        <v>110</v>
      </c>
      <c r="H654">
        <v>2815</v>
      </c>
      <c r="I654" t="s">
        <v>20</v>
      </c>
      <c r="J654">
        <v>4</v>
      </c>
    </row>
    <row r="655" spans="1:10">
      <c r="A655" t="s">
        <v>1338</v>
      </c>
      <c r="B655" t="s">
        <v>1339</v>
      </c>
      <c r="C655">
        <v>1378</v>
      </c>
      <c r="D655" t="s">
        <v>18</v>
      </c>
      <c r="E655" t="s">
        <v>13</v>
      </c>
      <c r="F655" t="s">
        <v>43</v>
      </c>
      <c r="G655">
        <v>2</v>
      </c>
      <c r="H655">
        <v>383</v>
      </c>
      <c r="I655" t="s">
        <v>15</v>
      </c>
      <c r="J655">
        <v>3</v>
      </c>
    </row>
    <row r="656" spans="1:10">
      <c r="A656" t="s">
        <v>1340</v>
      </c>
      <c r="B656" t="s">
        <v>1341</v>
      </c>
      <c r="C656">
        <v>1504</v>
      </c>
      <c r="D656" t="s">
        <v>26</v>
      </c>
      <c r="E656" t="s">
        <v>27</v>
      </c>
      <c r="F656" t="s">
        <v>34</v>
      </c>
      <c r="G656">
        <v>99</v>
      </c>
      <c r="H656">
        <v>1790</v>
      </c>
      <c r="I656" t="s">
        <v>15</v>
      </c>
    </row>
    <row r="657" spans="1:10">
      <c r="A657" t="s">
        <v>1342</v>
      </c>
      <c r="B657" t="s">
        <v>1343</v>
      </c>
      <c r="C657">
        <v>1888</v>
      </c>
      <c r="D657" t="s">
        <v>47</v>
      </c>
      <c r="E657" t="s">
        <v>27</v>
      </c>
      <c r="F657" t="s">
        <v>64</v>
      </c>
      <c r="G657">
        <v>92</v>
      </c>
      <c r="H657">
        <v>1594</v>
      </c>
      <c r="I657" t="s">
        <v>15</v>
      </c>
    </row>
    <row r="658" spans="1:10">
      <c r="A658" t="s">
        <v>1344</v>
      </c>
      <c r="B658" t="s">
        <v>1345</v>
      </c>
      <c r="C658">
        <v>1751</v>
      </c>
      <c r="D658" t="s">
        <v>32</v>
      </c>
      <c r="E658" t="s">
        <v>13</v>
      </c>
      <c r="F658" t="s">
        <v>23</v>
      </c>
      <c r="G658">
        <v>12</v>
      </c>
      <c r="H658">
        <v>315</v>
      </c>
      <c r="I658" t="s">
        <v>20</v>
      </c>
    </row>
    <row r="659" spans="1:10">
      <c r="A659" t="s">
        <v>1346</v>
      </c>
      <c r="B659" t="s">
        <v>1347</v>
      </c>
      <c r="C659">
        <v>1979</v>
      </c>
      <c r="D659" t="s">
        <v>18</v>
      </c>
      <c r="E659" t="s">
        <v>33</v>
      </c>
      <c r="F659" t="s">
        <v>43</v>
      </c>
      <c r="G659">
        <v>141</v>
      </c>
      <c r="I659" t="s">
        <v>29</v>
      </c>
    </row>
    <row r="660" spans="1:10">
      <c r="A660" t="s">
        <v>1348</v>
      </c>
      <c r="B660" t="s">
        <v>1349</v>
      </c>
      <c r="C660">
        <v>1432</v>
      </c>
      <c r="D660" t="s">
        <v>32</v>
      </c>
      <c r="E660" t="s">
        <v>19</v>
      </c>
      <c r="F660" t="s">
        <v>54</v>
      </c>
      <c r="G660">
        <v>27</v>
      </c>
      <c r="H660">
        <v>1123</v>
      </c>
      <c r="I660" t="s">
        <v>20</v>
      </c>
      <c r="J660">
        <v>4</v>
      </c>
    </row>
    <row r="661" spans="1:10">
      <c r="A661" t="s">
        <v>1350</v>
      </c>
      <c r="B661" t="s">
        <v>1351</v>
      </c>
      <c r="C661">
        <v>1200</v>
      </c>
      <c r="D661" t="s">
        <v>26</v>
      </c>
      <c r="E661" t="s">
        <v>19</v>
      </c>
      <c r="F661" t="s">
        <v>54</v>
      </c>
      <c r="G661">
        <v>39</v>
      </c>
      <c r="H661">
        <v>839</v>
      </c>
      <c r="I661" t="s">
        <v>20</v>
      </c>
      <c r="J661">
        <v>5</v>
      </c>
    </row>
    <row r="662" spans="1:10">
      <c r="A662" t="s">
        <v>1352</v>
      </c>
      <c r="B662" t="s">
        <v>1353</v>
      </c>
      <c r="C662">
        <v>1284</v>
      </c>
      <c r="D662" t="s">
        <v>47</v>
      </c>
      <c r="E662" t="s">
        <v>27</v>
      </c>
      <c r="F662" t="s">
        <v>28</v>
      </c>
      <c r="G662">
        <v>40</v>
      </c>
      <c r="H662">
        <v>2909</v>
      </c>
      <c r="I662" t="s">
        <v>15</v>
      </c>
    </row>
    <row r="663" spans="1:10">
      <c r="A663" t="s">
        <v>1354</v>
      </c>
      <c r="B663" t="s">
        <v>1355</v>
      </c>
      <c r="C663">
        <v>1838</v>
      </c>
      <c r="D663" t="s">
        <v>12</v>
      </c>
      <c r="E663" t="s">
        <v>13</v>
      </c>
      <c r="F663" t="s">
        <v>54</v>
      </c>
      <c r="G663">
        <v>11</v>
      </c>
      <c r="H663">
        <v>419</v>
      </c>
      <c r="I663" t="s">
        <v>15</v>
      </c>
      <c r="J663">
        <v>1</v>
      </c>
    </row>
    <row r="664" spans="1:10">
      <c r="A664" t="s">
        <v>1356</v>
      </c>
      <c r="B664" t="s">
        <v>1357</v>
      </c>
      <c r="C664">
        <v>1542</v>
      </c>
      <c r="D664" t="s">
        <v>12</v>
      </c>
      <c r="E664" t="s">
        <v>19</v>
      </c>
      <c r="F664" t="s">
        <v>59</v>
      </c>
      <c r="G664">
        <v>33</v>
      </c>
      <c r="H664">
        <v>506</v>
      </c>
      <c r="I664" t="s">
        <v>15</v>
      </c>
      <c r="J664">
        <v>4</v>
      </c>
    </row>
    <row r="665" spans="1:10">
      <c r="A665" t="s">
        <v>1358</v>
      </c>
      <c r="B665" t="s">
        <v>1359</v>
      </c>
      <c r="C665">
        <v>1010</v>
      </c>
      <c r="D665" t="s">
        <v>32</v>
      </c>
      <c r="E665" t="s">
        <v>27</v>
      </c>
      <c r="F665" t="s">
        <v>71</v>
      </c>
      <c r="G665">
        <v>97</v>
      </c>
      <c r="H665">
        <v>1607</v>
      </c>
      <c r="I665" t="s">
        <v>15</v>
      </c>
      <c r="J665">
        <v>4</v>
      </c>
    </row>
    <row r="666" spans="1:10">
      <c r="A666" t="s">
        <v>1360</v>
      </c>
      <c r="B666" t="s">
        <v>1361</v>
      </c>
      <c r="C666">
        <v>1014</v>
      </c>
      <c r="D666" t="s">
        <v>26</v>
      </c>
      <c r="E666" t="s">
        <v>33</v>
      </c>
      <c r="F666" t="s">
        <v>14</v>
      </c>
      <c r="G666">
        <v>398</v>
      </c>
      <c r="H666">
        <v>8694</v>
      </c>
      <c r="I666" t="s">
        <v>15</v>
      </c>
    </row>
    <row r="667" spans="1:10">
      <c r="A667" t="s">
        <v>1362</v>
      </c>
      <c r="B667" t="s">
        <v>1363</v>
      </c>
      <c r="C667">
        <v>1697</v>
      </c>
      <c r="D667" t="s">
        <v>32</v>
      </c>
      <c r="E667" t="s">
        <v>13</v>
      </c>
      <c r="F667" t="s">
        <v>59</v>
      </c>
      <c r="G667">
        <v>2</v>
      </c>
      <c r="H667">
        <v>288</v>
      </c>
      <c r="I667" t="s">
        <v>20</v>
      </c>
    </row>
    <row r="668" spans="1:10">
      <c r="A668" t="s">
        <v>1364</v>
      </c>
      <c r="B668" t="s">
        <v>1365</v>
      </c>
      <c r="C668">
        <v>1258</v>
      </c>
      <c r="D668" t="s">
        <v>47</v>
      </c>
      <c r="E668" t="s">
        <v>27</v>
      </c>
      <c r="F668" t="s">
        <v>71</v>
      </c>
      <c r="G668">
        <v>82</v>
      </c>
      <c r="I668" t="s">
        <v>44</v>
      </c>
    </row>
    <row r="669" spans="1:10">
      <c r="A669" t="s">
        <v>1366</v>
      </c>
      <c r="B669" t="s">
        <v>1367</v>
      </c>
      <c r="C669">
        <v>1314</v>
      </c>
      <c r="D669" t="s">
        <v>18</v>
      </c>
      <c r="E669" t="s">
        <v>13</v>
      </c>
      <c r="F669" t="s">
        <v>64</v>
      </c>
      <c r="G669">
        <v>10</v>
      </c>
      <c r="H669">
        <v>332</v>
      </c>
      <c r="I669" t="s">
        <v>15</v>
      </c>
      <c r="J669">
        <v>1</v>
      </c>
    </row>
    <row r="670" spans="1:10">
      <c r="A670" t="s">
        <v>1368</v>
      </c>
      <c r="B670" t="s">
        <v>1369</v>
      </c>
      <c r="C670">
        <v>1546</v>
      </c>
      <c r="D670" t="s">
        <v>12</v>
      </c>
      <c r="E670" t="s">
        <v>19</v>
      </c>
      <c r="F670" t="s">
        <v>28</v>
      </c>
      <c r="G670">
        <v>17</v>
      </c>
      <c r="H670">
        <v>965</v>
      </c>
      <c r="I670" t="s">
        <v>20</v>
      </c>
      <c r="J670">
        <v>1</v>
      </c>
    </row>
    <row r="671" spans="1:10">
      <c r="A671" t="s">
        <v>1370</v>
      </c>
      <c r="B671" t="s">
        <v>1371</v>
      </c>
      <c r="C671">
        <v>1760</v>
      </c>
      <c r="D671" t="s">
        <v>12</v>
      </c>
      <c r="E671" t="s">
        <v>33</v>
      </c>
      <c r="F671" t="s">
        <v>43</v>
      </c>
      <c r="G671">
        <v>353</v>
      </c>
      <c r="H671">
        <v>5865</v>
      </c>
      <c r="I671" t="s">
        <v>20</v>
      </c>
      <c r="J671">
        <v>5</v>
      </c>
    </row>
    <row r="672" spans="1:10">
      <c r="A672" t="s">
        <v>1372</v>
      </c>
      <c r="B672" t="s">
        <v>1373</v>
      </c>
      <c r="C672">
        <v>1788</v>
      </c>
      <c r="D672" t="s">
        <v>32</v>
      </c>
      <c r="E672" t="s">
        <v>27</v>
      </c>
      <c r="F672" t="s">
        <v>54</v>
      </c>
      <c r="G672">
        <v>101</v>
      </c>
      <c r="H672">
        <v>1569</v>
      </c>
      <c r="I672" t="s">
        <v>15</v>
      </c>
    </row>
    <row r="673" spans="1:10">
      <c r="A673" t="s">
        <v>1374</v>
      </c>
      <c r="B673" t="s">
        <v>1375</v>
      </c>
      <c r="C673">
        <v>1671</v>
      </c>
      <c r="D673" t="s">
        <v>47</v>
      </c>
      <c r="E673" t="s">
        <v>27</v>
      </c>
      <c r="F673" t="s">
        <v>28</v>
      </c>
      <c r="G673">
        <v>177</v>
      </c>
      <c r="H673">
        <v>602</v>
      </c>
      <c r="I673" t="s">
        <v>20</v>
      </c>
      <c r="J673">
        <v>1</v>
      </c>
    </row>
    <row r="674" spans="1:10">
      <c r="A674" t="s">
        <v>1376</v>
      </c>
      <c r="B674" t="s">
        <v>1377</v>
      </c>
      <c r="C674">
        <v>1431</v>
      </c>
      <c r="D674" t="s">
        <v>32</v>
      </c>
      <c r="E674" t="s">
        <v>33</v>
      </c>
      <c r="F674" t="s">
        <v>34</v>
      </c>
      <c r="G674">
        <v>242</v>
      </c>
      <c r="H674">
        <v>4345</v>
      </c>
      <c r="I674" t="s">
        <v>20</v>
      </c>
    </row>
    <row r="675" spans="1:10">
      <c r="A675" t="s">
        <v>1378</v>
      </c>
      <c r="B675" t="s">
        <v>1379</v>
      </c>
      <c r="C675">
        <v>1367</v>
      </c>
      <c r="D675" t="s">
        <v>26</v>
      </c>
      <c r="E675" t="s">
        <v>19</v>
      </c>
      <c r="F675" t="s">
        <v>14</v>
      </c>
      <c r="G675">
        <v>11</v>
      </c>
      <c r="H675">
        <v>861</v>
      </c>
      <c r="I675" t="s">
        <v>15</v>
      </c>
      <c r="J675">
        <v>1</v>
      </c>
    </row>
    <row r="676" spans="1:10">
      <c r="A676" t="s">
        <v>1380</v>
      </c>
      <c r="B676" t="s">
        <v>1381</v>
      </c>
      <c r="C676">
        <v>1481</v>
      </c>
      <c r="D676" t="s">
        <v>32</v>
      </c>
      <c r="E676" t="s">
        <v>13</v>
      </c>
      <c r="F676" t="s">
        <v>43</v>
      </c>
      <c r="G676">
        <v>4</v>
      </c>
      <c r="H676">
        <v>418</v>
      </c>
      <c r="I676" t="s">
        <v>15</v>
      </c>
    </row>
    <row r="677" spans="1:10">
      <c r="A677" t="s">
        <v>1382</v>
      </c>
      <c r="B677" t="s">
        <v>1383</v>
      </c>
      <c r="C677">
        <v>1699</v>
      </c>
      <c r="D677" t="s">
        <v>12</v>
      </c>
      <c r="E677" t="s">
        <v>27</v>
      </c>
      <c r="F677" t="s">
        <v>14</v>
      </c>
      <c r="G677">
        <v>157</v>
      </c>
      <c r="H677">
        <v>744</v>
      </c>
      <c r="I677" t="s">
        <v>15</v>
      </c>
      <c r="J677">
        <v>2</v>
      </c>
    </row>
    <row r="678" spans="1:10">
      <c r="A678" t="s">
        <v>1384</v>
      </c>
      <c r="B678" t="s">
        <v>1385</v>
      </c>
      <c r="C678">
        <v>1351</v>
      </c>
      <c r="D678" t="s">
        <v>26</v>
      </c>
      <c r="E678" t="s">
        <v>33</v>
      </c>
      <c r="F678" t="s">
        <v>43</v>
      </c>
      <c r="G678">
        <v>295</v>
      </c>
      <c r="H678">
        <v>3830</v>
      </c>
      <c r="I678" t="s">
        <v>15</v>
      </c>
      <c r="J678">
        <v>5</v>
      </c>
    </row>
    <row r="679" spans="1:10">
      <c r="A679" t="s">
        <v>1386</v>
      </c>
      <c r="B679" t="s">
        <v>1387</v>
      </c>
      <c r="C679">
        <v>1578</v>
      </c>
      <c r="D679" t="s">
        <v>18</v>
      </c>
      <c r="E679" t="s">
        <v>27</v>
      </c>
      <c r="F679" t="s">
        <v>64</v>
      </c>
      <c r="G679">
        <v>143</v>
      </c>
      <c r="H679">
        <v>3208</v>
      </c>
      <c r="I679" t="s">
        <v>20</v>
      </c>
      <c r="J679">
        <v>5</v>
      </c>
    </row>
    <row r="680" spans="1:10">
      <c r="A680" t="s">
        <v>1388</v>
      </c>
      <c r="B680" t="s">
        <v>1389</v>
      </c>
      <c r="C680">
        <v>1749</v>
      </c>
      <c r="D680" t="s">
        <v>18</v>
      </c>
      <c r="E680" t="s">
        <v>27</v>
      </c>
      <c r="F680" t="s">
        <v>34</v>
      </c>
      <c r="G680">
        <v>96</v>
      </c>
      <c r="H680">
        <v>2118</v>
      </c>
      <c r="I680" t="s">
        <v>15</v>
      </c>
      <c r="J680">
        <v>2</v>
      </c>
    </row>
    <row r="681" spans="1:10">
      <c r="A681" t="s">
        <v>1390</v>
      </c>
      <c r="B681" t="s">
        <v>1391</v>
      </c>
      <c r="C681">
        <v>1062</v>
      </c>
      <c r="D681" t="s">
        <v>26</v>
      </c>
      <c r="E681" t="s">
        <v>27</v>
      </c>
      <c r="F681" t="s">
        <v>71</v>
      </c>
      <c r="G681">
        <v>124</v>
      </c>
      <c r="H681">
        <v>1281</v>
      </c>
      <c r="I681" t="s">
        <v>15</v>
      </c>
    </row>
    <row r="682" spans="1:10">
      <c r="A682" t="s">
        <v>1392</v>
      </c>
      <c r="B682" t="s">
        <v>1393</v>
      </c>
      <c r="C682">
        <v>1379</v>
      </c>
      <c r="D682" t="s">
        <v>12</v>
      </c>
      <c r="E682" t="s">
        <v>27</v>
      </c>
      <c r="F682" t="s">
        <v>54</v>
      </c>
      <c r="G682">
        <v>166</v>
      </c>
      <c r="I682" t="s">
        <v>29</v>
      </c>
    </row>
    <row r="683" spans="1:10">
      <c r="A683" t="s">
        <v>1394</v>
      </c>
      <c r="B683" t="s">
        <v>1395</v>
      </c>
      <c r="C683">
        <v>1889</v>
      </c>
      <c r="D683" t="s">
        <v>18</v>
      </c>
      <c r="E683" t="s">
        <v>27</v>
      </c>
      <c r="F683" t="s">
        <v>43</v>
      </c>
      <c r="G683">
        <v>83</v>
      </c>
      <c r="H683">
        <v>792</v>
      </c>
      <c r="I683" t="s">
        <v>20</v>
      </c>
      <c r="J683">
        <v>2</v>
      </c>
    </row>
    <row r="684" spans="1:10">
      <c r="A684" t="s">
        <v>1396</v>
      </c>
      <c r="B684" t="s">
        <v>1397</v>
      </c>
      <c r="C684">
        <v>1089</v>
      </c>
      <c r="D684" t="s">
        <v>18</v>
      </c>
      <c r="E684" t="s">
        <v>13</v>
      </c>
      <c r="F684" t="s">
        <v>43</v>
      </c>
      <c r="G684">
        <v>8</v>
      </c>
      <c r="H684">
        <v>303</v>
      </c>
      <c r="I684" t="s">
        <v>15</v>
      </c>
    </row>
    <row r="685" spans="1:10">
      <c r="A685" t="s">
        <v>1398</v>
      </c>
      <c r="B685" t="s">
        <v>1399</v>
      </c>
      <c r="C685">
        <v>1218</v>
      </c>
      <c r="D685" t="s">
        <v>26</v>
      </c>
      <c r="E685" t="s">
        <v>27</v>
      </c>
      <c r="F685" t="s">
        <v>71</v>
      </c>
      <c r="G685">
        <v>124</v>
      </c>
      <c r="H685">
        <v>838</v>
      </c>
      <c r="I685" t="s">
        <v>15</v>
      </c>
    </row>
    <row r="686" spans="1:10">
      <c r="A686" t="s">
        <v>1400</v>
      </c>
      <c r="B686" t="s">
        <v>1401</v>
      </c>
      <c r="C686">
        <v>1792</v>
      </c>
      <c r="D686" t="s">
        <v>12</v>
      </c>
      <c r="E686" t="s">
        <v>33</v>
      </c>
      <c r="F686" t="s">
        <v>43</v>
      </c>
      <c r="G686">
        <v>349</v>
      </c>
      <c r="H686">
        <v>1431</v>
      </c>
      <c r="I686" t="s">
        <v>20</v>
      </c>
      <c r="J686">
        <v>5</v>
      </c>
    </row>
    <row r="687" spans="1:10">
      <c r="A687" t="s">
        <v>1402</v>
      </c>
      <c r="B687" t="s">
        <v>1403</v>
      </c>
      <c r="C687">
        <v>1988</v>
      </c>
      <c r="D687" t="s">
        <v>26</v>
      </c>
      <c r="E687" t="s">
        <v>27</v>
      </c>
      <c r="F687" t="s">
        <v>23</v>
      </c>
      <c r="G687">
        <v>46</v>
      </c>
      <c r="H687">
        <v>3363</v>
      </c>
      <c r="I687" t="s">
        <v>20</v>
      </c>
    </row>
    <row r="688" spans="1:10">
      <c r="A688" t="s">
        <v>1404</v>
      </c>
      <c r="B688" t="s">
        <v>1405</v>
      </c>
      <c r="C688">
        <v>1909</v>
      </c>
      <c r="D688" t="s">
        <v>18</v>
      </c>
      <c r="E688" t="s">
        <v>19</v>
      </c>
      <c r="F688" t="s">
        <v>54</v>
      </c>
      <c r="G688">
        <v>12</v>
      </c>
      <c r="H688">
        <v>819</v>
      </c>
      <c r="I688" t="s">
        <v>15</v>
      </c>
      <c r="J688">
        <v>3</v>
      </c>
    </row>
    <row r="689" spans="1:10">
      <c r="A689" t="s">
        <v>1406</v>
      </c>
      <c r="B689" t="s">
        <v>1407</v>
      </c>
      <c r="C689">
        <v>1730</v>
      </c>
      <c r="D689" t="s">
        <v>26</v>
      </c>
      <c r="E689" t="s">
        <v>27</v>
      </c>
      <c r="F689" t="s">
        <v>14</v>
      </c>
      <c r="G689">
        <v>71</v>
      </c>
      <c r="H689">
        <v>1019</v>
      </c>
      <c r="I689" t="s">
        <v>15</v>
      </c>
    </row>
    <row r="690" spans="1:10">
      <c r="A690" t="s">
        <v>1408</v>
      </c>
      <c r="B690" t="s">
        <v>1409</v>
      </c>
      <c r="C690">
        <v>1630</v>
      </c>
      <c r="D690" t="s">
        <v>47</v>
      </c>
      <c r="E690" t="s">
        <v>27</v>
      </c>
      <c r="F690" t="s">
        <v>71</v>
      </c>
      <c r="G690">
        <v>69</v>
      </c>
      <c r="H690">
        <v>808</v>
      </c>
      <c r="I690" t="s">
        <v>15</v>
      </c>
    </row>
    <row r="691" spans="1:10">
      <c r="A691" t="s">
        <v>1410</v>
      </c>
      <c r="B691" t="s">
        <v>1411</v>
      </c>
      <c r="C691">
        <v>1287</v>
      </c>
      <c r="D691" t="s">
        <v>12</v>
      </c>
      <c r="E691" t="s">
        <v>13</v>
      </c>
      <c r="F691" t="s">
        <v>59</v>
      </c>
      <c r="G691">
        <v>9</v>
      </c>
      <c r="H691">
        <v>341</v>
      </c>
      <c r="I691" t="s">
        <v>20</v>
      </c>
    </row>
    <row r="692" spans="1:10">
      <c r="A692" t="s">
        <v>1412</v>
      </c>
      <c r="B692" t="s">
        <v>1413</v>
      </c>
      <c r="C692">
        <v>1129</v>
      </c>
      <c r="D692" t="s">
        <v>26</v>
      </c>
      <c r="E692" t="s">
        <v>27</v>
      </c>
      <c r="F692" t="s">
        <v>23</v>
      </c>
      <c r="G692">
        <v>83</v>
      </c>
      <c r="H692">
        <v>1990</v>
      </c>
      <c r="I692" t="s">
        <v>15</v>
      </c>
    </row>
    <row r="693" spans="1:10">
      <c r="A693" t="s">
        <v>1414</v>
      </c>
      <c r="B693" t="s">
        <v>1415</v>
      </c>
      <c r="C693">
        <v>1320</v>
      </c>
      <c r="D693" t="s">
        <v>26</v>
      </c>
      <c r="E693" t="s">
        <v>33</v>
      </c>
      <c r="F693" t="s">
        <v>71</v>
      </c>
      <c r="G693">
        <v>223</v>
      </c>
      <c r="H693">
        <v>1663</v>
      </c>
      <c r="I693" t="s">
        <v>15</v>
      </c>
      <c r="J693">
        <v>3</v>
      </c>
    </row>
    <row r="694" spans="1:10">
      <c r="A694" t="s">
        <v>1416</v>
      </c>
      <c r="B694" t="s">
        <v>1417</v>
      </c>
      <c r="C694">
        <v>1082</v>
      </c>
      <c r="D694" t="s">
        <v>32</v>
      </c>
      <c r="E694" t="s">
        <v>27</v>
      </c>
      <c r="F694" t="s">
        <v>28</v>
      </c>
      <c r="G694">
        <v>123</v>
      </c>
      <c r="H694">
        <v>978</v>
      </c>
      <c r="I694" t="s">
        <v>15</v>
      </c>
      <c r="J694">
        <v>2</v>
      </c>
    </row>
    <row r="695" spans="1:10">
      <c r="A695" t="s">
        <v>1418</v>
      </c>
      <c r="B695" t="s">
        <v>1419</v>
      </c>
      <c r="C695">
        <v>1972</v>
      </c>
      <c r="D695" t="s">
        <v>47</v>
      </c>
      <c r="E695" t="s">
        <v>27</v>
      </c>
      <c r="F695" t="s">
        <v>71</v>
      </c>
      <c r="G695">
        <v>36</v>
      </c>
      <c r="H695">
        <v>3035</v>
      </c>
      <c r="I695" t="s">
        <v>15</v>
      </c>
      <c r="J695">
        <v>4</v>
      </c>
    </row>
    <row r="696" spans="1:10">
      <c r="A696" t="s">
        <v>1420</v>
      </c>
      <c r="B696" t="s">
        <v>1421</v>
      </c>
      <c r="C696">
        <v>1350</v>
      </c>
      <c r="D696" t="s">
        <v>32</v>
      </c>
      <c r="E696" t="s">
        <v>19</v>
      </c>
      <c r="F696" t="s">
        <v>54</v>
      </c>
      <c r="G696">
        <v>22</v>
      </c>
      <c r="H696">
        <v>952</v>
      </c>
      <c r="I696" t="s">
        <v>15</v>
      </c>
      <c r="J696">
        <v>1</v>
      </c>
    </row>
    <row r="697" spans="1:10">
      <c r="A697" t="s">
        <v>1422</v>
      </c>
      <c r="B697" t="s">
        <v>1423</v>
      </c>
      <c r="C697">
        <v>1591</v>
      </c>
      <c r="D697" t="s">
        <v>18</v>
      </c>
      <c r="E697" t="s">
        <v>27</v>
      </c>
      <c r="F697" t="s">
        <v>71</v>
      </c>
      <c r="G697">
        <v>71</v>
      </c>
      <c r="H697">
        <v>2418</v>
      </c>
      <c r="I697" t="s">
        <v>15</v>
      </c>
      <c r="J697">
        <v>1</v>
      </c>
    </row>
    <row r="698" spans="1:10">
      <c r="A698" t="s">
        <v>1424</v>
      </c>
      <c r="B698" t="s">
        <v>1425</v>
      </c>
      <c r="C698">
        <v>1268</v>
      </c>
      <c r="D698" t="s">
        <v>12</v>
      </c>
      <c r="E698" t="s">
        <v>27</v>
      </c>
      <c r="F698" t="s">
        <v>64</v>
      </c>
      <c r="G698">
        <v>148</v>
      </c>
      <c r="H698">
        <v>3115</v>
      </c>
      <c r="I698" t="s">
        <v>15</v>
      </c>
      <c r="J698">
        <v>4</v>
      </c>
    </row>
    <row r="699" spans="1:10">
      <c r="A699" t="s">
        <v>1426</v>
      </c>
      <c r="B699" t="s">
        <v>1427</v>
      </c>
      <c r="C699">
        <v>1510</v>
      </c>
      <c r="D699" t="s">
        <v>26</v>
      </c>
      <c r="E699" t="s">
        <v>27</v>
      </c>
      <c r="F699" t="s">
        <v>23</v>
      </c>
      <c r="G699">
        <v>42</v>
      </c>
      <c r="H699">
        <v>2853</v>
      </c>
      <c r="I699" t="s">
        <v>15</v>
      </c>
      <c r="J699">
        <v>2</v>
      </c>
    </row>
    <row r="700" spans="1:10">
      <c r="A700" t="s">
        <v>1428</v>
      </c>
      <c r="B700" t="s">
        <v>1429</v>
      </c>
      <c r="C700">
        <v>1294</v>
      </c>
      <c r="D700" t="s">
        <v>47</v>
      </c>
      <c r="E700" t="s">
        <v>33</v>
      </c>
      <c r="F700" t="s">
        <v>64</v>
      </c>
      <c r="G700">
        <v>290</v>
      </c>
      <c r="I700" t="s">
        <v>29</v>
      </c>
    </row>
    <row r="701" spans="1:10">
      <c r="A701" t="s">
        <v>1430</v>
      </c>
      <c r="B701" t="s">
        <v>1431</v>
      </c>
      <c r="C701">
        <v>1780</v>
      </c>
      <c r="D701" t="s">
        <v>18</v>
      </c>
      <c r="E701" t="s">
        <v>27</v>
      </c>
      <c r="F701" t="s">
        <v>34</v>
      </c>
      <c r="G701">
        <v>165</v>
      </c>
      <c r="H701">
        <v>1094</v>
      </c>
      <c r="I701" t="s">
        <v>15</v>
      </c>
      <c r="J701">
        <v>3</v>
      </c>
    </row>
    <row r="702" spans="1:10">
      <c r="A702" t="s">
        <v>1432</v>
      </c>
      <c r="B702" t="s">
        <v>1433</v>
      </c>
      <c r="C702">
        <v>1977</v>
      </c>
      <c r="D702" t="s">
        <v>18</v>
      </c>
      <c r="E702" t="s">
        <v>27</v>
      </c>
      <c r="F702" t="s">
        <v>28</v>
      </c>
      <c r="G702">
        <v>118</v>
      </c>
      <c r="H702">
        <v>3299</v>
      </c>
      <c r="I702" t="s">
        <v>15</v>
      </c>
      <c r="J702">
        <v>1</v>
      </c>
    </row>
    <row r="703" spans="1:10">
      <c r="A703" t="s">
        <v>1434</v>
      </c>
      <c r="B703" t="s">
        <v>1435</v>
      </c>
      <c r="C703">
        <v>1515</v>
      </c>
      <c r="D703" t="s">
        <v>47</v>
      </c>
      <c r="E703" t="s">
        <v>33</v>
      </c>
      <c r="F703" t="s">
        <v>43</v>
      </c>
      <c r="G703">
        <v>366</v>
      </c>
      <c r="H703">
        <v>3468</v>
      </c>
      <c r="I703" t="s">
        <v>15</v>
      </c>
      <c r="J703">
        <v>2</v>
      </c>
    </row>
    <row r="704" spans="1:10">
      <c r="A704" t="s">
        <v>1436</v>
      </c>
      <c r="B704" t="s">
        <v>1437</v>
      </c>
      <c r="C704">
        <v>1668</v>
      </c>
      <c r="D704" t="s">
        <v>47</v>
      </c>
      <c r="E704" t="s">
        <v>19</v>
      </c>
      <c r="F704" t="s">
        <v>54</v>
      </c>
      <c r="G704">
        <v>45</v>
      </c>
      <c r="H704">
        <v>605</v>
      </c>
      <c r="I704" t="s">
        <v>15</v>
      </c>
      <c r="J704">
        <v>3</v>
      </c>
    </row>
    <row r="705" spans="1:10">
      <c r="A705" t="s">
        <v>1438</v>
      </c>
      <c r="B705" t="s">
        <v>1439</v>
      </c>
      <c r="C705">
        <v>1128</v>
      </c>
      <c r="D705" t="s">
        <v>26</v>
      </c>
      <c r="E705" t="s">
        <v>27</v>
      </c>
      <c r="F705" t="s">
        <v>43</v>
      </c>
      <c r="G705">
        <v>75</v>
      </c>
      <c r="H705">
        <v>492</v>
      </c>
      <c r="I705" t="s">
        <v>20</v>
      </c>
    </row>
    <row r="706" spans="1:10">
      <c r="A706" t="s">
        <v>1440</v>
      </c>
      <c r="B706" t="s">
        <v>1441</v>
      </c>
      <c r="C706">
        <v>1201</v>
      </c>
      <c r="D706" t="s">
        <v>26</v>
      </c>
      <c r="E706" t="s">
        <v>33</v>
      </c>
      <c r="F706" t="s">
        <v>64</v>
      </c>
      <c r="G706">
        <v>134</v>
      </c>
      <c r="I706" t="s">
        <v>44</v>
      </c>
    </row>
    <row r="707" spans="1:10">
      <c r="A707" t="s">
        <v>1442</v>
      </c>
      <c r="B707" t="s">
        <v>1443</v>
      </c>
      <c r="C707">
        <v>1369</v>
      </c>
      <c r="D707" t="s">
        <v>47</v>
      </c>
      <c r="E707" t="s">
        <v>27</v>
      </c>
      <c r="F707" t="s">
        <v>23</v>
      </c>
      <c r="G707">
        <v>167</v>
      </c>
      <c r="H707">
        <v>2139</v>
      </c>
      <c r="I707" t="s">
        <v>15</v>
      </c>
      <c r="J707">
        <v>2</v>
      </c>
    </row>
    <row r="708" spans="1:10">
      <c r="A708" t="s">
        <v>1444</v>
      </c>
      <c r="B708" t="s">
        <v>1445</v>
      </c>
      <c r="C708">
        <v>1494</v>
      </c>
      <c r="D708" t="s">
        <v>12</v>
      </c>
      <c r="E708" t="s">
        <v>33</v>
      </c>
      <c r="F708" t="s">
        <v>23</v>
      </c>
      <c r="G708">
        <v>248</v>
      </c>
      <c r="H708">
        <v>5603</v>
      </c>
      <c r="I708" t="s">
        <v>15</v>
      </c>
    </row>
    <row r="709" spans="1:10">
      <c r="A709" t="s">
        <v>1446</v>
      </c>
      <c r="B709" t="s">
        <v>1447</v>
      </c>
      <c r="C709">
        <v>1920</v>
      </c>
      <c r="D709" t="s">
        <v>32</v>
      </c>
      <c r="E709" t="s">
        <v>13</v>
      </c>
      <c r="F709" t="s">
        <v>59</v>
      </c>
      <c r="G709">
        <v>2</v>
      </c>
      <c r="H709">
        <v>401</v>
      </c>
      <c r="I709" t="s">
        <v>15</v>
      </c>
      <c r="J709">
        <v>1</v>
      </c>
    </row>
    <row r="710" spans="1:10">
      <c r="A710" t="s">
        <v>1448</v>
      </c>
      <c r="B710" t="s">
        <v>1449</v>
      </c>
      <c r="C710">
        <v>1966</v>
      </c>
      <c r="D710" t="s">
        <v>18</v>
      </c>
      <c r="E710" t="s">
        <v>27</v>
      </c>
      <c r="F710" t="s">
        <v>54</v>
      </c>
      <c r="G710">
        <v>139</v>
      </c>
      <c r="H710">
        <v>3327</v>
      </c>
      <c r="I710" t="s">
        <v>20</v>
      </c>
      <c r="J710">
        <v>1</v>
      </c>
    </row>
    <row r="711" spans="1:10">
      <c r="A711" t="s">
        <v>1450</v>
      </c>
      <c r="B711" t="s">
        <v>1451</v>
      </c>
      <c r="C711">
        <v>1814</v>
      </c>
      <c r="D711" t="s">
        <v>32</v>
      </c>
      <c r="E711" t="s">
        <v>27</v>
      </c>
      <c r="F711" t="s">
        <v>64</v>
      </c>
      <c r="G711">
        <v>116</v>
      </c>
      <c r="H711">
        <v>2373</v>
      </c>
      <c r="I711" t="s">
        <v>15</v>
      </c>
      <c r="J711">
        <v>3</v>
      </c>
    </row>
    <row r="712" spans="1:10">
      <c r="A712" t="s">
        <v>1452</v>
      </c>
      <c r="B712" t="s">
        <v>1453</v>
      </c>
      <c r="C712">
        <v>1275</v>
      </c>
      <c r="D712" t="s">
        <v>18</v>
      </c>
      <c r="E712" t="s">
        <v>19</v>
      </c>
      <c r="F712" t="s">
        <v>71</v>
      </c>
      <c r="G712">
        <v>43</v>
      </c>
      <c r="H712">
        <v>1070</v>
      </c>
      <c r="I712" t="s">
        <v>20</v>
      </c>
      <c r="J712">
        <v>2</v>
      </c>
    </row>
    <row r="713" spans="1:10">
      <c r="A713" t="s">
        <v>1454</v>
      </c>
      <c r="B713" t="s">
        <v>1455</v>
      </c>
      <c r="C713">
        <v>1842</v>
      </c>
      <c r="D713" t="s">
        <v>26</v>
      </c>
      <c r="E713" t="s">
        <v>33</v>
      </c>
      <c r="F713" t="s">
        <v>54</v>
      </c>
      <c r="G713">
        <v>318</v>
      </c>
      <c r="I713" t="s">
        <v>29</v>
      </c>
    </row>
    <row r="714" spans="1:10">
      <c r="A714" t="s">
        <v>1456</v>
      </c>
      <c r="B714" t="s">
        <v>1457</v>
      </c>
      <c r="C714">
        <v>1247</v>
      </c>
      <c r="D714" t="s">
        <v>32</v>
      </c>
      <c r="E714" t="s">
        <v>27</v>
      </c>
      <c r="F714" t="s">
        <v>59</v>
      </c>
      <c r="G714">
        <v>109</v>
      </c>
      <c r="H714">
        <v>2862</v>
      </c>
      <c r="I714" t="s">
        <v>15</v>
      </c>
    </row>
    <row r="715" spans="1:10">
      <c r="A715" t="s">
        <v>1458</v>
      </c>
      <c r="B715" t="s">
        <v>1459</v>
      </c>
      <c r="C715">
        <v>1368</v>
      </c>
      <c r="D715" t="s">
        <v>18</v>
      </c>
      <c r="E715" t="s">
        <v>33</v>
      </c>
      <c r="F715" t="s">
        <v>43</v>
      </c>
      <c r="G715">
        <v>291</v>
      </c>
      <c r="H715">
        <v>4183</v>
      </c>
      <c r="I715" t="s">
        <v>20</v>
      </c>
    </row>
    <row r="716" spans="1:10">
      <c r="A716" t="s">
        <v>1460</v>
      </c>
      <c r="B716" t="s">
        <v>1461</v>
      </c>
      <c r="C716">
        <v>1660</v>
      </c>
      <c r="D716" t="s">
        <v>18</v>
      </c>
      <c r="E716" t="s">
        <v>27</v>
      </c>
      <c r="F716" t="s">
        <v>54</v>
      </c>
      <c r="G716">
        <v>42</v>
      </c>
      <c r="H716">
        <v>2589</v>
      </c>
      <c r="I716" t="s">
        <v>15</v>
      </c>
    </row>
    <row r="717" spans="1:10">
      <c r="A717" t="s">
        <v>1462</v>
      </c>
      <c r="B717" t="s">
        <v>1463</v>
      </c>
      <c r="C717">
        <v>1495</v>
      </c>
      <c r="D717" t="s">
        <v>32</v>
      </c>
      <c r="E717" t="s">
        <v>33</v>
      </c>
      <c r="F717" t="s">
        <v>34</v>
      </c>
      <c r="G717">
        <v>330</v>
      </c>
      <c r="H717">
        <v>5569</v>
      </c>
      <c r="I717" t="s">
        <v>15</v>
      </c>
      <c r="J717">
        <v>1</v>
      </c>
    </row>
    <row r="718" spans="1:10">
      <c r="A718" t="s">
        <v>1464</v>
      </c>
      <c r="B718" t="s">
        <v>1465</v>
      </c>
      <c r="C718">
        <v>1987</v>
      </c>
      <c r="D718" t="s">
        <v>26</v>
      </c>
      <c r="E718" t="s">
        <v>13</v>
      </c>
      <c r="F718" t="s">
        <v>59</v>
      </c>
      <c r="G718">
        <v>9</v>
      </c>
      <c r="I718" t="s">
        <v>29</v>
      </c>
    </row>
    <row r="719" spans="1:10">
      <c r="A719" t="s">
        <v>1466</v>
      </c>
      <c r="B719" t="s">
        <v>1467</v>
      </c>
      <c r="C719">
        <v>1199</v>
      </c>
      <c r="D719" t="s">
        <v>26</v>
      </c>
      <c r="E719" t="s">
        <v>19</v>
      </c>
      <c r="F719" t="s">
        <v>59</v>
      </c>
      <c r="G719">
        <v>42</v>
      </c>
      <c r="H719">
        <v>1097</v>
      </c>
      <c r="I719" t="s">
        <v>15</v>
      </c>
    </row>
    <row r="720" spans="1:10">
      <c r="A720" t="s">
        <v>1468</v>
      </c>
      <c r="B720" t="s">
        <v>1469</v>
      </c>
      <c r="C720">
        <v>1714</v>
      </c>
      <c r="D720" t="s">
        <v>47</v>
      </c>
      <c r="E720" t="s">
        <v>13</v>
      </c>
      <c r="F720" t="s">
        <v>14</v>
      </c>
      <c r="G720">
        <v>10</v>
      </c>
      <c r="H720">
        <v>353</v>
      </c>
      <c r="I720" t="s">
        <v>15</v>
      </c>
    </row>
    <row r="721" spans="1:10">
      <c r="A721" t="s">
        <v>1470</v>
      </c>
      <c r="B721" t="s">
        <v>1471</v>
      </c>
      <c r="C721">
        <v>1033</v>
      </c>
      <c r="D721" t="s">
        <v>32</v>
      </c>
      <c r="E721" t="s">
        <v>27</v>
      </c>
      <c r="F721" t="s">
        <v>34</v>
      </c>
      <c r="G721">
        <v>146</v>
      </c>
      <c r="I721" t="s">
        <v>29</v>
      </c>
    </row>
    <row r="722" spans="1:10">
      <c r="A722" t="s">
        <v>1472</v>
      </c>
      <c r="B722" t="s">
        <v>1473</v>
      </c>
      <c r="C722">
        <v>1062</v>
      </c>
      <c r="D722" t="s">
        <v>26</v>
      </c>
      <c r="E722" t="s">
        <v>27</v>
      </c>
      <c r="F722" t="s">
        <v>34</v>
      </c>
      <c r="G722">
        <v>76</v>
      </c>
      <c r="H722">
        <v>1285</v>
      </c>
      <c r="I722" t="s">
        <v>15</v>
      </c>
    </row>
    <row r="723" spans="1:10">
      <c r="A723" t="s">
        <v>1474</v>
      </c>
      <c r="B723" t="s">
        <v>1475</v>
      </c>
      <c r="C723">
        <v>1456</v>
      </c>
      <c r="D723" t="s">
        <v>47</v>
      </c>
      <c r="E723" t="s">
        <v>33</v>
      </c>
      <c r="F723" t="s">
        <v>54</v>
      </c>
      <c r="G723">
        <v>358</v>
      </c>
      <c r="H723">
        <v>1877</v>
      </c>
      <c r="I723" t="s">
        <v>15</v>
      </c>
    </row>
    <row r="724" spans="1:10">
      <c r="A724" t="s">
        <v>1476</v>
      </c>
      <c r="B724" t="s">
        <v>1477</v>
      </c>
      <c r="C724">
        <v>1600</v>
      </c>
      <c r="D724" t="s">
        <v>32</v>
      </c>
      <c r="E724" t="s">
        <v>33</v>
      </c>
      <c r="F724" t="s">
        <v>43</v>
      </c>
      <c r="G724">
        <v>238</v>
      </c>
      <c r="H724">
        <v>4425</v>
      </c>
      <c r="I724" t="s">
        <v>20</v>
      </c>
    </row>
    <row r="725" spans="1:10">
      <c r="A725" t="s">
        <v>1478</v>
      </c>
      <c r="B725" t="s">
        <v>1479</v>
      </c>
      <c r="C725">
        <v>1248</v>
      </c>
      <c r="D725" t="s">
        <v>12</v>
      </c>
      <c r="E725" t="s">
        <v>27</v>
      </c>
      <c r="F725" t="s">
        <v>43</v>
      </c>
      <c r="G725">
        <v>91</v>
      </c>
      <c r="H725">
        <v>889</v>
      </c>
      <c r="I725" t="s">
        <v>15</v>
      </c>
      <c r="J725">
        <v>5</v>
      </c>
    </row>
    <row r="726" spans="1:10">
      <c r="A726" t="s">
        <v>1480</v>
      </c>
      <c r="B726" t="s">
        <v>1481</v>
      </c>
      <c r="C726">
        <v>1651</v>
      </c>
      <c r="D726" t="s">
        <v>18</v>
      </c>
      <c r="E726" t="s">
        <v>19</v>
      </c>
      <c r="F726" t="s">
        <v>64</v>
      </c>
      <c r="G726">
        <v>36</v>
      </c>
      <c r="H726">
        <v>1033</v>
      </c>
      <c r="I726" t="s">
        <v>15</v>
      </c>
      <c r="J726">
        <v>4</v>
      </c>
    </row>
    <row r="727" spans="1:10">
      <c r="A727" t="s">
        <v>1482</v>
      </c>
      <c r="B727" t="s">
        <v>1483</v>
      </c>
      <c r="C727">
        <v>1079</v>
      </c>
      <c r="D727" t="s">
        <v>26</v>
      </c>
      <c r="E727" t="s">
        <v>33</v>
      </c>
      <c r="F727" t="s">
        <v>23</v>
      </c>
      <c r="G727">
        <v>159</v>
      </c>
      <c r="I727" t="s">
        <v>29</v>
      </c>
    </row>
    <row r="728" spans="1:10">
      <c r="A728" t="s">
        <v>1484</v>
      </c>
      <c r="B728" t="s">
        <v>1485</v>
      </c>
      <c r="C728">
        <v>1663</v>
      </c>
      <c r="D728" t="s">
        <v>47</v>
      </c>
      <c r="E728" t="s">
        <v>33</v>
      </c>
      <c r="F728" t="s">
        <v>64</v>
      </c>
      <c r="G728">
        <v>398</v>
      </c>
      <c r="I728" t="s">
        <v>29</v>
      </c>
    </row>
    <row r="729" spans="1:10">
      <c r="A729" t="s">
        <v>1486</v>
      </c>
      <c r="B729" t="s">
        <v>1487</v>
      </c>
      <c r="C729">
        <v>1447</v>
      </c>
      <c r="D729" t="s">
        <v>32</v>
      </c>
      <c r="E729" t="s">
        <v>33</v>
      </c>
      <c r="F729" t="s">
        <v>43</v>
      </c>
      <c r="G729">
        <v>406</v>
      </c>
      <c r="H729">
        <v>1275</v>
      </c>
      <c r="I729" t="s">
        <v>15</v>
      </c>
      <c r="J729">
        <v>4</v>
      </c>
    </row>
    <row r="730" spans="1:10">
      <c r="A730" t="s">
        <v>1488</v>
      </c>
      <c r="B730" t="s">
        <v>1489</v>
      </c>
      <c r="C730">
        <v>1200</v>
      </c>
      <c r="D730" t="s">
        <v>47</v>
      </c>
      <c r="E730" t="s">
        <v>13</v>
      </c>
      <c r="F730" t="s">
        <v>59</v>
      </c>
      <c r="G730">
        <v>10</v>
      </c>
      <c r="H730">
        <v>91</v>
      </c>
      <c r="I730" t="s">
        <v>15</v>
      </c>
    </row>
    <row r="731" spans="1:10">
      <c r="A731" t="s">
        <v>1490</v>
      </c>
      <c r="B731" t="s">
        <v>1491</v>
      </c>
      <c r="C731">
        <v>1564</v>
      </c>
      <c r="D731" t="s">
        <v>26</v>
      </c>
      <c r="E731" t="s">
        <v>27</v>
      </c>
      <c r="F731" t="s">
        <v>54</v>
      </c>
      <c r="G731">
        <v>64</v>
      </c>
      <c r="H731">
        <v>1008</v>
      </c>
      <c r="I731" t="s">
        <v>20</v>
      </c>
      <c r="J731">
        <v>4</v>
      </c>
    </row>
    <row r="732" spans="1:10">
      <c r="A732" t="s">
        <v>1492</v>
      </c>
      <c r="B732" t="s">
        <v>1493</v>
      </c>
      <c r="C732">
        <v>1679</v>
      </c>
      <c r="D732" t="s">
        <v>26</v>
      </c>
      <c r="E732" t="s">
        <v>27</v>
      </c>
      <c r="F732" t="s">
        <v>34</v>
      </c>
      <c r="G732">
        <v>38</v>
      </c>
      <c r="H732">
        <v>763</v>
      </c>
      <c r="I732" t="s">
        <v>20</v>
      </c>
    </row>
    <row r="733" spans="1:10">
      <c r="A733" t="s">
        <v>1494</v>
      </c>
      <c r="B733" t="s">
        <v>1495</v>
      </c>
      <c r="C733">
        <v>1881</v>
      </c>
      <c r="D733" t="s">
        <v>47</v>
      </c>
      <c r="E733" t="s">
        <v>19</v>
      </c>
      <c r="F733" t="s">
        <v>34</v>
      </c>
      <c r="G733">
        <v>49</v>
      </c>
      <c r="H733">
        <v>1253</v>
      </c>
      <c r="I733" t="s">
        <v>15</v>
      </c>
    </row>
    <row r="734" spans="1:10">
      <c r="A734" t="s">
        <v>1496</v>
      </c>
      <c r="B734" t="s">
        <v>1497</v>
      </c>
      <c r="C734">
        <v>1803</v>
      </c>
      <c r="D734" t="s">
        <v>12</v>
      </c>
      <c r="E734" t="s">
        <v>27</v>
      </c>
      <c r="F734" t="s">
        <v>14</v>
      </c>
      <c r="G734">
        <v>165</v>
      </c>
      <c r="H734">
        <v>1957</v>
      </c>
      <c r="I734" t="s">
        <v>15</v>
      </c>
      <c r="J734">
        <v>2</v>
      </c>
    </row>
    <row r="735" spans="1:10">
      <c r="A735" t="s">
        <v>1498</v>
      </c>
      <c r="B735" t="s">
        <v>1499</v>
      </c>
      <c r="C735">
        <v>1319</v>
      </c>
      <c r="D735" t="s">
        <v>26</v>
      </c>
      <c r="E735" t="s">
        <v>33</v>
      </c>
      <c r="F735" t="s">
        <v>43</v>
      </c>
      <c r="G735">
        <v>358</v>
      </c>
      <c r="H735">
        <v>2234</v>
      </c>
      <c r="I735" t="s">
        <v>15</v>
      </c>
      <c r="J735">
        <v>4</v>
      </c>
    </row>
    <row r="736" spans="1:10">
      <c r="A736" t="s">
        <v>1500</v>
      </c>
      <c r="B736" t="s">
        <v>1501</v>
      </c>
      <c r="C736">
        <v>1570</v>
      </c>
      <c r="D736" t="s">
        <v>18</v>
      </c>
      <c r="E736" t="s">
        <v>27</v>
      </c>
      <c r="F736" t="s">
        <v>64</v>
      </c>
      <c r="G736">
        <v>93</v>
      </c>
      <c r="H736">
        <v>582</v>
      </c>
      <c r="I736" t="s">
        <v>15</v>
      </c>
      <c r="J736">
        <v>1</v>
      </c>
    </row>
    <row r="737" spans="1:10">
      <c r="A737" t="s">
        <v>1502</v>
      </c>
      <c r="B737" t="s">
        <v>1503</v>
      </c>
      <c r="C737">
        <v>1583</v>
      </c>
      <c r="D737" t="s">
        <v>26</v>
      </c>
      <c r="E737" t="s">
        <v>27</v>
      </c>
      <c r="F737" t="s">
        <v>59</v>
      </c>
      <c r="G737">
        <v>54</v>
      </c>
      <c r="H737">
        <v>938</v>
      </c>
      <c r="I737" t="s">
        <v>15</v>
      </c>
    </row>
    <row r="738" spans="1:10">
      <c r="A738" t="s">
        <v>1504</v>
      </c>
      <c r="B738" t="s">
        <v>1505</v>
      </c>
      <c r="C738">
        <v>1689</v>
      </c>
      <c r="D738" t="s">
        <v>18</v>
      </c>
      <c r="E738" t="s">
        <v>27</v>
      </c>
      <c r="F738" t="s">
        <v>71</v>
      </c>
      <c r="G738">
        <v>56</v>
      </c>
      <c r="H738">
        <v>1785</v>
      </c>
      <c r="I738" t="s">
        <v>15</v>
      </c>
    </row>
    <row r="739" spans="1:10">
      <c r="A739" t="s">
        <v>1506</v>
      </c>
      <c r="B739" t="s">
        <v>1507</v>
      </c>
      <c r="C739">
        <v>1590</v>
      </c>
      <c r="D739" t="s">
        <v>18</v>
      </c>
      <c r="E739" t="s">
        <v>27</v>
      </c>
      <c r="F739" t="s">
        <v>43</v>
      </c>
      <c r="G739">
        <v>128</v>
      </c>
      <c r="I739" t="s">
        <v>29</v>
      </c>
    </row>
    <row r="740" spans="1:10">
      <c r="A740" t="s">
        <v>1508</v>
      </c>
      <c r="B740" t="s">
        <v>1509</v>
      </c>
      <c r="C740">
        <v>1324</v>
      </c>
      <c r="D740" t="s">
        <v>32</v>
      </c>
      <c r="E740" t="s">
        <v>33</v>
      </c>
      <c r="F740" t="s">
        <v>14</v>
      </c>
      <c r="G740">
        <v>400</v>
      </c>
      <c r="H740">
        <v>2399</v>
      </c>
      <c r="I740" t="s">
        <v>15</v>
      </c>
    </row>
    <row r="741" spans="1:10">
      <c r="A741" t="s">
        <v>1510</v>
      </c>
      <c r="B741" t="s">
        <v>1511</v>
      </c>
      <c r="C741">
        <v>1679</v>
      </c>
      <c r="D741" t="s">
        <v>12</v>
      </c>
      <c r="E741" t="s">
        <v>27</v>
      </c>
      <c r="F741" t="s">
        <v>54</v>
      </c>
      <c r="G741">
        <v>31</v>
      </c>
      <c r="H741">
        <v>411</v>
      </c>
      <c r="I741" t="s">
        <v>20</v>
      </c>
      <c r="J741">
        <v>4</v>
      </c>
    </row>
    <row r="742" spans="1:10">
      <c r="A742" t="s">
        <v>1512</v>
      </c>
      <c r="B742" t="s">
        <v>1513</v>
      </c>
      <c r="C742">
        <v>1888</v>
      </c>
      <c r="D742" t="s">
        <v>32</v>
      </c>
      <c r="E742" t="s">
        <v>33</v>
      </c>
      <c r="F742" t="s">
        <v>14</v>
      </c>
      <c r="G742">
        <v>235</v>
      </c>
      <c r="I742" t="s">
        <v>44</v>
      </c>
    </row>
    <row r="743" spans="1:10">
      <c r="A743" t="s">
        <v>1514</v>
      </c>
      <c r="B743" t="s">
        <v>1515</v>
      </c>
      <c r="C743">
        <v>1330</v>
      </c>
      <c r="D743" t="s">
        <v>18</v>
      </c>
      <c r="E743" t="s">
        <v>33</v>
      </c>
      <c r="F743" t="s">
        <v>43</v>
      </c>
      <c r="G743">
        <v>459</v>
      </c>
      <c r="H743">
        <v>1410</v>
      </c>
      <c r="I743" t="s">
        <v>15</v>
      </c>
    </row>
    <row r="744" spans="1:10">
      <c r="A744" t="s">
        <v>1516</v>
      </c>
      <c r="B744" t="s">
        <v>1517</v>
      </c>
      <c r="C744">
        <v>1527</v>
      </c>
      <c r="D744" t="s">
        <v>12</v>
      </c>
      <c r="E744" t="s">
        <v>19</v>
      </c>
      <c r="F744" t="s">
        <v>14</v>
      </c>
      <c r="G744">
        <v>11</v>
      </c>
      <c r="H744">
        <v>212</v>
      </c>
      <c r="I744" t="s">
        <v>15</v>
      </c>
    </row>
    <row r="745" spans="1:10">
      <c r="A745" t="s">
        <v>1518</v>
      </c>
      <c r="B745" t="s">
        <v>1519</v>
      </c>
      <c r="C745">
        <v>1330</v>
      </c>
      <c r="D745" t="s">
        <v>47</v>
      </c>
      <c r="E745" t="s">
        <v>27</v>
      </c>
      <c r="F745" t="s">
        <v>64</v>
      </c>
      <c r="G745">
        <v>56</v>
      </c>
      <c r="H745">
        <v>1951</v>
      </c>
      <c r="I745" t="s">
        <v>15</v>
      </c>
    </row>
    <row r="746" spans="1:10">
      <c r="A746" t="s">
        <v>1520</v>
      </c>
      <c r="B746" t="s">
        <v>1521</v>
      </c>
      <c r="C746">
        <v>1748</v>
      </c>
      <c r="D746" t="s">
        <v>32</v>
      </c>
      <c r="E746" t="s">
        <v>33</v>
      </c>
      <c r="F746" t="s">
        <v>34</v>
      </c>
      <c r="G746">
        <v>423</v>
      </c>
      <c r="H746">
        <v>6143</v>
      </c>
      <c r="I746" t="s">
        <v>20</v>
      </c>
    </row>
    <row r="747" spans="1:10">
      <c r="A747" t="s">
        <v>1522</v>
      </c>
      <c r="B747" t="s">
        <v>1523</v>
      </c>
      <c r="C747">
        <v>1287</v>
      </c>
      <c r="D747" t="s">
        <v>12</v>
      </c>
      <c r="E747" t="s">
        <v>27</v>
      </c>
      <c r="F747" t="s">
        <v>43</v>
      </c>
      <c r="G747">
        <v>99</v>
      </c>
      <c r="H747">
        <v>1220</v>
      </c>
      <c r="I747" t="s">
        <v>15</v>
      </c>
    </row>
    <row r="748" spans="1:10">
      <c r="A748" t="s">
        <v>1524</v>
      </c>
      <c r="B748" t="s">
        <v>1525</v>
      </c>
      <c r="C748">
        <v>1366</v>
      </c>
      <c r="D748" t="s">
        <v>26</v>
      </c>
      <c r="E748" t="s">
        <v>27</v>
      </c>
      <c r="F748" t="s">
        <v>14</v>
      </c>
      <c r="G748">
        <v>106</v>
      </c>
      <c r="H748">
        <v>1601</v>
      </c>
      <c r="I748" t="s">
        <v>20</v>
      </c>
      <c r="J748">
        <v>2</v>
      </c>
    </row>
    <row r="749" spans="1:10">
      <c r="A749" t="s">
        <v>1526</v>
      </c>
      <c r="B749" t="s">
        <v>1527</v>
      </c>
      <c r="C749">
        <v>1615</v>
      </c>
      <c r="D749" t="s">
        <v>18</v>
      </c>
      <c r="E749" t="s">
        <v>27</v>
      </c>
      <c r="F749" t="s">
        <v>54</v>
      </c>
      <c r="G749">
        <v>100</v>
      </c>
      <c r="H749">
        <v>593</v>
      </c>
      <c r="I749" t="s">
        <v>20</v>
      </c>
    </row>
    <row r="750" spans="1:10">
      <c r="A750" t="s">
        <v>1528</v>
      </c>
      <c r="B750" t="s">
        <v>1529</v>
      </c>
      <c r="C750">
        <v>1926</v>
      </c>
      <c r="D750" t="s">
        <v>47</v>
      </c>
      <c r="E750" t="s">
        <v>27</v>
      </c>
      <c r="F750" t="s">
        <v>43</v>
      </c>
      <c r="G750">
        <v>152</v>
      </c>
      <c r="H750">
        <v>1692</v>
      </c>
      <c r="I750" t="s">
        <v>20</v>
      </c>
      <c r="J750">
        <v>2</v>
      </c>
    </row>
    <row r="751" spans="1:10">
      <c r="A751" t="s">
        <v>1530</v>
      </c>
      <c r="B751" t="s">
        <v>1531</v>
      </c>
      <c r="C751">
        <v>1250</v>
      </c>
      <c r="D751" t="s">
        <v>18</v>
      </c>
      <c r="E751" t="s">
        <v>33</v>
      </c>
      <c r="F751" t="s">
        <v>59</v>
      </c>
      <c r="G751">
        <v>76</v>
      </c>
      <c r="H751">
        <v>5527</v>
      </c>
      <c r="I751" t="s">
        <v>20</v>
      </c>
      <c r="J751">
        <v>4</v>
      </c>
    </row>
    <row r="752" spans="1:10">
      <c r="A752" t="s">
        <v>1532</v>
      </c>
      <c r="B752" t="s">
        <v>1533</v>
      </c>
      <c r="C752">
        <v>1631</v>
      </c>
      <c r="D752" t="s">
        <v>26</v>
      </c>
      <c r="E752" t="s">
        <v>27</v>
      </c>
      <c r="F752" t="s">
        <v>59</v>
      </c>
      <c r="G752">
        <v>67</v>
      </c>
      <c r="H752">
        <v>2669</v>
      </c>
      <c r="I752" t="s">
        <v>15</v>
      </c>
      <c r="J752">
        <v>2</v>
      </c>
    </row>
    <row r="753" spans="1:10">
      <c r="A753" t="s">
        <v>1534</v>
      </c>
      <c r="B753" t="s">
        <v>1535</v>
      </c>
      <c r="C753">
        <v>1610</v>
      </c>
      <c r="D753" t="s">
        <v>47</v>
      </c>
      <c r="E753" t="s">
        <v>33</v>
      </c>
      <c r="F753" t="s">
        <v>28</v>
      </c>
      <c r="G753">
        <v>406</v>
      </c>
      <c r="H753">
        <v>8492</v>
      </c>
      <c r="I753" t="s">
        <v>15</v>
      </c>
      <c r="J753">
        <v>4</v>
      </c>
    </row>
    <row r="754" spans="1:10">
      <c r="A754" t="s">
        <v>1536</v>
      </c>
      <c r="B754" t="s">
        <v>1537</v>
      </c>
      <c r="C754">
        <v>1217</v>
      </c>
      <c r="D754" t="s">
        <v>47</v>
      </c>
      <c r="E754" t="s">
        <v>27</v>
      </c>
      <c r="F754" t="s">
        <v>14</v>
      </c>
      <c r="G754">
        <v>97</v>
      </c>
      <c r="H754">
        <v>1152</v>
      </c>
      <c r="I754" t="s">
        <v>15</v>
      </c>
      <c r="J754">
        <v>1</v>
      </c>
    </row>
    <row r="755" spans="1:10">
      <c r="A755" t="s">
        <v>1538</v>
      </c>
      <c r="B755" t="s">
        <v>1539</v>
      </c>
      <c r="C755">
        <v>1724</v>
      </c>
      <c r="D755" t="s">
        <v>47</v>
      </c>
      <c r="E755" t="s">
        <v>27</v>
      </c>
      <c r="F755" t="s">
        <v>54</v>
      </c>
      <c r="G755">
        <v>74</v>
      </c>
      <c r="I755" t="s">
        <v>29</v>
      </c>
    </row>
    <row r="756" spans="1:10">
      <c r="A756" t="s">
        <v>1540</v>
      </c>
      <c r="B756" t="s">
        <v>1541</v>
      </c>
      <c r="C756">
        <v>1494</v>
      </c>
      <c r="D756" t="s">
        <v>12</v>
      </c>
      <c r="E756" t="s">
        <v>27</v>
      </c>
      <c r="F756" t="s">
        <v>59</v>
      </c>
      <c r="G756">
        <v>101</v>
      </c>
      <c r="H756">
        <v>1924</v>
      </c>
      <c r="I756" t="s">
        <v>15</v>
      </c>
      <c r="J756">
        <v>4</v>
      </c>
    </row>
    <row r="757" spans="1:10">
      <c r="A757" t="s">
        <v>1542</v>
      </c>
      <c r="B757" t="s">
        <v>1543</v>
      </c>
      <c r="C757">
        <v>1605</v>
      </c>
      <c r="D757" t="s">
        <v>32</v>
      </c>
      <c r="E757" t="s">
        <v>13</v>
      </c>
      <c r="F757" t="s">
        <v>59</v>
      </c>
      <c r="G757">
        <v>6</v>
      </c>
      <c r="H757">
        <v>196</v>
      </c>
      <c r="I757" t="s">
        <v>15</v>
      </c>
      <c r="J757">
        <v>5</v>
      </c>
    </row>
    <row r="758" spans="1:10">
      <c r="A758" t="s">
        <v>1544</v>
      </c>
      <c r="B758" t="s">
        <v>1545</v>
      </c>
      <c r="C758">
        <v>1038</v>
      </c>
      <c r="D758" t="s">
        <v>47</v>
      </c>
      <c r="E758" t="s">
        <v>19</v>
      </c>
      <c r="F758" t="s">
        <v>71</v>
      </c>
      <c r="G758">
        <v>46</v>
      </c>
      <c r="H758">
        <v>416</v>
      </c>
      <c r="I758" t="s">
        <v>20</v>
      </c>
      <c r="J758">
        <v>1</v>
      </c>
    </row>
    <row r="759" spans="1:10">
      <c r="A759" t="s">
        <v>1546</v>
      </c>
      <c r="B759" t="s">
        <v>1547</v>
      </c>
      <c r="C759">
        <v>1504</v>
      </c>
      <c r="D759" t="s">
        <v>47</v>
      </c>
      <c r="E759" t="s">
        <v>27</v>
      </c>
      <c r="F759" t="s">
        <v>14</v>
      </c>
      <c r="G759">
        <v>177</v>
      </c>
      <c r="H759">
        <v>3178</v>
      </c>
      <c r="I759" t="s">
        <v>20</v>
      </c>
      <c r="J759">
        <v>3</v>
      </c>
    </row>
    <row r="760" spans="1:10">
      <c r="A760" t="s">
        <v>1548</v>
      </c>
      <c r="B760" t="s">
        <v>1549</v>
      </c>
      <c r="C760">
        <v>1053</v>
      </c>
      <c r="D760" t="s">
        <v>12</v>
      </c>
      <c r="E760" t="s">
        <v>27</v>
      </c>
      <c r="F760" t="s">
        <v>14</v>
      </c>
      <c r="G760">
        <v>135</v>
      </c>
      <c r="H760">
        <v>2758</v>
      </c>
      <c r="I760" t="s">
        <v>20</v>
      </c>
      <c r="J760">
        <v>5</v>
      </c>
    </row>
    <row r="761" spans="1:10">
      <c r="A761" t="s">
        <v>1550</v>
      </c>
      <c r="B761" t="s">
        <v>1551</v>
      </c>
      <c r="C761">
        <v>1331</v>
      </c>
      <c r="D761" t="s">
        <v>26</v>
      </c>
      <c r="E761" t="s">
        <v>27</v>
      </c>
      <c r="F761" t="s">
        <v>34</v>
      </c>
      <c r="G761">
        <v>126</v>
      </c>
      <c r="H761">
        <v>2874</v>
      </c>
      <c r="I761" t="s">
        <v>15</v>
      </c>
      <c r="J761">
        <v>4</v>
      </c>
    </row>
    <row r="762" spans="1:10">
      <c r="A762" t="s">
        <v>1552</v>
      </c>
      <c r="B762" t="s">
        <v>1553</v>
      </c>
      <c r="C762">
        <v>1593</v>
      </c>
      <c r="D762" t="s">
        <v>12</v>
      </c>
      <c r="E762" t="s">
        <v>19</v>
      </c>
      <c r="F762" t="s">
        <v>23</v>
      </c>
      <c r="G762">
        <v>33</v>
      </c>
      <c r="I762" t="s">
        <v>44</v>
      </c>
    </row>
    <row r="763" spans="1:10">
      <c r="A763" t="s">
        <v>1554</v>
      </c>
      <c r="B763" t="s">
        <v>1555</v>
      </c>
      <c r="C763">
        <v>1397</v>
      </c>
      <c r="D763" t="s">
        <v>47</v>
      </c>
      <c r="E763" t="s">
        <v>13</v>
      </c>
      <c r="F763" t="s">
        <v>28</v>
      </c>
      <c r="G763">
        <v>7</v>
      </c>
      <c r="H763">
        <v>98</v>
      </c>
      <c r="I763" t="s">
        <v>15</v>
      </c>
      <c r="J763">
        <v>2</v>
      </c>
    </row>
    <row r="764" spans="1:10">
      <c r="A764" t="s">
        <v>1556</v>
      </c>
      <c r="B764" t="s">
        <v>1557</v>
      </c>
      <c r="C764">
        <v>1796</v>
      </c>
      <c r="D764" t="s">
        <v>26</v>
      </c>
      <c r="E764" t="s">
        <v>27</v>
      </c>
      <c r="F764" t="s">
        <v>54</v>
      </c>
      <c r="G764">
        <v>80</v>
      </c>
      <c r="I764" t="s">
        <v>29</v>
      </c>
    </row>
    <row r="765" spans="1:10">
      <c r="A765" t="s">
        <v>1558</v>
      </c>
      <c r="B765" t="s">
        <v>1559</v>
      </c>
      <c r="C765">
        <v>1203</v>
      </c>
      <c r="D765" t="s">
        <v>18</v>
      </c>
      <c r="E765" t="s">
        <v>19</v>
      </c>
      <c r="F765" t="s">
        <v>71</v>
      </c>
      <c r="G765">
        <v>22</v>
      </c>
      <c r="I765" t="s">
        <v>29</v>
      </c>
    </row>
    <row r="766" spans="1:10">
      <c r="A766" t="s">
        <v>1560</v>
      </c>
      <c r="B766" t="s">
        <v>1561</v>
      </c>
      <c r="C766">
        <v>1075</v>
      </c>
      <c r="D766" t="s">
        <v>18</v>
      </c>
      <c r="E766" t="s">
        <v>19</v>
      </c>
      <c r="F766" t="s">
        <v>71</v>
      </c>
      <c r="G766">
        <v>26</v>
      </c>
      <c r="I766" t="s">
        <v>44</v>
      </c>
    </row>
    <row r="767" spans="1:10">
      <c r="A767" t="s">
        <v>1562</v>
      </c>
      <c r="B767" t="s">
        <v>1563</v>
      </c>
      <c r="C767">
        <v>1174</v>
      </c>
      <c r="D767" t="s">
        <v>26</v>
      </c>
      <c r="E767" t="s">
        <v>13</v>
      </c>
      <c r="F767" t="s">
        <v>34</v>
      </c>
      <c r="G767">
        <v>2</v>
      </c>
      <c r="H767">
        <v>177</v>
      </c>
      <c r="I767" t="s">
        <v>20</v>
      </c>
      <c r="J767">
        <v>3</v>
      </c>
    </row>
    <row r="768" spans="1:10">
      <c r="A768" t="s">
        <v>1564</v>
      </c>
      <c r="B768" t="s">
        <v>1565</v>
      </c>
      <c r="C768">
        <v>1997</v>
      </c>
      <c r="D768" t="s">
        <v>32</v>
      </c>
      <c r="E768" t="s">
        <v>27</v>
      </c>
      <c r="F768" t="s">
        <v>14</v>
      </c>
      <c r="G768">
        <v>88</v>
      </c>
      <c r="H768">
        <v>2308</v>
      </c>
      <c r="I768" t="s">
        <v>20</v>
      </c>
      <c r="J768">
        <v>1</v>
      </c>
    </row>
    <row r="769" spans="1:10">
      <c r="A769" t="s">
        <v>1566</v>
      </c>
      <c r="B769" t="s">
        <v>1567</v>
      </c>
      <c r="C769">
        <v>1381</v>
      </c>
      <c r="D769" t="s">
        <v>32</v>
      </c>
      <c r="E769" t="s">
        <v>27</v>
      </c>
      <c r="F769" t="s">
        <v>43</v>
      </c>
      <c r="G769">
        <v>115</v>
      </c>
      <c r="H769">
        <v>2881</v>
      </c>
      <c r="I769" t="s">
        <v>15</v>
      </c>
      <c r="J769">
        <v>4</v>
      </c>
    </row>
    <row r="770" spans="1:10">
      <c r="A770" t="s">
        <v>1568</v>
      </c>
      <c r="B770" t="s">
        <v>1569</v>
      </c>
      <c r="C770">
        <v>1033</v>
      </c>
      <c r="D770" t="s">
        <v>47</v>
      </c>
      <c r="E770" t="s">
        <v>27</v>
      </c>
      <c r="F770" t="s">
        <v>71</v>
      </c>
      <c r="G770">
        <v>57</v>
      </c>
      <c r="I770" t="s">
        <v>44</v>
      </c>
    </row>
    <row r="771" spans="1:10">
      <c r="A771" t="s">
        <v>1570</v>
      </c>
      <c r="B771" t="s">
        <v>1571</v>
      </c>
      <c r="C771">
        <v>1228</v>
      </c>
      <c r="D771" t="s">
        <v>47</v>
      </c>
      <c r="E771" t="s">
        <v>13</v>
      </c>
      <c r="F771" t="s">
        <v>14</v>
      </c>
      <c r="G771">
        <v>7</v>
      </c>
      <c r="H771">
        <v>177</v>
      </c>
      <c r="I771" t="s">
        <v>20</v>
      </c>
    </row>
    <row r="772" spans="1:10">
      <c r="A772" t="s">
        <v>1572</v>
      </c>
      <c r="B772" t="s">
        <v>1573</v>
      </c>
      <c r="C772">
        <v>1386</v>
      </c>
      <c r="D772" t="s">
        <v>26</v>
      </c>
      <c r="E772" t="s">
        <v>27</v>
      </c>
      <c r="F772" t="s">
        <v>34</v>
      </c>
      <c r="G772">
        <v>44</v>
      </c>
      <c r="H772">
        <v>2297</v>
      </c>
      <c r="I772" t="s">
        <v>15</v>
      </c>
      <c r="J772">
        <v>2</v>
      </c>
    </row>
    <row r="773" spans="1:10">
      <c r="A773" t="s">
        <v>1574</v>
      </c>
      <c r="B773" t="s">
        <v>1575</v>
      </c>
      <c r="C773">
        <v>1930</v>
      </c>
      <c r="D773" t="s">
        <v>12</v>
      </c>
      <c r="E773" t="s">
        <v>13</v>
      </c>
      <c r="F773" t="s">
        <v>28</v>
      </c>
      <c r="G773">
        <v>10</v>
      </c>
      <c r="H773">
        <v>374</v>
      </c>
      <c r="I773" t="s">
        <v>20</v>
      </c>
      <c r="J773">
        <v>1</v>
      </c>
    </row>
    <row r="774" spans="1:10">
      <c r="A774" t="s">
        <v>1576</v>
      </c>
      <c r="B774" t="s">
        <v>1577</v>
      </c>
      <c r="C774">
        <v>1963</v>
      </c>
      <c r="D774" t="s">
        <v>12</v>
      </c>
      <c r="E774" t="s">
        <v>13</v>
      </c>
      <c r="F774" t="s">
        <v>28</v>
      </c>
      <c r="G774">
        <v>6</v>
      </c>
      <c r="H774">
        <v>258</v>
      </c>
      <c r="I774" t="s">
        <v>15</v>
      </c>
      <c r="J774">
        <v>2</v>
      </c>
    </row>
    <row r="775" spans="1:10">
      <c r="A775" t="s">
        <v>1578</v>
      </c>
      <c r="B775" t="s">
        <v>1579</v>
      </c>
      <c r="C775">
        <v>1089</v>
      </c>
      <c r="D775" t="s">
        <v>32</v>
      </c>
      <c r="E775" t="s">
        <v>13</v>
      </c>
      <c r="F775" t="s">
        <v>14</v>
      </c>
      <c r="G775">
        <v>9</v>
      </c>
      <c r="I775" t="s">
        <v>29</v>
      </c>
    </row>
    <row r="776" spans="1:10">
      <c r="A776" t="s">
        <v>1580</v>
      </c>
      <c r="B776" t="s">
        <v>1581</v>
      </c>
      <c r="C776">
        <v>1126</v>
      </c>
      <c r="D776" t="s">
        <v>12</v>
      </c>
      <c r="E776" t="s">
        <v>13</v>
      </c>
      <c r="F776" t="s">
        <v>34</v>
      </c>
      <c r="G776">
        <v>11</v>
      </c>
      <c r="H776">
        <v>358</v>
      </c>
      <c r="I776" t="s">
        <v>15</v>
      </c>
    </row>
    <row r="777" spans="1:10">
      <c r="A777" t="s">
        <v>1582</v>
      </c>
      <c r="B777" t="s">
        <v>1583</v>
      </c>
      <c r="C777">
        <v>1617</v>
      </c>
      <c r="D777" t="s">
        <v>26</v>
      </c>
      <c r="E777" t="s">
        <v>13</v>
      </c>
      <c r="F777" t="s">
        <v>43</v>
      </c>
      <c r="G777">
        <v>9</v>
      </c>
      <c r="H777">
        <v>133</v>
      </c>
      <c r="I777" t="s">
        <v>15</v>
      </c>
      <c r="J777">
        <v>4</v>
      </c>
    </row>
    <row r="778" spans="1:10">
      <c r="A778" t="s">
        <v>1584</v>
      </c>
      <c r="B778" t="s">
        <v>1585</v>
      </c>
      <c r="C778">
        <v>1648</v>
      </c>
      <c r="D778" t="s">
        <v>32</v>
      </c>
      <c r="E778" t="s">
        <v>13</v>
      </c>
      <c r="F778" t="s">
        <v>14</v>
      </c>
      <c r="G778">
        <v>8</v>
      </c>
      <c r="I778" t="s">
        <v>29</v>
      </c>
    </row>
    <row r="779" spans="1:10">
      <c r="A779" t="s">
        <v>1586</v>
      </c>
      <c r="B779" t="s">
        <v>1587</v>
      </c>
      <c r="C779">
        <v>1910</v>
      </c>
      <c r="D779" t="s">
        <v>47</v>
      </c>
      <c r="E779" t="s">
        <v>27</v>
      </c>
      <c r="F779" t="s">
        <v>28</v>
      </c>
      <c r="G779">
        <v>161</v>
      </c>
      <c r="H779">
        <v>791</v>
      </c>
      <c r="I779" t="s">
        <v>15</v>
      </c>
      <c r="J779">
        <v>3</v>
      </c>
    </row>
    <row r="780" spans="1:10">
      <c r="A780" t="s">
        <v>1588</v>
      </c>
      <c r="B780" t="s">
        <v>1589</v>
      </c>
      <c r="C780">
        <v>1095</v>
      </c>
      <c r="D780" t="s">
        <v>47</v>
      </c>
      <c r="E780" t="s">
        <v>13</v>
      </c>
      <c r="F780" t="s">
        <v>23</v>
      </c>
      <c r="G780">
        <v>4</v>
      </c>
      <c r="H780">
        <v>343</v>
      </c>
      <c r="I780" t="s">
        <v>20</v>
      </c>
      <c r="J780">
        <v>1</v>
      </c>
    </row>
    <row r="781" spans="1:10">
      <c r="A781" t="s">
        <v>1590</v>
      </c>
      <c r="B781" t="s">
        <v>1591</v>
      </c>
      <c r="C781">
        <v>1927</v>
      </c>
      <c r="D781" t="s">
        <v>18</v>
      </c>
      <c r="E781" t="s">
        <v>27</v>
      </c>
      <c r="F781" t="s">
        <v>14</v>
      </c>
      <c r="G781">
        <v>128</v>
      </c>
      <c r="H781">
        <v>2119</v>
      </c>
      <c r="I781" t="s">
        <v>20</v>
      </c>
      <c r="J781">
        <v>5</v>
      </c>
    </row>
    <row r="782" spans="1:10">
      <c r="A782" t="s">
        <v>1592</v>
      </c>
      <c r="B782" t="s">
        <v>1593</v>
      </c>
      <c r="C782">
        <v>1422</v>
      </c>
      <c r="D782" t="s">
        <v>32</v>
      </c>
      <c r="E782" t="s">
        <v>13</v>
      </c>
      <c r="F782" t="s">
        <v>14</v>
      </c>
      <c r="G782">
        <v>8</v>
      </c>
      <c r="H782">
        <v>353</v>
      </c>
      <c r="I782" t="s">
        <v>20</v>
      </c>
    </row>
    <row r="783" spans="1:10">
      <c r="A783" t="s">
        <v>1594</v>
      </c>
      <c r="B783" t="s">
        <v>1595</v>
      </c>
      <c r="C783">
        <v>1273</v>
      </c>
      <c r="D783" t="s">
        <v>32</v>
      </c>
      <c r="E783" t="s">
        <v>27</v>
      </c>
      <c r="F783" t="s">
        <v>71</v>
      </c>
      <c r="G783">
        <v>78</v>
      </c>
      <c r="H783">
        <v>994</v>
      </c>
      <c r="I783" t="s">
        <v>15</v>
      </c>
      <c r="J783">
        <v>1</v>
      </c>
    </row>
    <row r="784" spans="1:10">
      <c r="A784" t="s">
        <v>1596</v>
      </c>
      <c r="B784" t="s">
        <v>1597</v>
      </c>
      <c r="C784">
        <v>1208</v>
      </c>
      <c r="D784" t="s">
        <v>32</v>
      </c>
      <c r="E784" t="s">
        <v>33</v>
      </c>
      <c r="F784" t="s">
        <v>14</v>
      </c>
      <c r="G784">
        <v>282</v>
      </c>
      <c r="H784">
        <v>7668</v>
      </c>
      <c r="I784" t="s">
        <v>15</v>
      </c>
    </row>
    <row r="785" spans="1:10">
      <c r="A785" t="s">
        <v>1598</v>
      </c>
      <c r="B785" t="s">
        <v>1599</v>
      </c>
      <c r="C785">
        <v>1833</v>
      </c>
      <c r="D785" t="s">
        <v>32</v>
      </c>
      <c r="E785" t="s">
        <v>13</v>
      </c>
      <c r="F785" t="s">
        <v>59</v>
      </c>
      <c r="G785">
        <v>9</v>
      </c>
      <c r="H785">
        <v>252</v>
      </c>
      <c r="I785" t="s">
        <v>20</v>
      </c>
      <c r="J785">
        <v>1</v>
      </c>
    </row>
    <row r="786" spans="1:10">
      <c r="A786" t="s">
        <v>1600</v>
      </c>
      <c r="B786" t="s">
        <v>1601</v>
      </c>
      <c r="C786">
        <v>1148</v>
      </c>
      <c r="D786" t="s">
        <v>12</v>
      </c>
      <c r="E786" t="s">
        <v>13</v>
      </c>
      <c r="F786" t="s">
        <v>54</v>
      </c>
      <c r="G786">
        <v>11</v>
      </c>
      <c r="I786" t="s">
        <v>29</v>
      </c>
    </row>
    <row r="787" spans="1:10">
      <c r="A787" t="s">
        <v>1602</v>
      </c>
      <c r="B787" t="s">
        <v>1603</v>
      </c>
      <c r="C787">
        <v>1526</v>
      </c>
      <c r="D787" t="s">
        <v>47</v>
      </c>
      <c r="E787" t="s">
        <v>27</v>
      </c>
      <c r="F787" t="s">
        <v>64</v>
      </c>
      <c r="G787">
        <v>118</v>
      </c>
      <c r="H787">
        <v>3101</v>
      </c>
      <c r="I787" t="s">
        <v>15</v>
      </c>
    </row>
    <row r="788" spans="1:10">
      <c r="A788" t="s">
        <v>1604</v>
      </c>
      <c r="B788" t="s">
        <v>1605</v>
      </c>
      <c r="C788">
        <v>1405</v>
      </c>
      <c r="D788" t="s">
        <v>12</v>
      </c>
      <c r="E788" t="s">
        <v>13</v>
      </c>
      <c r="F788" t="s">
        <v>71</v>
      </c>
      <c r="G788">
        <v>8</v>
      </c>
      <c r="H788">
        <v>144</v>
      </c>
      <c r="I788" t="s">
        <v>20</v>
      </c>
      <c r="J788">
        <v>4</v>
      </c>
    </row>
    <row r="789" spans="1:10">
      <c r="A789" t="s">
        <v>1606</v>
      </c>
      <c r="B789" t="s">
        <v>1607</v>
      </c>
      <c r="C789">
        <v>1311</v>
      </c>
      <c r="D789" t="s">
        <v>18</v>
      </c>
      <c r="E789" t="s">
        <v>13</v>
      </c>
      <c r="F789" t="s">
        <v>43</v>
      </c>
      <c r="G789">
        <v>8</v>
      </c>
      <c r="H789">
        <v>226</v>
      </c>
      <c r="I789" t="s">
        <v>15</v>
      </c>
      <c r="J789">
        <v>5</v>
      </c>
    </row>
    <row r="790" spans="1:10">
      <c r="A790" t="s">
        <v>1608</v>
      </c>
      <c r="B790" t="s">
        <v>1609</v>
      </c>
      <c r="C790">
        <v>1950</v>
      </c>
      <c r="D790" t="s">
        <v>26</v>
      </c>
      <c r="E790" t="s">
        <v>27</v>
      </c>
      <c r="F790" t="s">
        <v>59</v>
      </c>
      <c r="G790">
        <v>52</v>
      </c>
      <c r="H790">
        <v>2398</v>
      </c>
      <c r="I790" t="s">
        <v>20</v>
      </c>
      <c r="J790">
        <v>5</v>
      </c>
    </row>
    <row r="791" spans="1:10">
      <c r="A791" t="s">
        <v>1610</v>
      </c>
      <c r="B791" t="s">
        <v>1611</v>
      </c>
      <c r="C791">
        <v>1777</v>
      </c>
      <c r="D791" t="s">
        <v>47</v>
      </c>
      <c r="E791" t="s">
        <v>27</v>
      </c>
      <c r="F791" t="s">
        <v>54</v>
      </c>
      <c r="G791">
        <v>117</v>
      </c>
      <c r="H791">
        <v>1364</v>
      </c>
      <c r="I791" t="s">
        <v>20</v>
      </c>
    </row>
    <row r="792" spans="1:10">
      <c r="A792" t="s">
        <v>1612</v>
      </c>
      <c r="B792" t="s">
        <v>1613</v>
      </c>
      <c r="C792">
        <v>1168</v>
      </c>
      <c r="D792" t="s">
        <v>32</v>
      </c>
      <c r="E792" t="s">
        <v>27</v>
      </c>
      <c r="F792" t="s">
        <v>64</v>
      </c>
      <c r="G792">
        <v>114</v>
      </c>
      <c r="H792">
        <v>2058</v>
      </c>
      <c r="I792" t="s">
        <v>15</v>
      </c>
      <c r="J792">
        <v>3</v>
      </c>
    </row>
    <row r="793" spans="1:10">
      <c r="A793" t="s">
        <v>1614</v>
      </c>
      <c r="B793" t="s">
        <v>1615</v>
      </c>
      <c r="C793">
        <v>1475</v>
      </c>
      <c r="D793" t="s">
        <v>12</v>
      </c>
      <c r="E793" t="s">
        <v>13</v>
      </c>
      <c r="F793" t="s">
        <v>71</v>
      </c>
      <c r="G793">
        <v>9</v>
      </c>
      <c r="H793">
        <v>223</v>
      </c>
      <c r="I793" t="s">
        <v>15</v>
      </c>
    </row>
    <row r="794" spans="1:10">
      <c r="A794" t="s">
        <v>1616</v>
      </c>
      <c r="B794" t="s">
        <v>1617</v>
      </c>
      <c r="C794">
        <v>1144</v>
      </c>
      <c r="D794" t="s">
        <v>12</v>
      </c>
      <c r="E794" t="s">
        <v>19</v>
      </c>
      <c r="F794" t="s">
        <v>43</v>
      </c>
      <c r="G794">
        <v>46</v>
      </c>
      <c r="H794">
        <v>714</v>
      </c>
      <c r="I794" t="s">
        <v>20</v>
      </c>
      <c r="J794">
        <v>4</v>
      </c>
    </row>
    <row r="795" spans="1:10">
      <c r="A795" t="s">
        <v>1618</v>
      </c>
      <c r="B795" t="s">
        <v>1619</v>
      </c>
      <c r="C795">
        <v>1170</v>
      </c>
      <c r="D795" t="s">
        <v>47</v>
      </c>
      <c r="E795" t="s">
        <v>19</v>
      </c>
      <c r="F795" t="s">
        <v>71</v>
      </c>
      <c r="G795">
        <v>47</v>
      </c>
      <c r="H795">
        <v>733</v>
      </c>
      <c r="I795" t="s">
        <v>15</v>
      </c>
      <c r="J795">
        <v>3</v>
      </c>
    </row>
    <row r="796" spans="1:10">
      <c r="A796" t="s">
        <v>1620</v>
      </c>
      <c r="B796" t="s">
        <v>1621</v>
      </c>
      <c r="C796">
        <v>1161</v>
      </c>
      <c r="D796" t="s">
        <v>47</v>
      </c>
      <c r="E796" t="s">
        <v>33</v>
      </c>
      <c r="F796" t="s">
        <v>23</v>
      </c>
      <c r="G796">
        <v>449</v>
      </c>
      <c r="H796">
        <v>6414</v>
      </c>
      <c r="I796" t="s">
        <v>15</v>
      </c>
    </row>
    <row r="797" spans="1:10">
      <c r="A797" t="s">
        <v>1622</v>
      </c>
      <c r="B797" t="s">
        <v>1623</v>
      </c>
      <c r="C797">
        <v>1560</v>
      </c>
      <c r="D797" t="s">
        <v>47</v>
      </c>
      <c r="E797" t="s">
        <v>13</v>
      </c>
      <c r="F797" t="s">
        <v>59</v>
      </c>
      <c r="G797">
        <v>5</v>
      </c>
      <c r="H797">
        <v>349</v>
      </c>
      <c r="I797" t="s">
        <v>20</v>
      </c>
      <c r="J797">
        <v>4</v>
      </c>
    </row>
    <row r="798" spans="1:10">
      <c r="A798" t="s">
        <v>1624</v>
      </c>
      <c r="B798" t="s">
        <v>1625</v>
      </c>
      <c r="C798">
        <v>1850</v>
      </c>
      <c r="D798" t="s">
        <v>32</v>
      </c>
      <c r="E798" t="s">
        <v>19</v>
      </c>
      <c r="F798" t="s">
        <v>23</v>
      </c>
      <c r="G798">
        <v>8</v>
      </c>
      <c r="H798">
        <v>794</v>
      </c>
      <c r="I798" t="s">
        <v>15</v>
      </c>
      <c r="J798">
        <v>4</v>
      </c>
    </row>
    <row r="799" spans="1:10">
      <c r="A799" t="s">
        <v>1626</v>
      </c>
      <c r="B799" t="s">
        <v>1627</v>
      </c>
      <c r="C799">
        <v>1408</v>
      </c>
      <c r="D799" t="s">
        <v>26</v>
      </c>
      <c r="E799" t="s">
        <v>13</v>
      </c>
      <c r="F799" t="s">
        <v>59</v>
      </c>
      <c r="G799">
        <v>2</v>
      </c>
      <c r="H799">
        <v>220</v>
      </c>
      <c r="I799" t="s">
        <v>15</v>
      </c>
    </row>
    <row r="800" spans="1:10">
      <c r="A800" t="s">
        <v>1628</v>
      </c>
      <c r="B800" t="s">
        <v>1629</v>
      </c>
      <c r="C800">
        <v>1110</v>
      </c>
      <c r="D800" t="s">
        <v>26</v>
      </c>
      <c r="E800" t="s">
        <v>19</v>
      </c>
      <c r="F800" t="s">
        <v>59</v>
      </c>
      <c r="G800">
        <v>42</v>
      </c>
      <c r="H800">
        <v>735</v>
      </c>
      <c r="I800" t="s">
        <v>20</v>
      </c>
    </row>
    <row r="801" spans="1:10">
      <c r="A801" t="s">
        <v>1630</v>
      </c>
      <c r="B801" t="s">
        <v>1631</v>
      </c>
      <c r="C801">
        <v>1675</v>
      </c>
      <c r="D801" t="s">
        <v>18</v>
      </c>
      <c r="E801" t="s">
        <v>27</v>
      </c>
      <c r="F801" t="s">
        <v>59</v>
      </c>
      <c r="G801">
        <v>168</v>
      </c>
      <c r="H801">
        <v>868</v>
      </c>
      <c r="I801" t="s">
        <v>15</v>
      </c>
      <c r="J801">
        <v>4</v>
      </c>
    </row>
    <row r="802" spans="1:10">
      <c r="A802" t="s">
        <v>1632</v>
      </c>
      <c r="B802" t="s">
        <v>1633</v>
      </c>
      <c r="C802">
        <v>1398</v>
      </c>
      <c r="D802" t="s">
        <v>18</v>
      </c>
      <c r="E802" t="s">
        <v>27</v>
      </c>
      <c r="F802" t="s">
        <v>54</v>
      </c>
      <c r="G802">
        <v>51</v>
      </c>
      <c r="H802">
        <v>3446</v>
      </c>
      <c r="I802" t="s">
        <v>15</v>
      </c>
      <c r="J802">
        <v>1</v>
      </c>
    </row>
    <row r="803" spans="1:10">
      <c r="A803" t="s">
        <v>1634</v>
      </c>
      <c r="B803" t="s">
        <v>1635</v>
      </c>
      <c r="C803">
        <v>1308</v>
      </c>
      <c r="D803" t="s">
        <v>18</v>
      </c>
      <c r="E803" t="s">
        <v>19</v>
      </c>
      <c r="F803" t="s">
        <v>43</v>
      </c>
      <c r="G803">
        <v>18</v>
      </c>
      <c r="H803">
        <v>1234</v>
      </c>
      <c r="I803" t="s">
        <v>15</v>
      </c>
      <c r="J803">
        <v>3</v>
      </c>
    </row>
    <row r="804" spans="1:10">
      <c r="A804" t="s">
        <v>1636</v>
      </c>
      <c r="B804" t="s">
        <v>1637</v>
      </c>
      <c r="C804">
        <v>1590</v>
      </c>
      <c r="D804" t="s">
        <v>32</v>
      </c>
      <c r="E804" t="s">
        <v>27</v>
      </c>
      <c r="F804" t="s">
        <v>14</v>
      </c>
      <c r="G804">
        <v>47</v>
      </c>
      <c r="H804">
        <v>3309</v>
      </c>
      <c r="I804" t="s">
        <v>15</v>
      </c>
      <c r="J804">
        <v>1</v>
      </c>
    </row>
    <row r="805" spans="1:10">
      <c r="A805" t="s">
        <v>1638</v>
      </c>
      <c r="B805" t="s">
        <v>1639</v>
      </c>
      <c r="C805">
        <v>1773</v>
      </c>
      <c r="D805" t="s">
        <v>47</v>
      </c>
      <c r="E805" t="s">
        <v>13</v>
      </c>
      <c r="F805" t="s">
        <v>71</v>
      </c>
      <c r="G805">
        <v>4</v>
      </c>
      <c r="H805">
        <v>200</v>
      </c>
      <c r="I805" t="s">
        <v>20</v>
      </c>
      <c r="J805">
        <v>5</v>
      </c>
    </row>
    <row r="806" spans="1:10">
      <c r="A806" t="s">
        <v>1640</v>
      </c>
      <c r="B806" t="s">
        <v>1641</v>
      </c>
      <c r="C806">
        <v>1226</v>
      </c>
      <c r="D806" t="s">
        <v>12</v>
      </c>
      <c r="E806" t="s">
        <v>27</v>
      </c>
      <c r="F806" t="s">
        <v>28</v>
      </c>
      <c r="G806">
        <v>73</v>
      </c>
      <c r="H806">
        <v>1174</v>
      </c>
      <c r="I806" t="s">
        <v>20</v>
      </c>
      <c r="J806">
        <v>3</v>
      </c>
    </row>
    <row r="807" spans="1:10">
      <c r="A807" t="s">
        <v>1642</v>
      </c>
      <c r="B807" t="s">
        <v>1643</v>
      </c>
      <c r="C807">
        <v>1512</v>
      </c>
      <c r="D807" t="s">
        <v>32</v>
      </c>
      <c r="E807" t="s">
        <v>19</v>
      </c>
      <c r="F807" t="s">
        <v>59</v>
      </c>
      <c r="G807">
        <v>27</v>
      </c>
      <c r="H807">
        <v>766</v>
      </c>
      <c r="I807" t="s">
        <v>15</v>
      </c>
      <c r="J807">
        <v>4</v>
      </c>
    </row>
    <row r="808" spans="1:10">
      <c r="A808" t="s">
        <v>1644</v>
      </c>
      <c r="B808" t="s">
        <v>1645</v>
      </c>
      <c r="C808">
        <v>1006</v>
      </c>
      <c r="D808" t="s">
        <v>47</v>
      </c>
      <c r="E808" t="s">
        <v>19</v>
      </c>
      <c r="F808" t="s">
        <v>59</v>
      </c>
      <c r="G808">
        <v>16</v>
      </c>
      <c r="I808" t="s">
        <v>44</v>
      </c>
    </row>
    <row r="809" spans="1:10">
      <c r="A809" t="s">
        <v>1646</v>
      </c>
      <c r="B809" t="s">
        <v>1647</v>
      </c>
      <c r="C809">
        <v>1767</v>
      </c>
      <c r="D809" t="s">
        <v>18</v>
      </c>
      <c r="E809" t="s">
        <v>27</v>
      </c>
      <c r="F809" t="s">
        <v>54</v>
      </c>
      <c r="G809">
        <v>152</v>
      </c>
      <c r="H809">
        <v>1620</v>
      </c>
      <c r="I809" t="s">
        <v>15</v>
      </c>
      <c r="J809">
        <v>5</v>
      </c>
    </row>
    <row r="810" spans="1:10">
      <c r="A810" t="s">
        <v>1648</v>
      </c>
      <c r="B810" t="s">
        <v>1649</v>
      </c>
      <c r="C810">
        <v>1899</v>
      </c>
      <c r="D810" t="s">
        <v>12</v>
      </c>
      <c r="E810" t="s">
        <v>13</v>
      </c>
      <c r="F810" t="s">
        <v>23</v>
      </c>
      <c r="G810">
        <v>11</v>
      </c>
      <c r="H810">
        <v>81</v>
      </c>
      <c r="I810" t="s">
        <v>20</v>
      </c>
      <c r="J810">
        <v>4</v>
      </c>
    </row>
    <row r="811" spans="1:10">
      <c r="A811" t="s">
        <v>1650</v>
      </c>
      <c r="B811" t="s">
        <v>1651</v>
      </c>
      <c r="C811">
        <v>1622</v>
      </c>
      <c r="D811" t="s">
        <v>26</v>
      </c>
      <c r="E811" t="s">
        <v>19</v>
      </c>
      <c r="F811" t="s">
        <v>14</v>
      </c>
      <c r="G811">
        <v>46</v>
      </c>
      <c r="H811">
        <v>495</v>
      </c>
      <c r="I811" t="s">
        <v>15</v>
      </c>
    </row>
    <row r="812" spans="1:10">
      <c r="A812" t="s">
        <v>1652</v>
      </c>
      <c r="B812" t="s">
        <v>1653</v>
      </c>
      <c r="C812">
        <v>1664</v>
      </c>
      <c r="D812" t="s">
        <v>47</v>
      </c>
      <c r="E812" t="s">
        <v>27</v>
      </c>
      <c r="F812" t="s">
        <v>59</v>
      </c>
      <c r="G812">
        <v>174</v>
      </c>
      <c r="H812">
        <v>3360</v>
      </c>
      <c r="I812" t="s">
        <v>20</v>
      </c>
      <c r="J812">
        <v>5</v>
      </c>
    </row>
    <row r="813" spans="1:10">
      <c r="A813" t="s">
        <v>1654</v>
      </c>
      <c r="B813" t="s">
        <v>1655</v>
      </c>
      <c r="C813">
        <v>1697</v>
      </c>
      <c r="D813" t="s">
        <v>47</v>
      </c>
      <c r="E813" t="s">
        <v>27</v>
      </c>
      <c r="F813" t="s">
        <v>34</v>
      </c>
      <c r="G813">
        <v>70</v>
      </c>
      <c r="H813">
        <v>1960</v>
      </c>
      <c r="I813" t="s">
        <v>20</v>
      </c>
      <c r="J813">
        <v>5</v>
      </c>
    </row>
    <row r="814" spans="1:10">
      <c r="A814" t="s">
        <v>1656</v>
      </c>
      <c r="B814" t="s">
        <v>1657</v>
      </c>
      <c r="C814">
        <v>1429</v>
      </c>
      <c r="D814" t="s">
        <v>47</v>
      </c>
      <c r="E814" t="s">
        <v>19</v>
      </c>
      <c r="F814" t="s">
        <v>28</v>
      </c>
      <c r="G814">
        <v>36</v>
      </c>
      <c r="H814">
        <v>316</v>
      </c>
      <c r="I814" t="s">
        <v>15</v>
      </c>
    </row>
    <row r="815" spans="1:10">
      <c r="A815" t="s">
        <v>1658</v>
      </c>
      <c r="B815" t="s">
        <v>1659</v>
      </c>
      <c r="C815">
        <v>1857</v>
      </c>
      <c r="D815" t="s">
        <v>12</v>
      </c>
      <c r="E815" t="s">
        <v>27</v>
      </c>
      <c r="F815" t="s">
        <v>34</v>
      </c>
      <c r="G815">
        <v>66</v>
      </c>
      <c r="H815">
        <v>2815</v>
      </c>
      <c r="I815" t="s">
        <v>15</v>
      </c>
      <c r="J815">
        <v>2</v>
      </c>
    </row>
    <row r="816" spans="1:10">
      <c r="A816" t="s">
        <v>1660</v>
      </c>
      <c r="B816" t="s">
        <v>1661</v>
      </c>
      <c r="C816">
        <v>1999</v>
      </c>
      <c r="D816" t="s">
        <v>32</v>
      </c>
      <c r="E816" t="s">
        <v>27</v>
      </c>
      <c r="F816" t="s">
        <v>14</v>
      </c>
      <c r="G816">
        <v>133</v>
      </c>
      <c r="I816" t="s">
        <v>29</v>
      </c>
    </row>
    <row r="817" spans="1:10">
      <c r="A817" t="s">
        <v>1662</v>
      </c>
      <c r="B817" t="s">
        <v>1663</v>
      </c>
      <c r="C817">
        <v>1524</v>
      </c>
      <c r="D817" t="s">
        <v>12</v>
      </c>
      <c r="E817" t="s">
        <v>19</v>
      </c>
      <c r="F817" t="s">
        <v>59</v>
      </c>
      <c r="G817">
        <v>33</v>
      </c>
      <c r="H817">
        <v>1116</v>
      </c>
      <c r="I817" t="s">
        <v>15</v>
      </c>
      <c r="J817">
        <v>1</v>
      </c>
    </row>
    <row r="818" spans="1:10">
      <c r="A818" t="s">
        <v>1664</v>
      </c>
      <c r="B818" t="s">
        <v>1665</v>
      </c>
      <c r="C818">
        <v>1111</v>
      </c>
      <c r="D818" t="s">
        <v>18</v>
      </c>
      <c r="E818" t="s">
        <v>27</v>
      </c>
      <c r="F818" t="s">
        <v>23</v>
      </c>
      <c r="G818">
        <v>71</v>
      </c>
      <c r="I818" t="s">
        <v>29</v>
      </c>
    </row>
    <row r="819" spans="1:10">
      <c r="A819" t="s">
        <v>1666</v>
      </c>
      <c r="B819" t="s">
        <v>1667</v>
      </c>
      <c r="C819">
        <v>1129</v>
      </c>
      <c r="D819" t="s">
        <v>47</v>
      </c>
      <c r="E819" t="s">
        <v>33</v>
      </c>
      <c r="F819" t="s">
        <v>43</v>
      </c>
      <c r="G819">
        <v>465</v>
      </c>
      <c r="H819">
        <v>7309</v>
      </c>
      <c r="I819" t="s">
        <v>20</v>
      </c>
      <c r="J819">
        <v>2</v>
      </c>
    </row>
    <row r="820" spans="1:10">
      <c r="A820" t="s">
        <v>1668</v>
      </c>
      <c r="B820" t="s">
        <v>1669</v>
      </c>
      <c r="C820">
        <v>1556</v>
      </c>
      <c r="D820" t="s">
        <v>47</v>
      </c>
      <c r="E820" t="s">
        <v>13</v>
      </c>
      <c r="F820" t="s">
        <v>59</v>
      </c>
      <c r="G820">
        <v>7</v>
      </c>
      <c r="H820">
        <v>220</v>
      </c>
      <c r="I820" t="s">
        <v>15</v>
      </c>
      <c r="J820">
        <v>3</v>
      </c>
    </row>
    <row r="821" spans="1:10">
      <c r="A821" t="s">
        <v>1670</v>
      </c>
      <c r="B821" t="s">
        <v>1671</v>
      </c>
      <c r="C821">
        <v>1436</v>
      </c>
      <c r="D821" t="s">
        <v>12</v>
      </c>
      <c r="E821" t="s">
        <v>33</v>
      </c>
      <c r="F821" t="s">
        <v>14</v>
      </c>
      <c r="G821">
        <v>125</v>
      </c>
      <c r="H821">
        <v>2370</v>
      </c>
      <c r="I821" t="s">
        <v>15</v>
      </c>
    </row>
    <row r="822" spans="1:10">
      <c r="A822" t="s">
        <v>1672</v>
      </c>
      <c r="B822" t="s">
        <v>1673</v>
      </c>
      <c r="C822">
        <v>1079</v>
      </c>
      <c r="D822" t="s">
        <v>18</v>
      </c>
      <c r="E822" t="s">
        <v>27</v>
      </c>
      <c r="F822" t="s">
        <v>28</v>
      </c>
      <c r="G822">
        <v>40</v>
      </c>
      <c r="H822">
        <v>3440</v>
      </c>
      <c r="I822" t="s">
        <v>15</v>
      </c>
    </row>
    <row r="823" spans="1:10">
      <c r="A823" t="s">
        <v>1674</v>
      </c>
      <c r="B823" t="s">
        <v>1675</v>
      </c>
      <c r="C823">
        <v>1194</v>
      </c>
      <c r="D823" t="s">
        <v>12</v>
      </c>
      <c r="E823" t="s">
        <v>33</v>
      </c>
      <c r="F823" t="s">
        <v>59</v>
      </c>
      <c r="G823">
        <v>245</v>
      </c>
      <c r="I823" t="s">
        <v>44</v>
      </c>
    </row>
    <row r="824" spans="1:10">
      <c r="A824" t="s">
        <v>1676</v>
      </c>
      <c r="B824" t="s">
        <v>1677</v>
      </c>
      <c r="C824">
        <v>1401</v>
      </c>
      <c r="D824" t="s">
        <v>47</v>
      </c>
      <c r="E824" t="s">
        <v>33</v>
      </c>
      <c r="F824" t="s">
        <v>28</v>
      </c>
      <c r="G824">
        <v>332</v>
      </c>
      <c r="H824">
        <v>5689</v>
      </c>
      <c r="I824" t="s">
        <v>15</v>
      </c>
    </row>
    <row r="825" spans="1:10">
      <c r="A825" t="s">
        <v>1678</v>
      </c>
      <c r="B825" t="s">
        <v>1679</v>
      </c>
      <c r="C825">
        <v>1497</v>
      </c>
      <c r="D825" t="s">
        <v>18</v>
      </c>
      <c r="E825" t="s">
        <v>19</v>
      </c>
      <c r="F825" t="s">
        <v>64</v>
      </c>
      <c r="G825">
        <v>29</v>
      </c>
      <c r="H825">
        <v>653</v>
      </c>
      <c r="I825" t="s">
        <v>15</v>
      </c>
      <c r="J825">
        <v>4</v>
      </c>
    </row>
    <row r="826" spans="1:10">
      <c r="A826" t="s">
        <v>1680</v>
      </c>
      <c r="B826" t="s">
        <v>1681</v>
      </c>
      <c r="C826">
        <v>1329</v>
      </c>
      <c r="D826" t="s">
        <v>12</v>
      </c>
      <c r="E826" t="s">
        <v>27</v>
      </c>
      <c r="F826" t="s">
        <v>34</v>
      </c>
      <c r="G826">
        <v>139</v>
      </c>
      <c r="H826">
        <v>2768</v>
      </c>
      <c r="I826" t="s">
        <v>15</v>
      </c>
    </row>
    <row r="827" spans="1:10">
      <c r="A827" t="s">
        <v>1682</v>
      </c>
      <c r="B827" t="s">
        <v>1683</v>
      </c>
      <c r="C827">
        <v>1209</v>
      </c>
      <c r="D827" t="s">
        <v>32</v>
      </c>
      <c r="E827" t="s">
        <v>27</v>
      </c>
      <c r="F827" t="s">
        <v>54</v>
      </c>
      <c r="G827">
        <v>32</v>
      </c>
      <c r="I827" t="s">
        <v>44</v>
      </c>
    </row>
    <row r="828" spans="1:10">
      <c r="A828" t="s">
        <v>1684</v>
      </c>
      <c r="B828" t="s">
        <v>1685</v>
      </c>
      <c r="C828">
        <v>1793</v>
      </c>
      <c r="D828" t="s">
        <v>12</v>
      </c>
      <c r="E828" t="s">
        <v>33</v>
      </c>
      <c r="F828" t="s">
        <v>54</v>
      </c>
      <c r="G828">
        <v>74</v>
      </c>
      <c r="H828">
        <v>1645</v>
      </c>
      <c r="I828" t="s">
        <v>15</v>
      </c>
      <c r="J828">
        <v>5</v>
      </c>
    </row>
    <row r="829" spans="1:10">
      <c r="A829" t="s">
        <v>1686</v>
      </c>
      <c r="B829" t="s">
        <v>1687</v>
      </c>
      <c r="C829">
        <v>1386</v>
      </c>
      <c r="D829" t="s">
        <v>26</v>
      </c>
      <c r="E829" t="s">
        <v>27</v>
      </c>
      <c r="F829" t="s">
        <v>23</v>
      </c>
      <c r="G829">
        <v>166</v>
      </c>
      <c r="H829">
        <v>1457</v>
      </c>
      <c r="I829" t="s">
        <v>15</v>
      </c>
      <c r="J829">
        <v>4</v>
      </c>
    </row>
    <row r="830" spans="1:10">
      <c r="A830" t="s">
        <v>1688</v>
      </c>
      <c r="B830" t="s">
        <v>1689</v>
      </c>
      <c r="C830">
        <v>1885</v>
      </c>
      <c r="D830" t="s">
        <v>12</v>
      </c>
      <c r="E830" t="s">
        <v>27</v>
      </c>
      <c r="F830" t="s">
        <v>54</v>
      </c>
      <c r="G830">
        <v>90</v>
      </c>
      <c r="H830">
        <v>2207</v>
      </c>
      <c r="I830" t="s">
        <v>15</v>
      </c>
      <c r="J830">
        <v>2</v>
      </c>
    </row>
    <row r="831" spans="1:10">
      <c r="A831" t="s">
        <v>1690</v>
      </c>
      <c r="B831" t="s">
        <v>1691</v>
      </c>
      <c r="C831">
        <v>1929</v>
      </c>
      <c r="D831" t="s">
        <v>47</v>
      </c>
      <c r="E831" t="s">
        <v>33</v>
      </c>
      <c r="F831" t="s">
        <v>34</v>
      </c>
      <c r="G831">
        <v>269</v>
      </c>
      <c r="I831" t="s">
        <v>29</v>
      </c>
    </row>
    <row r="832" spans="1:10">
      <c r="A832" t="s">
        <v>1692</v>
      </c>
      <c r="B832" t="s">
        <v>1693</v>
      </c>
      <c r="C832">
        <v>1846</v>
      </c>
      <c r="D832" t="s">
        <v>26</v>
      </c>
      <c r="E832" t="s">
        <v>13</v>
      </c>
      <c r="F832" t="s">
        <v>43</v>
      </c>
      <c r="G832">
        <v>6</v>
      </c>
      <c r="H832">
        <v>262</v>
      </c>
      <c r="I832" t="s">
        <v>15</v>
      </c>
    </row>
    <row r="833" spans="1:10">
      <c r="A833" t="s">
        <v>1694</v>
      </c>
      <c r="B833" t="s">
        <v>1695</v>
      </c>
      <c r="C833">
        <v>1426</v>
      </c>
      <c r="D833" t="s">
        <v>47</v>
      </c>
      <c r="E833" t="s">
        <v>13</v>
      </c>
      <c r="F833" t="s">
        <v>23</v>
      </c>
      <c r="G833">
        <v>12</v>
      </c>
      <c r="H833">
        <v>76</v>
      </c>
      <c r="I833" t="s">
        <v>15</v>
      </c>
      <c r="J833">
        <v>5</v>
      </c>
    </row>
    <row r="834" spans="1:10">
      <c r="A834" t="s">
        <v>1696</v>
      </c>
      <c r="B834" t="s">
        <v>1697</v>
      </c>
      <c r="C834">
        <v>1005</v>
      </c>
      <c r="D834" t="s">
        <v>18</v>
      </c>
      <c r="E834" t="s">
        <v>33</v>
      </c>
      <c r="F834" t="s">
        <v>14</v>
      </c>
      <c r="G834">
        <v>180</v>
      </c>
      <c r="I834" t="s">
        <v>44</v>
      </c>
    </row>
    <row r="835" spans="1:10">
      <c r="A835" t="s">
        <v>1698</v>
      </c>
      <c r="B835" t="s">
        <v>1699</v>
      </c>
      <c r="C835">
        <v>1975</v>
      </c>
      <c r="D835" t="s">
        <v>26</v>
      </c>
      <c r="E835" t="s">
        <v>33</v>
      </c>
      <c r="F835" t="s">
        <v>23</v>
      </c>
      <c r="G835">
        <v>152</v>
      </c>
      <c r="H835">
        <v>8146</v>
      </c>
      <c r="I835" t="s">
        <v>20</v>
      </c>
      <c r="J835">
        <v>2</v>
      </c>
    </row>
    <row r="836" spans="1:10">
      <c r="A836" t="s">
        <v>1700</v>
      </c>
      <c r="B836" t="s">
        <v>1701</v>
      </c>
      <c r="C836">
        <v>1047</v>
      </c>
      <c r="D836" t="s">
        <v>12</v>
      </c>
      <c r="E836" t="s">
        <v>13</v>
      </c>
      <c r="F836" t="s">
        <v>34</v>
      </c>
      <c r="G836">
        <v>11</v>
      </c>
      <c r="H836">
        <v>197</v>
      </c>
      <c r="I836" t="s">
        <v>15</v>
      </c>
    </row>
    <row r="837" spans="1:10">
      <c r="A837" t="s">
        <v>1702</v>
      </c>
      <c r="B837" t="s">
        <v>1703</v>
      </c>
      <c r="C837">
        <v>1951</v>
      </c>
      <c r="D837" t="s">
        <v>18</v>
      </c>
      <c r="E837" t="s">
        <v>27</v>
      </c>
      <c r="F837" t="s">
        <v>14</v>
      </c>
      <c r="G837">
        <v>178</v>
      </c>
      <c r="H837">
        <v>1599</v>
      </c>
      <c r="I837" t="s">
        <v>15</v>
      </c>
      <c r="J837">
        <v>3</v>
      </c>
    </row>
    <row r="838" spans="1:10">
      <c r="A838" t="s">
        <v>1704</v>
      </c>
      <c r="B838" t="s">
        <v>1705</v>
      </c>
      <c r="C838">
        <v>1129</v>
      </c>
      <c r="D838" t="s">
        <v>47</v>
      </c>
      <c r="E838" t="s">
        <v>27</v>
      </c>
      <c r="F838" t="s">
        <v>64</v>
      </c>
      <c r="G838">
        <v>83</v>
      </c>
      <c r="I838" t="s">
        <v>44</v>
      </c>
    </row>
    <row r="839" spans="1:10">
      <c r="A839" t="s">
        <v>1706</v>
      </c>
      <c r="B839" t="s">
        <v>1707</v>
      </c>
      <c r="C839">
        <v>1105</v>
      </c>
      <c r="D839" t="s">
        <v>18</v>
      </c>
      <c r="E839" t="s">
        <v>27</v>
      </c>
      <c r="F839" t="s">
        <v>43</v>
      </c>
      <c r="G839">
        <v>83</v>
      </c>
      <c r="H839">
        <v>2275</v>
      </c>
      <c r="I839" t="s">
        <v>15</v>
      </c>
      <c r="J839">
        <v>5</v>
      </c>
    </row>
    <row r="840" spans="1:10">
      <c r="A840" t="s">
        <v>1708</v>
      </c>
      <c r="B840" t="s">
        <v>1709</v>
      </c>
      <c r="C840">
        <v>1754</v>
      </c>
      <c r="D840" t="s">
        <v>32</v>
      </c>
      <c r="E840" t="s">
        <v>27</v>
      </c>
      <c r="F840" t="s">
        <v>71</v>
      </c>
      <c r="G840">
        <v>126</v>
      </c>
      <c r="H840">
        <v>1919</v>
      </c>
      <c r="I840" t="s">
        <v>20</v>
      </c>
    </row>
    <row r="841" spans="1:10">
      <c r="A841" t="s">
        <v>1710</v>
      </c>
      <c r="B841" t="s">
        <v>1711</v>
      </c>
      <c r="C841">
        <v>1133</v>
      </c>
      <c r="D841" t="s">
        <v>32</v>
      </c>
      <c r="E841" t="s">
        <v>27</v>
      </c>
      <c r="F841" t="s">
        <v>59</v>
      </c>
      <c r="G841">
        <v>69</v>
      </c>
      <c r="H841">
        <v>3323</v>
      </c>
      <c r="I841" t="s">
        <v>15</v>
      </c>
      <c r="J841">
        <v>1</v>
      </c>
    </row>
    <row r="842" spans="1:10">
      <c r="A842" t="s">
        <v>1712</v>
      </c>
      <c r="B842" t="s">
        <v>1713</v>
      </c>
      <c r="C842">
        <v>1827</v>
      </c>
      <c r="D842" t="s">
        <v>26</v>
      </c>
      <c r="E842" t="s">
        <v>27</v>
      </c>
      <c r="F842" t="s">
        <v>54</v>
      </c>
      <c r="G842">
        <v>112</v>
      </c>
      <c r="H842">
        <v>1365</v>
      </c>
      <c r="I842" t="s">
        <v>15</v>
      </c>
    </row>
    <row r="843" spans="1:10">
      <c r="A843" t="s">
        <v>1714</v>
      </c>
      <c r="B843" t="s">
        <v>1715</v>
      </c>
      <c r="C843">
        <v>1343</v>
      </c>
      <c r="D843" t="s">
        <v>32</v>
      </c>
      <c r="E843" t="s">
        <v>33</v>
      </c>
      <c r="F843" t="s">
        <v>59</v>
      </c>
      <c r="G843">
        <v>277</v>
      </c>
      <c r="H843">
        <v>3362</v>
      </c>
      <c r="I843" t="s">
        <v>20</v>
      </c>
    </row>
    <row r="844" spans="1:10">
      <c r="A844" t="s">
        <v>1716</v>
      </c>
      <c r="B844" t="s">
        <v>1717</v>
      </c>
      <c r="C844">
        <v>1735</v>
      </c>
      <c r="D844" t="s">
        <v>32</v>
      </c>
      <c r="E844" t="s">
        <v>13</v>
      </c>
      <c r="F844" t="s">
        <v>64</v>
      </c>
      <c r="G844">
        <v>2</v>
      </c>
      <c r="H844">
        <v>49</v>
      </c>
      <c r="I844" t="s">
        <v>15</v>
      </c>
      <c r="J844">
        <v>2</v>
      </c>
    </row>
    <row r="845" spans="1:10">
      <c r="A845" t="s">
        <v>1718</v>
      </c>
      <c r="B845" t="s">
        <v>1719</v>
      </c>
      <c r="C845">
        <v>1536</v>
      </c>
      <c r="D845" t="s">
        <v>18</v>
      </c>
      <c r="E845" t="s">
        <v>19</v>
      </c>
      <c r="F845" t="s">
        <v>23</v>
      </c>
      <c r="G845">
        <v>10</v>
      </c>
      <c r="I845" t="s">
        <v>44</v>
      </c>
    </row>
    <row r="846" spans="1:10">
      <c r="A846" t="s">
        <v>1720</v>
      </c>
      <c r="B846" t="s">
        <v>1721</v>
      </c>
      <c r="C846">
        <v>1433</v>
      </c>
      <c r="D846" t="s">
        <v>47</v>
      </c>
      <c r="E846" t="s">
        <v>27</v>
      </c>
      <c r="F846" t="s">
        <v>54</v>
      </c>
      <c r="G846">
        <v>114</v>
      </c>
      <c r="H846">
        <v>2752</v>
      </c>
      <c r="I846" t="s">
        <v>20</v>
      </c>
      <c r="J846">
        <v>5</v>
      </c>
    </row>
    <row r="847" spans="1:10">
      <c r="A847" t="s">
        <v>1722</v>
      </c>
      <c r="B847" t="s">
        <v>1723</v>
      </c>
      <c r="C847">
        <v>1957</v>
      </c>
      <c r="D847" t="s">
        <v>12</v>
      </c>
      <c r="E847" t="s">
        <v>27</v>
      </c>
      <c r="F847" t="s">
        <v>43</v>
      </c>
      <c r="G847">
        <v>42</v>
      </c>
      <c r="H847">
        <v>2241</v>
      </c>
      <c r="I847" t="s">
        <v>15</v>
      </c>
    </row>
    <row r="848" spans="1:10">
      <c r="A848" t="s">
        <v>1724</v>
      </c>
      <c r="B848" t="s">
        <v>1725</v>
      </c>
      <c r="C848">
        <v>1505</v>
      </c>
      <c r="D848" t="s">
        <v>18</v>
      </c>
      <c r="E848" t="s">
        <v>33</v>
      </c>
      <c r="F848" t="s">
        <v>23</v>
      </c>
      <c r="G848">
        <v>159</v>
      </c>
      <c r="H848">
        <v>7753</v>
      </c>
      <c r="I848" t="s">
        <v>15</v>
      </c>
    </row>
    <row r="849" spans="1:10">
      <c r="A849" t="s">
        <v>1726</v>
      </c>
      <c r="B849" t="s">
        <v>1727</v>
      </c>
      <c r="C849">
        <v>1011</v>
      </c>
      <c r="D849" t="s">
        <v>26</v>
      </c>
      <c r="E849" t="s">
        <v>13</v>
      </c>
      <c r="F849" t="s">
        <v>71</v>
      </c>
      <c r="G849">
        <v>4</v>
      </c>
      <c r="H849">
        <v>324</v>
      </c>
      <c r="I849" t="s">
        <v>15</v>
      </c>
      <c r="J849">
        <v>4</v>
      </c>
    </row>
    <row r="850" spans="1:10">
      <c r="A850" t="s">
        <v>1728</v>
      </c>
      <c r="B850" t="s">
        <v>1729</v>
      </c>
      <c r="C850">
        <v>1028</v>
      </c>
      <c r="D850" t="s">
        <v>12</v>
      </c>
      <c r="E850" t="s">
        <v>33</v>
      </c>
      <c r="F850" t="s">
        <v>28</v>
      </c>
      <c r="G850">
        <v>298</v>
      </c>
      <c r="H850">
        <v>2310</v>
      </c>
      <c r="I850" t="s">
        <v>20</v>
      </c>
      <c r="J850">
        <v>2</v>
      </c>
    </row>
    <row r="851" spans="1:10">
      <c r="A851" t="s">
        <v>1730</v>
      </c>
      <c r="B851" t="s">
        <v>1731</v>
      </c>
      <c r="C851">
        <v>1859</v>
      </c>
      <c r="D851" t="s">
        <v>12</v>
      </c>
      <c r="E851" t="s">
        <v>33</v>
      </c>
      <c r="F851" t="s">
        <v>64</v>
      </c>
      <c r="G851">
        <v>103</v>
      </c>
      <c r="H851">
        <v>3445</v>
      </c>
      <c r="I851" t="s">
        <v>15</v>
      </c>
      <c r="J851">
        <v>2</v>
      </c>
    </row>
    <row r="852" spans="1:10">
      <c r="A852" t="s">
        <v>1732</v>
      </c>
      <c r="B852" t="s">
        <v>1733</v>
      </c>
      <c r="C852">
        <v>1962</v>
      </c>
      <c r="D852" t="s">
        <v>47</v>
      </c>
      <c r="E852" t="s">
        <v>19</v>
      </c>
      <c r="F852" t="s">
        <v>54</v>
      </c>
      <c r="G852">
        <v>27</v>
      </c>
      <c r="I852" t="s">
        <v>29</v>
      </c>
    </row>
    <row r="853" spans="1:10">
      <c r="A853" t="s">
        <v>1734</v>
      </c>
      <c r="B853" t="s">
        <v>1735</v>
      </c>
      <c r="C853">
        <v>1594</v>
      </c>
      <c r="D853" t="s">
        <v>32</v>
      </c>
      <c r="E853" t="s">
        <v>19</v>
      </c>
      <c r="F853" t="s">
        <v>14</v>
      </c>
      <c r="G853">
        <v>18</v>
      </c>
      <c r="I853" t="s">
        <v>29</v>
      </c>
    </row>
    <row r="854" spans="1:10">
      <c r="A854" t="s">
        <v>1736</v>
      </c>
      <c r="B854" t="s">
        <v>1737</v>
      </c>
      <c r="C854">
        <v>1924</v>
      </c>
      <c r="D854" t="s">
        <v>12</v>
      </c>
      <c r="E854" t="s">
        <v>19</v>
      </c>
      <c r="F854" t="s">
        <v>14</v>
      </c>
      <c r="G854">
        <v>36</v>
      </c>
      <c r="I854" t="s">
        <v>29</v>
      </c>
    </row>
    <row r="855" spans="1:10">
      <c r="A855" t="s">
        <v>1738</v>
      </c>
      <c r="B855" t="s">
        <v>1739</v>
      </c>
      <c r="C855">
        <v>1399</v>
      </c>
      <c r="D855" t="s">
        <v>18</v>
      </c>
      <c r="E855" t="s">
        <v>13</v>
      </c>
      <c r="F855" t="s">
        <v>34</v>
      </c>
      <c r="G855">
        <v>10</v>
      </c>
      <c r="H855">
        <v>218</v>
      </c>
      <c r="I855" t="s">
        <v>15</v>
      </c>
      <c r="J855">
        <v>5</v>
      </c>
    </row>
    <row r="856" spans="1:10">
      <c r="A856" t="s">
        <v>1740</v>
      </c>
      <c r="B856" t="s">
        <v>1741</v>
      </c>
      <c r="C856">
        <v>1223</v>
      </c>
      <c r="D856" t="s">
        <v>26</v>
      </c>
      <c r="E856" t="s">
        <v>13</v>
      </c>
      <c r="F856" t="s">
        <v>23</v>
      </c>
      <c r="G856">
        <v>11</v>
      </c>
      <c r="H856">
        <v>334</v>
      </c>
      <c r="I856" t="s">
        <v>20</v>
      </c>
      <c r="J856">
        <v>3</v>
      </c>
    </row>
    <row r="857" spans="1:10">
      <c r="A857" t="s">
        <v>1742</v>
      </c>
      <c r="B857" t="s">
        <v>1743</v>
      </c>
      <c r="C857">
        <v>1784</v>
      </c>
      <c r="D857" t="s">
        <v>26</v>
      </c>
      <c r="E857" t="s">
        <v>19</v>
      </c>
      <c r="F857" t="s">
        <v>14</v>
      </c>
      <c r="G857">
        <v>9</v>
      </c>
      <c r="I857" t="s">
        <v>44</v>
      </c>
    </row>
    <row r="858" spans="1:10">
      <c r="A858" t="s">
        <v>1744</v>
      </c>
      <c r="B858" t="s">
        <v>1745</v>
      </c>
      <c r="C858">
        <v>1533</v>
      </c>
      <c r="D858" t="s">
        <v>32</v>
      </c>
      <c r="E858" t="s">
        <v>13</v>
      </c>
      <c r="F858" t="s">
        <v>59</v>
      </c>
      <c r="G858">
        <v>3</v>
      </c>
      <c r="H858">
        <v>292</v>
      </c>
      <c r="I858" t="s">
        <v>20</v>
      </c>
      <c r="J858">
        <v>2</v>
      </c>
    </row>
    <row r="859" spans="1:10">
      <c r="A859" t="s">
        <v>1746</v>
      </c>
      <c r="B859" t="s">
        <v>1747</v>
      </c>
      <c r="C859">
        <v>1256</v>
      </c>
      <c r="D859" t="s">
        <v>26</v>
      </c>
      <c r="E859" t="s">
        <v>27</v>
      </c>
      <c r="F859" t="s">
        <v>34</v>
      </c>
      <c r="G859">
        <v>108</v>
      </c>
      <c r="H859">
        <v>3438</v>
      </c>
      <c r="I859" t="s">
        <v>15</v>
      </c>
      <c r="J859">
        <v>5</v>
      </c>
    </row>
    <row r="860" spans="1:10">
      <c r="A860" t="s">
        <v>1748</v>
      </c>
      <c r="B860" t="s">
        <v>1749</v>
      </c>
      <c r="C860">
        <v>1702</v>
      </c>
      <c r="D860" t="s">
        <v>47</v>
      </c>
      <c r="E860" t="s">
        <v>13</v>
      </c>
      <c r="F860" t="s">
        <v>64</v>
      </c>
      <c r="G860">
        <v>10</v>
      </c>
      <c r="H860">
        <v>311</v>
      </c>
      <c r="I860" t="s">
        <v>20</v>
      </c>
      <c r="J860">
        <v>2</v>
      </c>
    </row>
    <row r="861" spans="1:10">
      <c r="A861" t="s">
        <v>1750</v>
      </c>
      <c r="B861" t="s">
        <v>1751</v>
      </c>
      <c r="C861">
        <v>1832</v>
      </c>
      <c r="D861" t="s">
        <v>18</v>
      </c>
      <c r="E861" t="s">
        <v>27</v>
      </c>
      <c r="F861" t="s">
        <v>34</v>
      </c>
      <c r="G861">
        <v>111</v>
      </c>
      <c r="H861">
        <v>1020</v>
      </c>
      <c r="I861" t="s">
        <v>20</v>
      </c>
      <c r="J861">
        <v>5</v>
      </c>
    </row>
    <row r="862" spans="1:10">
      <c r="A862" t="s">
        <v>1752</v>
      </c>
      <c r="B862" t="s">
        <v>1753</v>
      </c>
      <c r="C862">
        <v>1106</v>
      </c>
      <c r="D862" t="s">
        <v>26</v>
      </c>
      <c r="E862" t="s">
        <v>27</v>
      </c>
      <c r="F862" t="s">
        <v>43</v>
      </c>
      <c r="G862">
        <v>65</v>
      </c>
      <c r="H862">
        <v>2942</v>
      </c>
      <c r="I862" t="s">
        <v>15</v>
      </c>
      <c r="J862">
        <v>3</v>
      </c>
    </row>
    <row r="863" spans="1:10">
      <c r="A863" t="s">
        <v>1754</v>
      </c>
      <c r="B863" t="s">
        <v>1755</v>
      </c>
      <c r="C863">
        <v>1387</v>
      </c>
      <c r="D863" t="s">
        <v>32</v>
      </c>
      <c r="E863" t="s">
        <v>19</v>
      </c>
      <c r="F863" t="s">
        <v>34</v>
      </c>
      <c r="G863">
        <v>46</v>
      </c>
      <c r="H863">
        <v>623</v>
      </c>
      <c r="I863" t="s">
        <v>20</v>
      </c>
      <c r="J863">
        <v>2</v>
      </c>
    </row>
    <row r="864" spans="1:10">
      <c r="A864" t="s">
        <v>1756</v>
      </c>
      <c r="B864" t="s">
        <v>1757</v>
      </c>
      <c r="C864">
        <v>1296</v>
      </c>
      <c r="D864" t="s">
        <v>12</v>
      </c>
      <c r="E864" t="s">
        <v>33</v>
      </c>
      <c r="F864" t="s">
        <v>28</v>
      </c>
      <c r="G864">
        <v>285</v>
      </c>
      <c r="I864" t="s">
        <v>29</v>
      </c>
    </row>
    <row r="865" spans="1:10">
      <c r="A865" t="s">
        <v>1758</v>
      </c>
      <c r="B865" t="s">
        <v>1759</v>
      </c>
      <c r="C865">
        <v>1292</v>
      </c>
      <c r="D865" t="s">
        <v>12</v>
      </c>
      <c r="E865" t="s">
        <v>33</v>
      </c>
      <c r="F865" t="s">
        <v>59</v>
      </c>
      <c r="G865">
        <v>324</v>
      </c>
      <c r="H865">
        <v>3500</v>
      </c>
      <c r="I865" t="s">
        <v>15</v>
      </c>
    </row>
    <row r="866" spans="1:10">
      <c r="A866" t="s">
        <v>1760</v>
      </c>
      <c r="B866" t="s">
        <v>1761</v>
      </c>
      <c r="C866">
        <v>1925</v>
      </c>
      <c r="D866" t="s">
        <v>32</v>
      </c>
      <c r="E866" t="s">
        <v>27</v>
      </c>
      <c r="F866" t="s">
        <v>43</v>
      </c>
      <c r="G866">
        <v>163</v>
      </c>
      <c r="H866">
        <v>1707</v>
      </c>
      <c r="I866" t="s">
        <v>15</v>
      </c>
      <c r="J866">
        <v>1</v>
      </c>
    </row>
    <row r="867" spans="1:10">
      <c r="A867" t="s">
        <v>1762</v>
      </c>
      <c r="B867" t="s">
        <v>1763</v>
      </c>
      <c r="C867">
        <v>1926</v>
      </c>
      <c r="D867" t="s">
        <v>47</v>
      </c>
      <c r="E867" t="s">
        <v>33</v>
      </c>
      <c r="F867" t="s">
        <v>71</v>
      </c>
      <c r="G867">
        <v>168</v>
      </c>
      <c r="H867">
        <v>2223</v>
      </c>
      <c r="I867" t="s">
        <v>20</v>
      </c>
    </row>
    <row r="868" spans="1:10">
      <c r="A868" t="s">
        <v>1764</v>
      </c>
      <c r="B868" t="s">
        <v>1765</v>
      </c>
      <c r="C868">
        <v>1121</v>
      </c>
      <c r="D868" t="s">
        <v>12</v>
      </c>
      <c r="E868" t="s">
        <v>27</v>
      </c>
      <c r="F868" t="s">
        <v>71</v>
      </c>
      <c r="G868">
        <v>79</v>
      </c>
      <c r="H868">
        <v>2410</v>
      </c>
      <c r="I868" t="s">
        <v>15</v>
      </c>
    </row>
    <row r="869" spans="1:10">
      <c r="A869" t="s">
        <v>1766</v>
      </c>
      <c r="B869" t="s">
        <v>1767</v>
      </c>
      <c r="C869">
        <v>1066</v>
      </c>
      <c r="D869" t="s">
        <v>26</v>
      </c>
      <c r="E869" t="s">
        <v>19</v>
      </c>
      <c r="F869" t="s">
        <v>34</v>
      </c>
      <c r="G869">
        <v>20</v>
      </c>
      <c r="H869">
        <v>1169</v>
      </c>
      <c r="I869" t="s">
        <v>15</v>
      </c>
      <c r="J869">
        <v>2</v>
      </c>
    </row>
    <row r="870" spans="1:10">
      <c r="A870" t="s">
        <v>1768</v>
      </c>
      <c r="B870" t="s">
        <v>1769</v>
      </c>
      <c r="C870">
        <v>1379</v>
      </c>
      <c r="D870" t="s">
        <v>47</v>
      </c>
      <c r="E870" t="s">
        <v>33</v>
      </c>
      <c r="F870" t="s">
        <v>28</v>
      </c>
      <c r="G870">
        <v>244</v>
      </c>
      <c r="H870">
        <v>8810</v>
      </c>
      <c r="I870" t="s">
        <v>15</v>
      </c>
    </row>
    <row r="871" spans="1:10">
      <c r="A871" t="s">
        <v>1770</v>
      </c>
      <c r="B871" t="s">
        <v>1771</v>
      </c>
      <c r="C871">
        <v>1852</v>
      </c>
      <c r="D871" t="s">
        <v>26</v>
      </c>
      <c r="E871" t="s">
        <v>33</v>
      </c>
      <c r="F871" t="s">
        <v>34</v>
      </c>
      <c r="G871">
        <v>190</v>
      </c>
      <c r="H871">
        <v>6578</v>
      </c>
      <c r="I871" t="s">
        <v>15</v>
      </c>
      <c r="J871">
        <v>3</v>
      </c>
    </row>
    <row r="872" spans="1:10">
      <c r="A872" t="s">
        <v>1772</v>
      </c>
      <c r="B872" t="s">
        <v>1773</v>
      </c>
      <c r="C872">
        <v>1569</v>
      </c>
      <c r="D872" t="s">
        <v>26</v>
      </c>
      <c r="E872" t="s">
        <v>19</v>
      </c>
      <c r="F872" t="s">
        <v>64</v>
      </c>
      <c r="G872">
        <v>39</v>
      </c>
      <c r="H872">
        <v>1190</v>
      </c>
      <c r="I872" t="s">
        <v>15</v>
      </c>
      <c r="J872">
        <v>1</v>
      </c>
    </row>
    <row r="873" spans="1:10">
      <c r="A873" t="s">
        <v>1774</v>
      </c>
      <c r="B873" t="s">
        <v>1775</v>
      </c>
      <c r="C873">
        <v>1854</v>
      </c>
      <c r="D873" t="s">
        <v>12</v>
      </c>
      <c r="E873" t="s">
        <v>33</v>
      </c>
      <c r="F873" t="s">
        <v>23</v>
      </c>
      <c r="G873">
        <v>301</v>
      </c>
      <c r="H873">
        <v>5323</v>
      </c>
      <c r="I873" t="s">
        <v>15</v>
      </c>
      <c r="J873">
        <v>1</v>
      </c>
    </row>
    <row r="874" spans="1:10">
      <c r="A874" t="s">
        <v>1776</v>
      </c>
      <c r="B874" t="s">
        <v>1777</v>
      </c>
      <c r="C874">
        <v>1665</v>
      </c>
      <c r="D874" t="s">
        <v>12</v>
      </c>
      <c r="E874" t="s">
        <v>27</v>
      </c>
      <c r="F874" t="s">
        <v>59</v>
      </c>
      <c r="G874">
        <v>102</v>
      </c>
      <c r="H874">
        <v>985</v>
      </c>
      <c r="I874" t="s">
        <v>15</v>
      </c>
      <c r="J874">
        <v>1</v>
      </c>
    </row>
    <row r="875" spans="1:10">
      <c r="A875" t="s">
        <v>1778</v>
      </c>
      <c r="B875" t="s">
        <v>1779</v>
      </c>
      <c r="C875">
        <v>1326</v>
      </c>
      <c r="D875" t="s">
        <v>12</v>
      </c>
      <c r="E875" t="s">
        <v>33</v>
      </c>
      <c r="F875" t="s">
        <v>71</v>
      </c>
      <c r="G875">
        <v>416</v>
      </c>
      <c r="H875">
        <v>6158</v>
      </c>
      <c r="I875" t="s">
        <v>15</v>
      </c>
      <c r="J875">
        <v>4</v>
      </c>
    </row>
    <row r="876" spans="1:10">
      <c r="A876" t="s">
        <v>1780</v>
      </c>
      <c r="B876" t="s">
        <v>1781</v>
      </c>
      <c r="C876">
        <v>1401</v>
      </c>
      <c r="D876" t="s">
        <v>18</v>
      </c>
      <c r="E876" t="s">
        <v>13</v>
      </c>
      <c r="F876" t="s">
        <v>54</v>
      </c>
      <c r="G876">
        <v>3</v>
      </c>
      <c r="H876">
        <v>305</v>
      </c>
      <c r="I876" t="s">
        <v>15</v>
      </c>
    </row>
    <row r="877" spans="1:10">
      <c r="A877" t="s">
        <v>1782</v>
      </c>
      <c r="B877" t="s">
        <v>1783</v>
      </c>
      <c r="C877">
        <v>1587</v>
      </c>
      <c r="D877" t="s">
        <v>18</v>
      </c>
      <c r="E877" t="s">
        <v>33</v>
      </c>
      <c r="F877" t="s">
        <v>23</v>
      </c>
      <c r="G877">
        <v>388</v>
      </c>
      <c r="I877" t="s">
        <v>29</v>
      </c>
    </row>
    <row r="878" spans="1:10">
      <c r="A878" t="s">
        <v>1784</v>
      </c>
      <c r="B878" t="s">
        <v>1785</v>
      </c>
      <c r="C878">
        <v>1663</v>
      </c>
      <c r="D878" t="s">
        <v>12</v>
      </c>
      <c r="E878" t="s">
        <v>27</v>
      </c>
      <c r="F878" t="s">
        <v>64</v>
      </c>
      <c r="G878">
        <v>33</v>
      </c>
      <c r="H878">
        <v>2291</v>
      </c>
      <c r="I878" t="s">
        <v>20</v>
      </c>
      <c r="J878">
        <v>4</v>
      </c>
    </row>
    <row r="879" spans="1:10">
      <c r="A879" t="s">
        <v>1786</v>
      </c>
      <c r="B879" t="s">
        <v>1787</v>
      </c>
      <c r="C879">
        <v>1965</v>
      </c>
      <c r="D879" t="s">
        <v>18</v>
      </c>
      <c r="E879" t="s">
        <v>13</v>
      </c>
      <c r="F879" t="s">
        <v>14</v>
      </c>
      <c r="G879">
        <v>12</v>
      </c>
      <c r="H879">
        <v>316</v>
      </c>
      <c r="I879" t="s">
        <v>20</v>
      </c>
    </row>
    <row r="880" spans="1:10">
      <c r="A880" t="s">
        <v>1788</v>
      </c>
      <c r="B880" t="s">
        <v>1789</v>
      </c>
      <c r="C880">
        <v>1915</v>
      </c>
      <c r="D880" t="s">
        <v>47</v>
      </c>
      <c r="E880" t="s">
        <v>33</v>
      </c>
      <c r="F880" t="s">
        <v>14</v>
      </c>
      <c r="G880">
        <v>371</v>
      </c>
      <c r="H880">
        <v>6026</v>
      </c>
      <c r="I880" t="s">
        <v>20</v>
      </c>
      <c r="J880">
        <v>4</v>
      </c>
    </row>
    <row r="881" spans="1:10">
      <c r="A881" t="s">
        <v>1790</v>
      </c>
      <c r="B881" t="s">
        <v>1791</v>
      </c>
      <c r="C881">
        <v>1414</v>
      </c>
      <c r="D881" t="s">
        <v>18</v>
      </c>
      <c r="E881" t="s">
        <v>27</v>
      </c>
      <c r="F881" t="s">
        <v>23</v>
      </c>
      <c r="G881">
        <v>134</v>
      </c>
      <c r="I881" t="s">
        <v>44</v>
      </c>
    </row>
    <row r="882" spans="1:10">
      <c r="A882" t="s">
        <v>1792</v>
      </c>
      <c r="B882" t="s">
        <v>1793</v>
      </c>
      <c r="C882">
        <v>1113</v>
      </c>
      <c r="D882" t="s">
        <v>47</v>
      </c>
      <c r="E882" t="s">
        <v>19</v>
      </c>
      <c r="F882" t="s">
        <v>14</v>
      </c>
      <c r="G882">
        <v>18</v>
      </c>
      <c r="H882">
        <v>1069</v>
      </c>
      <c r="I882" t="s">
        <v>15</v>
      </c>
    </row>
    <row r="883" spans="1:10">
      <c r="A883" t="s">
        <v>1794</v>
      </c>
      <c r="B883" t="s">
        <v>1795</v>
      </c>
      <c r="C883">
        <v>1001</v>
      </c>
      <c r="D883" t="s">
        <v>12</v>
      </c>
      <c r="E883" t="s">
        <v>33</v>
      </c>
      <c r="F883" t="s">
        <v>28</v>
      </c>
      <c r="G883">
        <v>97</v>
      </c>
      <c r="H883">
        <v>1694</v>
      </c>
      <c r="I883" t="s">
        <v>15</v>
      </c>
      <c r="J883">
        <v>3</v>
      </c>
    </row>
    <row r="884" spans="1:10">
      <c r="A884" t="s">
        <v>1796</v>
      </c>
      <c r="B884" t="s">
        <v>1797</v>
      </c>
      <c r="C884">
        <v>1112</v>
      </c>
      <c r="D884" t="s">
        <v>32</v>
      </c>
      <c r="E884" t="s">
        <v>27</v>
      </c>
      <c r="F884" t="s">
        <v>34</v>
      </c>
      <c r="G884">
        <v>129</v>
      </c>
      <c r="H884">
        <v>3227</v>
      </c>
      <c r="I884" t="s">
        <v>15</v>
      </c>
      <c r="J884">
        <v>4</v>
      </c>
    </row>
    <row r="885" spans="1:10">
      <c r="A885" t="s">
        <v>1798</v>
      </c>
      <c r="B885" t="s">
        <v>1799</v>
      </c>
      <c r="C885">
        <v>1586</v>
      </c>
      <c r="D885" t="s">
        <v>32</v>
      </c>
      <c r="E885" t="s">
        <v>27</v>
      </c>
      <c r="F885" t="s">
        <v>71</v>
      </c>
      <c r="G885">
        <v>147</v>
      </c>
      <c r="H885">
        <v>771</v>
      </c>
      <c r="I885" t="s">
        <v>15</v>
      </c>
      <c r="J885">
        <v>3</v>
      </c>
    </row>
    <row r="886" spans="1:10">
      <c r="A886" t="s">
        <v>1800</v>
      </c>
      <c r="B886" t="s">
        <v>1801</v>
      </c>
      <c r="C886">
        <v>1956</v>
      </c>
      <c r="D886" t="s">
        <v>26</v>
      </c>
      <c r="E886" t="s">
        <v>27</v>
      </c>
      <c r="F886" t="s">
        <v>64</v>
      </c>
      <c r="G886">
        <v>134</v>
      </c>
      <c r="H886">
        <v>1367</v>
      </c>
      <c r="I886" t="s">
        <v>15</v>
      </c>
      <c r="J886">
        <v>1</v>
      </c>
    </row>
    <row r="887" spans="1:10">
      <c r="A887" t="s">
        <v>1802</v>
      </c>
      <c r="B887" t="s">
        <v>1803</v>
      </c>
      <c r="C887">
        <v>1416</v>
      </c>
      <c r="D887" t="s">
        <v>18</v>
      </c>
      <c r="E887" t="s">
        <v>19</v>
      </c>
      <c r="F887" t="s">
        <v>64</v>
      </c>
      <c r="G887">
        <v>34</v>
      </c>
      <c r="H887">
        <v>994</v>
      </c>
      <c r="I887" t="s">
        <v>15</v>
      </c>
    </row>
    <row r="888" spans="1:10">
      <c r="A888" t="s">
        <v>1804</v>
      </c>
      <c r="B888" t="s">
        <v>1805</v>
      </c>
      <c r="C888">
        <v>1493</v>
      </c>
      <c r="D888" t="s">
        <v>18</v>
      </c>
      <c r="E888" t="s">
        <v>13</v>
      </c>
      <c r="F888" t="s">
        <v>71</v>
      </c>
      <c r="G888">
        <v>10</v>
      </c>
      <c r="H888">
        <v>326</v>
      </c>
      <c r="I888" t="s">
        <v>15</v>
      </c>
    </row>
    <row r="889" spans="1:10">
      <c r="A889" t="s">
        <v>1806</v>
      </c>
      <c r="B889" t="s">
        <v>1807</v>
      </c>
      <c r="C889">
        <v>1557</v>
      </c>
      <c r="D889" t="s">
        <v>18</v>
      </c>
      <c r="E889" t="s">
        <v>13</v>
      </c>
      <c r="F889" t="s">
        <v>28</v>
      </c>
      <c r="G889">
        <v>9</v>
      </c>
      <c r="I889" t="s">
        <v>29</v>
      </c>
    </row>
    <row r="890" spans="1:10">
      <c r="A890" t="s">
        <v>1808</v>
      </c>
      <c r="B890" t="s">
        <v>1809</v>
      </c>
      <c r="C890">
        <v>1548</v>
      </c>
      <c r="D890" t="s">
        <v>12</v>
      </c>
      <c r="E890" t="s">
        <v>19</v>
      </c>
      <c r="F890" t="s">
        <v>34</v>
      </c>
      <c r="G890">
        <v>12</v>
      </c>
      <c r="I890" t="s">
        <v>29</v>
      </c>
    </row>
    <row r="891" spans="1:10">
      <c r="A891" t="s">
        <v>1810</v>
      </c>
      <c r="B891" t="s">
        <v>1811</v>
      </c>
      <c r="C891">
        <v>1746</v>
      </c>
      <c r="D891" t="s">
        <v>18</v>
      </c>
      <c r="E891" t="s">
        <v>33</v>
      </c>
      <c r="F891" t="s">
        <v>28</v>
      </c>
      <c r="G891">
        <v>441</v>
      </c>
      <c r="H891">
        <v>7228</v>
      </c>
      <c r="I891" t="s">
        <v>20</v>
      </c>
      <c r="J891">
        <v>4</v>
      </c>
    </row>
    <row r="892" spans="1:10">
      <c r="A892" t="s">
        <v>1812</v>
      </c>
      <c r="B892" t="s">
        <v>1813</v>
      </c>
      <c r="C892">
        <v>1640</v>
      </c>
      <c r="D892" t="s">
        <v>26</v>
      </c>
      <c r="E892" t="s">
        <v>33</v>
      </c>
      <c r="F892" t="s">
        <v>64</v>
      </c>
      <c r="G892">
        <v>187</v>
      </c>
      <c r="H892">
        <v>7741</v>
      </c>
      <c r="I892" t="s">
        <v>20</v>
      </c>
      <c r="J892">
        <v>2</v>
      </c>
    </row>
    <row r="893" spans="1:10">
      <c r="A893" t="s">
        <v>1814</v>
      </c>
      <c r="B893" t="s">
        <v>1815</v>
      </c>
      <c r="C893">
        <v>1919</v>
      </c>
      <c r="D893" t="s">
        <v>32</v>
      </c>
      <c r="E893" t="s">
        <v>27</v>
      </c>
      <c r="F893" t="s">
        <v>71</v>
      </c>
      <c r="G893">
        <v>119</v>
      </c>
      <c r="H893">
        <v>2380</v>
      </c>
      <c r="I893" t="s">
        <v>15</v>
      </c>
      <c r="J893">
        <v>3</v>
      </c>
    </row>
    <row r="894" spans="1:10">
      <c r="A894" t="s">
        <v>1816</v>
      </c>
      <c r="B894" t="s">
        <v>1817</v>
      </c>
      <c r="C894">
        <v>1580</v>
      </c>
      <c r="D894" t="s">
        <v>26</v>
      </c>
      <c r="E894" t="s">
        <v>19</v>
      </c>
      <c r="F894" t="s">
        <v>23</v>
      </c>
      <c r="G894">
        <v>20</v>
      </c>
      <c r="H894">
        <v>609</v>
      </c>
      <c r="I894" t="s">
        <v>15</v>
      </c>
      <c r="J894">
        <v>2</v>
      </c>
    </row>
    <row r="895" spans="1:10">
      <c r="A895" t="s">
        <v>1818</v>
      </c>
      <c r="B895" t="s">
        <v>1819</v>
      </c>
      <c r="C895">
        <v>1573</v>
      </c>
      <c r="D895" t="s">
        <v>32</v>
      </c>
      <c r="E895" t="s">
        <v>13</v>
      </c>
      <c r="F895" t="s">
        <v>43</v>
      </c>
      <c r="G895">
        <v>2</v>
      </c>
      <c r="I895" t="s">
        <v>29</v>
      </c>
    </row>
    <row r="896" spans="1:10">
      <c r="A896" t="s">
        <v>1820</v>
      </c>
      <c r="B896" t="s">
        <v>1821</v>
      </c>
      <c r="C896">
        <v>1027</v>
      </c>
      <c r="D896" t="s">
        <v>47</v>
      </c>
      <c r="E896" t="s">
        <v>13</v>
      </c>
      <c r="F896" t="s">
        <v>43</v>
      </c>
      <c r="G896">
        <v>10</v>
      </c>
      <c r="H896">
        <v>406</v>
      </c>
      <c r="I896" t="s">
        <v>15</v>
      </c>
      <c r="J896">
        <v>3</v>
      </c>
    </row>
    <row r="897" spans="1:10">
      <c r="A897" t="s">
        <v>1822</v>
      </c>
      <c r="B897" t="s">
        <v>1823</v>
      </c>
      <c r="C897">
        <v>1059</v>
      </c>
      <c r="D897" t="s">
        <v>32</v>
      </c>
      <c r="E897" t="s">
        <v>13</v>
      </c>
      <c r="F897" t="s">
        <v>23</v>
      </c>
      <c r="G897">
        <v>8</v>
      </c>
      <c r="H897">
        <v>137</v>
      </c>
      <c r="I897" t="s">
        <v>15</v>
      </c>
      <c r="J897">
        <v>4</v>
      </c>
    </row>
    <row r="898" spans="1:10">
      <c r="A898" t="s">
        <v>1824</v>
      </c>
      <c r="B898" t="s">
        <v>1825</v>
      </c>
      <c r="C898">
        <v>1516</v>
      </c>
      <c r="D898" t="s">
        <v>47</v>
      </c>
      <c r="E898" t="s">
        <v>13</v>
      </c>
      <c r="F898" t="s">
        <v>54</v>
      </c>
      <c r="G898">
        <v>2</v>
      </c>
      <c r="H898">
        <v>394</v>
      </c>
      <c r="I898" t="s">
        <v>15</v>
      </c>
      <c r="J898">
        <v>1</v>
      </c>
    </row>
    <row r="899" spans="1:10">
      <c r="A899" t="s">
        <v>1826</v>
      </c>
      <c r="B899" t="s">
        <v>1827</v>
      </c>
      <c r="C899">
        <v>1123</v>
      </c>
      <c r="D899" t="s">
        <v>47</v>
      </c>
      <c r="E899" t="s">
        <v>27</v>
      </c>
      <c r="F899" t="s">
        <v>23</v>
      </c>
      <c r="G899">
        <v>136</v>
      </c>
      <c r="H899">
        <v>1724</v>
      </c>
      <c r="I899" t="s">
        <v>15</v>
      </c>
      <c r="J899">
        <v>3</v>
      </c>
    </row>
    <row r="900" spans="1:10">
      <c r="A900" t="s">
        <v>1828</v>
      </c>
      <c r="B900" t="s">
        <v>1829</v>
      </c>
      <c r="C900">
        <v>1881</v>
      </c>
      <c r="D900" t="s">
        <v>26</v>
      </c>
      <c r="E900" t="s">
        <v>27</v>
      </c>
      <c r="F900" t="s">
        <v>43</v>
      </c>
      <c r="G900">
        <v>171</v>
      </c>
      <c r="H900">
        <v>3049</v>
      </c>
      <c r="I900" t="s">
        <v>15</v>
      </c>
      <c r="J900">
        <v>1</v>
      </c>
    </row>
    <row r="901" spans="1:10">
      <c r="A901" t="s">
        <v>1830</v>
      </c>
      <c r="B901" t="s">
        <v>1831</v>
      </c>
      <c r="C901">
        <v>1575</v>
      </c>
      <c r="D901" t="s">
        <v>26</v>
      </c>
      <c r="E901" t="s">
        <v>33</v>
      </c>
      <c r="F901" t="s">
        <v>54</v>
      </c>
      <c r="G901">
        <v>416</v>
      </c>
      <c r="H901">
        <v>1357</v>
      </c>
      <c r="I901" t="s">
        <v>20</v>
      </c>
    </row>
    <row r="902" spans="1:10">
      <c r="A902" t="s">
        <v>1832</v>
      </c>
      <c r="B902" t="s">
        <v>1833</v>
      </c>
      <c r="C902">
        <v>1445</v>
      </c>
      <c r="D902" t="s">
        <v>12</v>
      </c>
      <c r="E902" t="s">
        <v>33</v>
      </c>
      <c r="F902" t="s">
        <v>54</v>
      </c>
      <c r="G902">
        <v>416</v>
      </c>
      <c r="H902">
        <v>1828</v>
      </c>
      <c r="I902" t="s">
        <v>15</v>
      </c>
      <c r="J902">
        <v>2</v>
      </c>
    </row>
    <row r="903" spans="1:10">
      <c r="A903" t="s">
        <v>1834</v>
      </c>
      <c r="B903" t="s">
        <v>1835</v>
      </c>
      <c r="C903">
        <v>1625</v>
      </c>
      <c r="D903" t="s">
        <v>32</v>
      </c>
      <c r="E903" t="s">
        <v>13</v>
      </c>
      <c r="F903" t="s">
        <v>64</v>
      </c>
      <c r="G903">
        <v>3</v>
      </c>
      <c r="H903">
        <v>239</v>
      </c>
      <c r="I903" t="s">
        <v>15</v>
      </c>
    </row>
    <row r="904" spans="1:10">
      <c r="A904" t="s">
        <v>1836</v>
      </c>
      <c r="B904" t="s">
        <v>1837</v>
      </c>
      <c r="C904">
        <v>1036</v>
      </c>
      <c r="D904" t="s">
        <v>26</v>
      </c>
      <c r="E904" t="s">
        <v>27</v>
      </c>
      <c r="F904" t="s">
        <v>14</v>
      </c>
      <c r="G904">
        <v>119</v>
      </c>
      <c r="H904">
        <v>776</v>
      </c>
      <c r="I904" t="s">
        <v>15</v>
      </c>
      <c r="J904">
        <v>1</v>
      </c>
    </row>
    <row r="905" spans="1:10">
      <c r="A905" t="s">
        <v>1838</v>
      </c>
      <c r="B905" t="s">
        <v>1839</v>
      </c>
      <c r="C905">
        <v>1019</v>
      </c>
      <c r="D905" t="s">
        <v>47</v>
      </c>
      <c r="E905" t="s">
        <v>33</v>
      </c>
      <c r="F905" t="s">
        <v>14</v>
      </c>
      <c r="G905">
        <v>459</v>
      </c>
      <c r="I905" t="s">
        <v>44</v>
      </c>
    </row>
    <row r="906" spans="1:10">
      <c r="A906" t="s">
        <v>1840</v>
      </c>
      <c r="B906" t="s">
        <v>1841</v>
      </c>
      <c r="C906">
        <v>1263</v>
      </c>
      <c r="D906" t="s">
        <v>47</v>
      </c>
      <c r="E906" t="s">
        <v>19</v>
      </c>
      <c r="F906" t="s">
        <v>28</v>
      </c>
      <c r="G906">
        <v>28</v>
      </c>
      <c r="H906">
        <v>514</v>
      </c>
      <c r="I906" t="s">
        <v>15</v>
      </c>
    </row>
    <row r="907" spans="1:10">
      <c r="A907" t="s">
        <v>1842</v>
      </c>
      <c r="B907" t="s">
        <v>1843</v>
      </c>
      <c r="C907">
        <v>1750</v>
      </c>
      <c r="D907" t="s">
        <v>12</v>
      </c>
      <c r="E907" t="s">
        <v>33</v>
      </c>
      <c r="F907" t="s">
        <v>23</v>
      </c>
      <c r="G907">
        <v>205</v>
      </c>
      <c r="I907" t="s">
        <v>44</v>
      </c>
    </row>
    <row r="908" spans="1:10">
      <c r="A908" t="s">
        <v>1844</v>
      </c>
      <c r="B908" t="s">
        <v>1845</v>
      </c>
      <c r="C908">
        <v>1937</v>
      </c>
      <c r="D908" t="s">
        <v>32</v>
      </c>
      <c r="E908" t="s">
        <v>13</v>
      </c>
      <c r="F908" t="s">
        <v>23</v>
      </c>
      <c r="G908">
        <v>7</v>
      </c>
      <c r="I908" t="s">
        <v>44</v>
      </c>
    </row>
    <row r="909" spans="1:10">
      <c r="A909" t="s">
        <v>1846</v>
      </c>
      <c r="B909" t="s">
        <v>1847</v>
      </c>
      <c r="C909">
        <v>1647</v>
      </c>
      <c r="D909" t="s">
        <v>32</v>
      </c>
      <c r="E909" t="s">
        <v>27</v>
      </c>
      <c r="F909" t="s">
        <v>64</v>
      </c>
      <c r="G909">
        <v>147</v>
      </c>
      <c r="H909">
        <v>1450</v>
      </c>
      <c r="I909" t="s">
        <v>15</v>
      </c>
    </row>
    <row r="910" spans="1:10">
      <c r="A910" t="s">
        <v>1848</v>
      </c>
      <c r="B910" t="s">
        <v>1849</v>
      </c>
      <c r="C910">
        <v>1540</v>
      </c>
      <c r="D910" t="s">
        <v>47</v>
      </c>
      <c r="E910" t="s">
        <v>33</v>
      </c>
      <c r="F910" t="s">
        <v>64</v>
      </c>
      <c r="G910">
        <v>278</v>
      </c>
      <c r="H910">
        <v>7542</v>
      </c>
      <c r="I910" t="s">
        <v>15</v>
      </c>
    </row>
    <row r="911" spans="1:10">
      <c r="A911" t="s">
        <v>1850</v>
      </c>
      <c r="B911" t="s">
        <v>1851</v>
      </c>
      <c r="C911">
        <v>1154</v>
      </c>
      <c r="D911" t="s">
        <v>47</v>
      </c>
      <c r="E911" t="s">
        <v>27</v>
      </c>
      <c r="F911" t="s">
        <v>59</v>
      </c>
      <c r="G911">
        <v>136</v>
      </c>
      <c r="H911">
        <v>2987</v>
      </c>
      <c r="I911" t="s">
        <v>20</v>
      </c>
    </row>
    <row r="912" spans="1:10">
      <c r="A912" t="s">
        <v>1852</v>
      </c>
      <c r="B912" t="s">
        <v>1853</v>
      </c>
      <c r="C912">
        <v>1784</v>
      </c>
      <c r="D912" t="s">
        <v>32</v>
      </c>
      <c r="E912" t="s">
        <v>27</v>
      </c>
      <c r="F912" t="s">
        <v>23</v>
      </c>
      <c r="G912">
        <v>123</v>
      </c>
      <c r="I912" t="s">
        <v>29</v>
      </c>
    </row>
    <row r="913" spans="1:10">
      <c r="A913" t="s">
        <v>1854</v>
      </c>
      <c r="B913" t="s">
        <v>1855</v>
      </c>
      <c r="C913">
        <v>1962</v>
      </c>
      <c r="D913" t="s">
        <v>32</v>
      </c>
      <c r="E913" t="s">
        <v>27</v>
      </c>
      <c r="F913" t="s">
        <v>43</v>
      </c>
      <c r="G913">
        <v>85</v>
      </c>
      <c r="H913">
        <v>1789</v>
      </c>
      <c r="I913" t="s">
        <v>15</v>
      </c>
      <c r="J913">
        <v>2</v>
      </c>
    </row>
    <row r="914" spans="1:10">
      <c r="A914" t="s">
        <v>1856</v>
      </c>
      <c r="B914" t="s">
        <v>1857</v>
      </c>
      <c r="C914">
        <v>1904</v>
      </c>
      <c r="D914" t="s">
        <v>26</v>
      </c>
      <c r="E914" t="s">
        <v>19</v>
      </c>
      <c r="F914" t="s">
        <v>14</v>
      </c>
      <c r="G914">
        <v>34</v>
      </c>
      <c r="H914">
        <v>500</v>
      </c>
      <c r="I914" t="s">
        <v>20</v>
      </c>
    </row>
    <row r="915" spans="1:10">
      <c r="A915" t="s">
        <v>1858</v>
      </c>
      <c r="B915" t="s">
        <v>1859</v>
      </c>
      <c r="C915">
        <v>1618</v>
      </c>
      <c r="D915" t="s">
        <v>32</v>
      </c>
      <c r="E915" t="s">
        <v>13</v>
      </c>
      <c r="F915" t="s">
        <v>34</v>
      </c>
      <c r="G915">
        <v>3</v>
      </c>
      <c r="H915">
        <v>327</v>
      </c>
      <c r="I915" t="s">
        <v>15</v>
      </c>
      <c r="J915">
        <v>1</v>
      </c>
    </row>
    <row r="916" spans="1:10">
      <c r="A916" t="s">
        <v>1860</v>
      </c>
      <c r="B916" t="s">
        <v>1861</v>
      </c>
      <c r="C916">
        <v>1090</v>
      </c>
      <c r="D916" t="s">
        <v>47</v>
      </c>
      <c r="E916" t="s">
        <v>27</v>
      </c>
      <c r="F916" t="s">
        <v>34</v>
      </c>
      <c r="G916">
        <v>153</v>
      </c>
      <c r="I916" t="s">
        <v>44</v>
      </c>
    </row>
    <row r="917" spans="1:10">
      <c r="A917" t="s">
        <v>1862</v>
      </c>
      <c r="B917" t="s">
        <v>1863</v>
      </c>
      <c r="C917">
        <v>1810</v>
      </c>
      <c r="D917" t="s">
        <v>26</v>
      </c>
      <c r="E917" t="s">
        <v>13</v>
      </c>
      <c r="F917" t="s">
        <v>54</v>
      </c>
      <c r="G917">
        <v>10</v>
      </c>
      <c r="H917">
        <v>123</v>
      </c>
      <c r="I917" t="s">
        <v>15</v>
      </c>
    </row>
    <row r="918" spans="1:10">
      <c r="A918" t="s">
        <v>1864</v>
      </c>
      <c r="B918" t="s">
        <v>1865</v>
      </c>
      <c r="C918">
        <v>1448</v>
      </c>
      <c r="D918" t="s">
        <v>18</v>
      </c>
      <c r="E918" t="s">
        <v>13</v>
      </c>
      <c r="F918" t="s">
        <v>23</v>
      </c>
      <c r="G918">
        <v>4</v>
      </c>
      <c r="I918" t="s">
        <v>29</v>
      </c>
    </row>
    <row r="919" spans="1:10">
      <c r="A919" t="s">
        <v>1866</v>
      </c>
      <c r="B919" t="s">
        <v>1867</v>
      </c>
      <c r="C919">
        <v>1308</v>
      </c>
      <c r="D919" t="s">
        <v>26</v>
      </c>
      <c r="E919" t="s">
        <v>27</v>
      </c>
      <c r="F919" t="s">
        <v>43</v>
      </c>
      <c r="G919">
        <v>91</v>
      </c>
      <c r="H919">
        <v>3001</v>
      </c>
      <c r="I919" t="s">
        <v>15</v>
      </c>
      <c r="J919">
        <v>4</v>
      </c>
    </row>
    <row r="920" spans="1:10">
      <c r="A920" t="s">
        <v>1868</v>
      </c>
      <c r="B920" t="s">
        <v>1869</v>
      </c>
      <c r="C920">
        <v>1289</v>
      </c>
      <c r="D920" t="s">
        <v>26</v>
      </c>
      <c r="E920" t="s">
        <v>19</v>
      </c>
      <c r="F920" t="s">
        <v>64</v>
      </c>
      <c r="G920">
        <v>32</v>
      </c>
      <c r="H920">
        <v>1024</v>
      </c>
      <c r="I920" t="s">
        <v>15</v>
      </c>
    </row>
    <row r="921" spans="1:10">
      <c r="A921" t="s">
        <v>1870</v>
      </c>
      <c r="B921" t="s">
        <v>1871</v>
      </c>
      <c r="C921">
        <v>1909</v>
      </c>
      <c r="D921" t="s">
        <v>18</v>
      </c>
      <c r="E921" t="s">
        <v>19</v>
      </c>
      <c r="F921" t="s">
        <v>71</v>
      </c>
      <c r="G921">
        <v>12</v>
      </c>
      <c r="H921">
        <v>763</v>
      </c>
      <c r="I921" t="s">
        <v>15</v>
      </c>
      <c r="J921">
        <v>5</v>
      </c>
    </row>
    <row r="922" spans="1:10">
      <c r="A922" t="s">
        <v>1872</v>
      </c>
      <c r="B922" t="s">
        <v>1873</v>
      </c>
      <c r="C922">
        <v>1009</v>
      </c>
      <c r="D922" t="s">
        <v>32</v>
      </c>
      <c r="E922" t="s">
        <v>13</v>
      </c>
      <c r="F922" t="s">
        <v>43</v>
      </c>
      <c r="G922">
        <v>4</v>
      </c>
      <c r="H922">
        <v>143</v>
      </c>
      <c r="I922" t="s">
        <v>15</v>
      </c>
      <c r="J922">
        <v>3</v>
      </c>
    </row>
    <row r="923" spans="1:10">
      <c r="A923" t="s">
        <v>1874</v>
      </c>
      <c r="B923" t="s">
        <v>1875</v>
      </c>
      <c r="C923">
        <v>1712</v>
      </c>
      <c r="D923" t="s">
        <v>12</v>
      </c>
      <c r="E923" t="s">
        <v>13</v>
      </c>
      <c r="F923" t="s">
        <v>34</v>
      </c>
      <c r="G923">
        <v>10</v>
      </c>
      <c r="H923">
        <v>299</v>
      </c>
      <c r="I923" t="s">
        <v>15</v>
      </c>
    </row>
    <row r="924" spans="1:10">
      <c r="A924" t="s">
        <v>1876</v>
      </c>
      <c r="B924" t="s">
        <v>1877</v>
      </c>
      <c r="C924">
        <v>1795</v>
      </c>
      <c r="D924" t="s">
        <v>26</v>
      </c>
      <c r="E924" t="s">
        <v>27</v>
      </c>
      <c r="F924" t="s">
        <v>23</v>
      </c>
      <c r="G924">
        <v>101</v>
      </c>
      <c r="I924" t="s">
        <v>44</v>
      </c>
    </row>
    <row r="925" spans="1:10">
      <c r="A925" t="s">
        <v>1878</v>
      </c>
      <c r="B925" t="s">
        <v>1879</v>
      </c>
      <c r="C925">
        <v>1590</v>
      </c>
      <c r="D925" t="s">
        <v>32</v>
      </c>
      <c r="E925" t="s">
        <v>27</v>
      </c>
      <c r="F925" t="s">
        <v>59</v>
      </c>
      <c r="G925">
        <v>90</v>
      </c>
      <c r="I925" t="s">
        <v>29</v>
      </c>
    </row>
    <row r="926" spans="1:10">
      <c r="A926" t="s">
        <v>1880</v>
      </c>
      <c r="B926" t="s">
        <v>1881</v>
      </c>
      <c r="C926">
        <v>1860</v>
      </c>
      <c r="D926" t="s">
        <v>18</v>
      </c>
      <c r="E926" t="s">
        <v>33</v>
      </c>
      <c r="F926" t="s">
        <v>59</v>
      </c>
      <c r="G926">
        <v>251</v>
      </c>
      <c r="H926">
        <v>7702</v>
      </c>
      <c r="I926" t="s">
        <v>20</v>
      </c>
    </row>
    <row r="927" spans="1:10">
      <c r="A927" t="s">
        <v>1882</v>
      </c>
      <c r="B927" t="s">
        <v>1883</v>
      </c>
      <c r="C927">
        <v>1529</v>
      </c>
      <c r="D927" t="s">
        <v>47</v>
      </c>
      <c r="E927" t="s">
        <v>19</v>
      </c>
      <c r="F927" t="s">
        <v>34</v>
      </c>
      <c r="G927">
        <v>32</v>
      </c>
      <c r="H927">
        <v>1041</v>
      </c>
      <c r="I927" t="s">
        <v>15</v>
      </c>
      <c r="J927">
        <v>4</v>
      </c>
    </row>
    <row r="928" spans="1:10">
      <c r="A928" t="s">
        <v>1884</v>
      </c>
      <c r="B928" t="s">
        <v>1885</v>
      </c>
      <c r="C928">
        <v>1112</v>
      </c>
      <c r="D928" t="s">
        <v>32</v>
      </c>
      <c r="E928" t="s">
        <v>19</v>
      </c>
      <c r="F928" t="s">
        <v>28</v>
      </c>
      <c r="G928">
        <v>10</v>
      </c>
      <c r="I928" t="s">
        <v>44</v>
      </c>
    </row>
    <row r="929" spans="1:10">
      <c r="A929" t="s">
        <v>1886</v>
      </c>
      <c r="B929" t="s">
        <v>1887</v>
      </c>
      <c r="C929">
        <v>1316</v>
      </c>
      <c r="D929" t="s">
        <v>18</v>
      </c>
      <c r="E929" t="s">
        <v>27</v>
      </c>
      <c r="F929" t="s">
        <v>43</v>
      </c>
      <c r="G929">
        <v>116</v>
      </c>
      <c r="H929">
        <v>2210</v>
      </c>
      <c r="I929" t="s">
        <v>15</v>
      </c>
    </row>
    <row r="930" spans="1:10">
      <c r="A930" t="s">
        <v>1888</v>
      </c>
      <c r="B930" t="s">
        <v>1889</v>
      </c>
      <c r="C930">
        <v>1983</v>
      </c>
      <c r="D930" t="s">
        <v>47</v>
      </c>
      <c r="E930" t="s">
        <v>13</v>
      </c>
      <c r="F930" t="s">
        <v>64</v>
      </c>
      <c r="G930">
        <v>7</v>
      </c>
      <c r="H930">
        <v>182</v>
      </c>
      <c r="I930" t="s">
        <v>20</v>
      </c>
    </row>
    <row r="931" spans="1:10">
      <c r="A931" t="s">
        <v>1890</v>
      </c>
      <c r="B931" t="s">
        <v>1891</v>
      </c>
      <c r="C931">
        <v>1625</v>
      </c>
      <c r="D931" t="s">
        <v>32</v>
      </c>
      <c r="E931" t="s">
        <v>27</v>
      </c>
      <c r="F931" t="s">
        <v>23</v>
      </c>
      <c r="G931">
        <v>37</v>
      </c>
      <c r="I931" t="s">
        <v>29</v>
      </c>
    </row>
    <row r="932" spans="1:10">
      <c r="A932" t="s">
        <v>1892</v>
      </c>
      <c r="B932" t="s">
        <v>1893</v>
      </c>
      <c r="C932">
        <v>1625</v>
      </c>
      <c r="D932" t="s">
        <v>32</v>
      </c>
      <c r="E932" t="s">
        <v>13</v>
      </c>
      <c r="F932" t="s">
        <v>28</v>
      </c>
      <c r="G932">
        <v>7</v>
      </c>
      <c r="H932">
        <v>140</v>
      </c>
      <c r="I932" t="s">
        <v>15</v>
      </c>
      <c r="J932">
        <v>3</v>
      </c>
    </row>
    <row r="933" spans="1:10">
      <c r="A933" t="s">
        <v>1894</v>
      </c>
      <c r="B933" t="s">
        <v>1895</v>
      </c>
      <c r="C933">
        <v>1149</v>
      </c>
      <c r="D933" t="s">
        <v>18</v>
      </c>
      <c r="E933" t="s">
        <v>33</v>
      </c>
      <c r="F933" t="s">
        <v>28</v>
      </c>
      <c r="G933">
        <v>238</v>
      </c>
      <c r="H933">
        <v>1619</v>
      </c>
      <c r="I933" t="s">
        <v>20</v>
      </c>
      <c r="J933">
        <v>4</v>
      </c>
    </row>
    <row r="934" spans="1:10">
      <c r="A934" t="s">
        <v>1896</v>
      </c>
      <c r="B934" t="s">
        <v>1897</v>
      </c>
      <c r="C934">
        <v>1792</v>
      </c>
      <c r="D934" t="s">
        <v>32</v>
      </c>
      <c r="E934" t="s">
        <v>27</v>
      </c>
      <c r="F934" t="s">
        <v>59</v>
      </c>
      <c r="G934">
        <v>84</v>
      </c>
      <c r="H934">
        <v>3021</v>
      </c>
      <c r="I934" t="s">
        <v>15</v>
      </c>
      <c r="J934">
        <v>4</v>
      </c>
    </row>
    <row r="935" spans="1:10">
      <c r="A935" t="s">
        <v>1898</v>
      </c>
      <c r="B935" t="s">
        <v>1899</v>
      </c>
      <c r="C935">
        <v>1523</v>
      </c>
      <c r="D935" t="s">
        <v>12</v>
      </c>
      <c r="E935" t="s">
        <v>19</v>
      </c>
      <c r="F935" t="s">
        <v>14</v>
      </c>
      <c r="G935">
        <v>19</v>
      </c>
      <c r="H935">
        <v>472</v>
      </c>
      <c r="I935" t="s">
        <v>15</v>
      </c>
      <c r="J935">
        <v>5</v>
      </c>
    </row>
    <row r="936" spans="1:10">
      <c r="A936" t="s">
        <v>1900</v>
      </c>
      <c r="B936" t="s">
        <v>1901</v>
      </c>
      <c r="C936">
        <v>1211</v>
      </c>
      <c r="D936" t="s">
        <v>47</v>
      </c>
      <c r="E936" t="s">
        <v>27</v>
      </c>
      <c r="F936" t="s">
        <v>14</v>
      </c>
      <c r="G936">
        <v>105</v>
      </c>
      <c r="H936">
        <v>3434</v>
      </c>
      <c r="I936" t="s">
        <v>15</v>
      </c>
      <c r="J936">
        <v>1</v>
      </c>
    </row>
    <row r="937" spans="1:10">
      <c r="A937" t="s">
        <v>1902</v>
      </c>
      <c r="B937" t="s">
        <v>1903</v>
      </c>
      <c r="C937">
        <v>1964</v>
      </c>
      <c r="D937" t="s">
        <v>26</v>
      </c>
      <c r="E937" t="s">
        <v>27</v>
      </c>
      <c r="F937" t="s">
        <v>59</v>
      </c>
      <c r="G937">
        <v>133</v>
      </c>
      <c r="H937">
        <v>3498</v>
      </c>
      <c r="I937" t="s">
        <v>20</v>
      </c>
      <c r="J937">
        <v>5</v>
      </c>
    </row>
    <row r="938" spans="1:10">
      <c r="A938" t="s">
        <v>1904</v>
      </c>
      <c r="B938" t="s">
        <v>1905</v>
      </c>
      <c r="C938">
        <v>1996</v>
      </c>
      <c r="D938" t="s">
        <v>47</v>
      </c>
      <c r="E938" t="s">
        <v>27</v>
      </c>
      <c r="F938" t="s">
        <v>64</v>
      </c>
      <c r="G938">
        <v>175</v>
      </c>
      <c r="H938">
        <v>904</v>
      </c>
      <c r="I938" t="s">
        <v>20</v>
      </c>
      <c r="J938">
        <v>3</v>
      </c>
    </row>
    <row r="939" spans="1:10">
      <c r="A939" t="s">
        <v>1906</v>
      </c>
      <c r="B939" t="s">
        <v>1907</v>
      </c>
      <c r="C939">
        <v>1919</v>
      </c>
      <c r="D939" t="s">
        <v>26</v>
      </c>
      <c r="E939" t="s">
        <v>13</v>
      </c>
      <c r="F939" t="s">
        <v>43</v>
      </c>
      <c r="G939">
        <v>6</v>
      </c>
      <c r="I939" t="s">
        <v>29</v>
      </c>
    </row>
    <row r="940" spans="1:10">
      <c r="A940" t="s">
        <v>1908</v>
      </c>
      <c r="B940" t="s">
        <v>1909</v>
      </c>
      <c r="C940">
        <v>1116</v>
      </c>
      <c r="D940" t="s">
        <v>32</v>
      </c>
      <c r="E940" t="s">
        <v>27</v>
      </c>
      <c r="F940" t="s">
        <v>28</v>
      </c>
      <c r="G940">
        <v>75</v>
      </c>
      <c r="H940">
        <v>804</v>
      </c>
      <c r="I940" t="s">
        <v>15</v>
      </c>
      <c r="J940">
        <v>5</v>
      </c>
    </row>
    <row r="941" spans="1:10">
      <c r="A941" t="s">
        <v>1910</v>
      </c>
      <c r="B941" t="s">
        <v>1911</v>
      </c>
      <c r="C941">
        <v>1079</v>
      </c>
      <c r="D941" t="s">
        <v>47</v>
      </c>
      <c r="E941" t="s">
        <v>19</v>
      </c>
      <c r="F941" t="s">
        <v>71</v>
      </c>
      <c r="G941">
        <v>10</v>
      </c>
      <c r="H941">
        <v>1076</v>
      </c>
      <c r="I941" t="s">
        <v>15</v>
      </c>
      <c r="J941">
        <v>5</v>
      </c>
    </row>
    <row r="942" spans="1:10">
      <c r="A942" t="s">
        <v>1912</v>
      </c>
      <c r="B942" t="s">
        <v>1913</v>
      </c>
      <c r="C942">
        <v>1131</v>
      </c>
      <c r="D942" t="s">
        <v>18</v>
      </c>
      <c r="E942" t="s">
        <v>27</v>
      </c>
      <c r="F942" t="s">
        <v>28</v>
      </c>
      <c r="G942">
        <v>32</v>
      </c>
      <c r="I942" t="s">
        <v>44</v>
      </c>
    </row>
    <row r="943" spans="1:10">
      <c r="A943" t="s">
        <v>1914</v>
      </c>
      <c r="B943" t="s">
        <v>1915</v>
      </c>
      <c r="C943">
        <v>1709</v>
      </c>
      <c r="D943" t="s">
        <v>32</v>
      </c>
      <c r="E943" t="s">
        <v>13</v>
      </c>
      <c r="F943" t="s">
        <v>28</v>
      </c>
      <c r="G943">
        <v>10</v>
      </c>
      <c r="H943">
        <v>394</v>
      </c>
      <c r="I943" t="s">
        <v>20</v>
      </c>
      <c r="J943">
        <v>5</v>
      </c>
    </row>
    <row r="944" spans="1:10">
      <c r="A944" t="s">
        <v>1916</v>
      </c>
      <c r="B944" t="s">
        <v>1917</v>
      </c>
      <c r="C944">
        <v>1164</v>
      </c>
      <c r="D944" t="s">
        <v>32</v>
      </c>
      <c r="E944" t="s">
        <v>19</v>
      </c>
      <c r="F944" t="s">
        <v>71</v>
      </c>
      <c r="G944">
        <v>21</v>
      </c>
      <c r="H944">
        <v>1192</v>
      </c>
      <c r="I944" t="s">
        <v>15</v>
      </c>
      <c r="J944">
        <v>1</v>
      </c>
    </row>
    <row r="945" spans="1:10">
      <c r="A945" t="s">
        <v>1918</v>
      </c>
      <c r="B945" t="s">
        <v>1919</v>
      </c>
      <c r="C945">
        <v>1483</v>
      </c>
      <c r="D945" t="s">
        <v>26</v>
      </c>
      <c r="E945" t="s">
        <v>13</v>
      </c>
      <c r="F945" t="s">
        <v>23</v>
      </c>
      <c r="G945">
        <v>2</v>
      </c>
      <c r="H945">
        <v>144</v>
      </c>
      <c r="I945" t="s">
        <v>20</v>
      </c>
      <c r="J945">
        <v>4</v>
      </c>
    </row>
    <row r="946" spans="1:10">
      <c r="A946" t="s">
        <v>1920</v>
      </c>
      <c r="B946" t="s">
        <v>1921</v>
      </c>
      <c r="C946">
        <v>1298</v>
      </c>
      <c r="D946" t="s">
        <v>18</v>
      </c>
      <c r="E946" t="s">
        <v>27</v>
      </c>
      <c r="F946" t="s">
        <v>14</v>
      </c>
      <c r="G946">
        <v>157</v>
      </c>
      <c r="H946">
        <v>1055</v>
      </c>
      <c r="I946" t="s">
        <v>15</v>
      </c>
      <c r="J946">
        <v>1</v>
      </c>
    </row>
    <row r="947" spans="1:10">
      <c r="A947" t="s">
        <v>1922</v>
      </c>
      <c r="B947" t="s">
        <v>1923</v>
      </c>
      <c r="C947">
        <v>1253</v>
      </c>
      <c r="D947" t="s">
        <v>47</v>
      </c>
      <c r="E947" t="s">
        <v>33</v>
      </c>
      <c r="F947" t="s">
        <v>64</v>
      </c>
      <c r="G947">
        <v>76</v>
      </c>
      <c r="H947">
        <v>4957</v>
      </c>
      <c r="I947" t="s">
        <v>15</v>
      </c>
    </row>
    <row r="948" spans="1:10">
      <c r="A948" t="s">
        <v>1924</v>
      </c>
      <c r="B948" t="s">
        <v>1925</v>
      </c>
      <c r="C948">
        <v>1623</v>
      </c>
      <c r="D948" t="s">
        <v>26</v>
      </c>
      <c r="E948" t="s">
        <v>13</v>
      </c>
      <c r="F948" t="s">
        <v>64</v>
      </c>
      <c r="G948">
        <v>2</v>
      </c>
      <c r="I948" t="s">
        <v>29</v>
      </c>
    </row>
    <row r="949" spans="1:10">
      <c r="A949" t="s">
        <v>1926</v>
      </c>
      <c r="B949" t="s">
        <v>1927</v>
      </c>
      <c r="C949">
        <v>1918</v>
      </c>
      <c r="D949" t="s">
        <v>32</v>
      </c>
      <c r="E949" t="s">
        <v>33</v>
      </c>
      <c r="F949" t="s">
        <v>14</v>
      </c>
      <c r="G949">
        <v>264</v>
      </c>
      <c r="H949">
        <v>2466</v>
      </c>
      <c r="I949" t="s">
        <v>15</v>
      </c>
      <c r="J949">
        <v>5</v>
      </c>
    </row>
    <row r="950" spans="1:10">
      <c r="A950" t="s">
        <v>1928</v>
      </c>
      <c r="B950" t="s">
        <v>1929</v>
      </c>
      <c r="C950">
        <v>1543</v>
      </c>
      <c r="D950" t="s">
        <v>18</v>
      </c>
      <c r="E950" t="s">
        <v>33</v>
      </c>
      <c r="F950" t="s">
        <v>34</v>
      </c>
      <c r="G950">
        <v>292</v>
      </c>
      <c r="H950">
        <v>4062</v>
      </c>
      <c r="I950" t="s">
        <v>15</v>
      </c>
    </row>
    <row r="951" spans="1:10">
      <c r="A951" t="s">
        <v>1930</v>
      </c>
      <c r="B951" t="s">
        <v>1931</v>
      </c>
      <c r="C951">
        <v>1400</v>
      </c>
      <c r="D951" t="s">
        <v>47</v>
      </c>
      <c r="E951" t="s">
        <v>27</v>
      </c>
      <c r="F951" t="s">
        <v>28</v>
      </c>
      <c r="G951">
        <v>91</v>
      </c>
      <c r="I951" t="s">
        <v>29</v>
      </c>
    </row>
    <row r="952" spans="1:10">
      <c r="A952" t="s">
        <v>1932</v>
      </c>
      <c r="B952" t="s">
        <v>1933</v>
      </c>
      <c r="C952">
        <v>1625</v>
      </c>
      <c r="D952" t="s">
        <v>12</v>
      </c>
      <c r="E952" t="s">
        <v>27</v>
      </c>
      <c r="F952" t="s">
        <v>34</v>
      </c>
      <c r="G952">
        <v>74</v>
      </c>
      <c r="I952" t="s">
        <v>29</v>
      </c>
    </row>
    <row r="953" spans="1:10">
      <c r="A953" t="s">
        <v>1934</v>
      </c>
      <c r="B953" t="s">
        <v>1935</v>
      </c>
      <c r="C953">
        <v>1609</v>
      </c>
      <c r="D953" t="s">
        <v>26</v>
      </c>
      <c r="E953" t="s">
        <v>27</v>
      </c>
      <c r="F953" t="s">
        <v>43</v>
      </c>
      <c r="G953">
        <v>91</v>
      </c>
      <c r="H953">
        <v>2358</v>
      </c>
      <c r="I953" t="s">
        <v>15</v>
      </c>
      <c r="J953">
        <v>2</v>
      </c>
    </row>
    <row r="954" spans="1:10">
      <c r="A954" t="s">
        <v>1936</v>
      </c>
      <c r="B954" t="s">
        <v>1937</v>
      </c>
      <c r="C954">
        <v>1493</v>
      </c>
      <c r="D954" t="s">
        <v>47</v>
      </c>
      <c r="E954" t="s">
        <v>19</v>
      </c>
      <c r="F954" t="s">
        <v>71</v>
      </c>
      <c r="G954">
        <v>14</v>
      </c>
      <c r="H954">
        <v>943</v>
      </c>
      <c r="I954" t="s">
        <v>15</v>
      </c>
      <c r="J954">
        <v>4</v>
      </c>
    </row>
    <row r="955" spans="1:10">
      <c r="A955" t="s">
        <v>1938</v>
      </c>
      <c r="B955" t="s">
        <v>1939</v>
      </c>
      <c r="C955">
        <v>1162</v>
      </c>
      <c r="D955" t="s">
        <v>32</v>
      </c>
      <c r="E955" t="s">
        <v>27</v>
      </c>
      <c r="F955" t="s">
        <v>23</v>
      </c>
      <c r="G955">
        <v>125</v>
      </c>
      <c r="H955">
        <v>2680</v>
      </c>
      <c r="I955" t="s">
        <v>15</v>
      </c>
    </row>
    <row r="956" spans="1:10">
      <c r="A956" t="s">
        <v>1940</v>
      </c>
      <c r="B956" t="s">
        <v>1941</v>
      </c>
      <c r="C956">
        <v>1955</v>
      </c>
      <c r="D956" t="s">
        <v>18</v>
      </c>
      <c r="E956" t="s">
        <v>27</v>
      </c>
      <c r="F956" t="s">
        <v>28</v>
      </c>
      <c r="G956">
        <v>156</v>
      </c>
      <c r="H956">
        <v>3680</v>
      </c>
      <c r="I956" t="s">
        <v>15</v>
      </c>
    </row>
    <row r="957" spans="1:10">
      <c r="A957" t="s">
        <v>1942</v>
      </c>
      <c r="B957" t="s">
        <v>1943</v>
      </c>
      <c r="C957">
        <v>1506</v>
      </c>
      <c r="D957" t="s">
        <v>12</v>
      </c>
      <c r="E957" t="s">
        <v>27</v>
      </c>
      <c r="F957" t="s">
        <v>43</v>
      </c>
      <c r="G957">
        <v>59</v>
      </c>
      <c r="I957" t="s">
        <v>29</v>
      </c>
    </row>
    <row r="958" spans="1:10">
      <c r="A958" t="s">
        <v>1944</v>
      </c>
      <c r="B958" t="s">
        <v>1945</v>
      </c>
      <c r="C958">
        <v>1788</v>
      </c>
      <c r="D958" t="s">
        <v>32</v>
      </c>
      <c r="E958" t="s">
        <v>27</v>
      </c>
      <c r="F958" t="s">
        <v>34</v>
      </c>
      <c r="G958">
        <v>43</v>
      </c>
      <c r="H958">
        <v>2422</v>
      </c>
      <c r="I958" t="s">
        <v>15</v>
      </c>
      <c r="J958">
        <v>2</v>
      </c>
    </row>
    <row r="959" spans="1:10">
      <c r="A959" t="s">
        <v>1946</v>
      </c>
      <c r="B959" t="s">
        <v>1947</v>
      </c>
      <c r="C959">
        <v>1504</v>
      </c>
      <c r="D959" t="s">
        <v>32</v>
      </c>
      <c r="E959" t="s">
        <v>33</v>
      </c>
      <c r="F959" t="s">
        <v>54</v>
      </c>
      <c r="G959">
        <v>278</v>
      </c>
      <c r="H959">
        <v>2472</v>
      </c>
      <c r="I959" t="s">
        <v>15</v>
      </c>
    </row>
    <row r="960" spans="1:10">
      <c r="A960" t="s">
        <v>1948</v>
      </c>
      <c r="B960" t="s">
        <v>1949</v>
      </c>
      <c r="C960">
        <v>1742</v>
      </c>
      <c r="D960" t="s">
        <v>47</v>
      </c>
      <c r="E960" t="s">
        <v>27</v>
      </c>
      <c r="F960" t="s">
        <v>43</v>
      </c>
      <c r="G960">
        <v>57</v>
      </c>
      <c r="H960">
        <v>2276</v>
      </c>
      <c r="I960" t="s">
        <v>15</v>
      </c>
      <c r="J960">
        <v>2</v>
      </c>
    </row>
    <row r="961" spans="1:10">
      <c r="A961" t="s">
        <v>1950</v>
      </c>
      <c r="B961" t="s">
        <v>1951</v>
      </c>
      <c r="C961">
        <v>1265</v>
      </c>
      <c r="D961" t="s">
        <v>18</v>
      </c>
      <c r="E961" t="s">
        <v>33</v>
      </c>
      <c r="F961" t="s">
        <v>59</v>
      </c>
      <c r="G961">
        <v>458</v>
      </c>
      <c r="H961">
        <v>1838</v>
      </c>
      <c r="I961" t="s">
        <v>20</v>
      </c>
      <c r="J961">
        <v>1</v>
      </c>
    </row>
    <row r="962" spans="1:10">
      <c r="A962" t="s">
        <v>1952</v>
      </c>
      <c r="B962" t="s">
        <v>1953</v>
      </c>
      <c r="C962">
        <v>1174</v>
      </c>
      <c r="D962" t="s">
        <v>26</v>
      </c>
      <c r="E962" t="s">
        <v>27</v>
      </c>
      <c r="F962" t="s">
        <v>59</v>
      </c>
      <c r="G962">
        <v>136</v>
      </c>
      <c r="H962">
        <v>3678</v>
      </c>
      <c r="I962" t="s">
        <v>20</v>
      </c>
    </row>
    <row r="963" spans="1:10">
      <c r="A963" t="s">
        <v>1954</v>
      </c>
      <c r="B963" t="s">
        <v>1955</v>
      </c>
      <c r="C963">
        <v>1526</v>
      </c>
      <c r="D963" t="s">
        <v>18</v>
      </c>
      <c r="E963" t="s">
        <v>27</v>
      </c>
      <c r="F963" t="s">
        <v>14</v>
      </c>
      <c r="G963">
        <v>114</v>
      </c>
      <c r="H963">
        <v>1805</v>
      </c>
      <c r="I963" t="s">
        <v>15</v>
      </c>
    </row>
    <row r="964" spans="1:10">
      <c r="A964" t="s">
        <v>1956</v>
      </c>
      <c r="B964" t="s">
        <v>1957</v>
      </c>
      <c r="C964">
        <v>1958</v>
      </c>
      <c r="D964" t="s">
        <v>12</v>
      </c>
      <c r="E964" t="s">
        <v>13</v>
      </c>
      <c r="F964" t="s">
        <v>64</v>
      </c>
      <c r="G964">
        <v>11</v>
      </c>
      <c r="H964">
        <v>332</v>
      </c>
      <c r="I964" t="s">
        <v>15</v>
      </c>
    </row>
    <row r="965" spans="1:10">
      <c r="A965" t="s">
        <v>1958</v>
      </c>
      <c r="B965" t="s">
        <v>1959</v>
      </c>
      <c r="C965">
        <v>1248</v>
      </c>
      <c r="D965" t="s">
        <v>18</v>
      </c>
      <c r="E965" t="s">
        <v>19</v>
      </c>
      <c r="F965" t="s">
        <v>34</v>
      </c>
      <c r="G965">
        <v>41</v>
      </c>
      <c r="H965">
        <v>994</v>
      </c>
      <c r="I965" t="s">
        <v>15</v>
      </c>
      <c r="J965">
        <v>2</v>
      </c>
    </row>
    <row r="966" spans="1:10">
      <c r="A966" t="s">
        <v>1960</v>
      </c>
      <c r="B966" t="s">
        <v>1961</v>
      </c>
      <c r="C966">
        <v>1260</v>
      </c>
      <c r="D966" t="s">
        <v>32</v>
      </c>
      <c r="E966" t="s">
        <v>33</v>
      </c>
      <c r="F966" t="s">
        <v>64</v>
      </c>
      <c r="G966">
        <v>335</v>
      </c>
      <c r="H966">
        <v>1608</v>
      </c>
      <c r="I966" t="s">
        <v>15</v>
      </c>
    </row>
    <row r="967" spans="1:10">
      <c r="A967" t="s">
        <v>1962</v>
      </c>
      <c r="B967" t="s">
        <v>1963</v>
      </c>
      <c r="C967">
        <v>1582</v>
      </c>
      <c r="D967" t="s">
        <v>32</v>
      </c>
      <c r="E967" t="s">
        <v>33</v>
      </c>
      <c r="F967" t="s">
        <v>14</v>
      </c>
      <c r="G967">
        <v>445</v>
      </c>
      <c r="H967">
        <v>7802</v>
      </c>
      <c r="I967" t="s">
        <v>15</v>
      </c>
      <c r="J967">
        <v>3</v>
      </c>
    </row>
    <row r="968" spans="1:10">
      <c r="A968" t="s">
        <v>1964</v>
      </c>
      <c r="B968" t="s">
        <v>1965</v>
      </c>
      <c r="C968">
        <v>1157</v>
      </c>
      <c r="D968" t="s">
        <v>47</v>
      </c>
      <c r="E968" t="s">
        <v>13</v>
      </c>
      <c r="F968" t="s">
        <v>43</v>
      </c>
      <c r="G968">
        <v>2</v>
      </c>
      <c r="I968" t="s">
        <v>29</v>
      </c>
    </row>
    <row r="969" spans="1:10">
      <c r="A969" t="s">
        <v>1966</v>
      </c>
      <c r="B969" t="s">
        <v>1967</v>
      </c>
      <c r="C969">
        <v>1038</v>
      </c>
      <c r="D969" t="s">
        <v>26</v>
      </c>
      <c r="E969" t="s">
        <v>33</v>
      </c>
      <c r="F969" t="s">
        <v>64</v>
      </c>
      <c r="G969">
        <v>111</v>
      </c>
      <c r="I969" t="s">
        <v>44</v>
      </c>
    </row>
    <row r="970" spans="1:10">
      <c r="A970" t="s">
        <v>1968</v>
      </c>
      <c r="B970" t="s">
        <v>1969</v>
      </c>
      <c r="C970">
        <v>1871</v>
      </c>
      <c r="D970" t="s">
        <v>18</v>
      </c>
      <c r="E970" t="s">
        <v>27</v>
      </c>
      <c r="F970" t="s">
        <v>71</v>
      </c>
      <c r="G970">
        <v>162</v>
      </c>
      <c r="H970">
        <v>2455</v>
      </c>
      <c r="I970" t="s">
        <v>20</v>
      </c>
      <c r="J970">
        <v>4</v>
      </c>
    </row>
    <row r="971" spans="1:10">
      <c r="A971" t="s">
        <v>1970</v>
      </c>
      <c r="B971" t="s">
        <v>1971</v>
      </c>
      <c r="C971">
        <v>1565</v>
      </c>
      <c r="D971" t="s">
        <v>32</v>
      </c>
      <c r="E971" t="s">
        <v>27</v>
      </c>
      <c r="F971" t="s">
        <v>54</v>
      </c>
      <c r="G971">
        <v>45</v>
      </c>
      <c r="H971">
        <v>1216</v>
      </c>
      <c r="I971" t="s">
        <v>15</v>
      </c>
    </row>
    <row r="972" spans="1:10">
      <c r="A972" t="s">
        <v>1972</v>
      </c>
      <c r="B972" t="s">
        <v>1973</v>
      </c>
      <c r="C972">
        <v>1405</v>
      </c>
      <c r="D972" t="s">
        <v>12</v>
      </c>
      <c r="E972" t="s">
        <v>27</v>
      </c>
      <c r="F972" t="s">
        <v>23</v>
      </c>
      <c r="G972">
        <v>37</v>
      </c>
      <c r="H972">
        <v>3301</v>
      </c>
      <c r="I972" t="s">
        <v>15</v>
      </c>
      <c r="J972">
        <v>4</v>
      </c>
    </row>
    <row r="973" spans="1:10">
      <c r="A973" t="s">
        <v>1974</v>
      </c>
      <c r="B973" t="s">
        <v>1975</v>
      </c>
      <c r="C973">
        <v>1887</v>
      </c>
      <c r="D973" t="s">
        <v>12</v>
      </c>
      <c r="E973" t="s">
        <v>13</v>
      </c>
      <c r="F973" t="s">
        <v>28</v>
      </c>
      <c r="G973">
        <v>6</v>
      </c>
      <c r="H973">
        <v>275</v>
      </c>
      <c r="I973" t="s">
        <v>15</v>
      </c>
      <c r="J973">
        <v>2</v>
      </c>
    </row>
    <row r="974" spans="1:10">
      <c r="A974" t="s">
        <v>1976</v>
      </c>
      <c r="B974" t="s">
        <v>1977</v>
      </c>
      <c r="C974">
        <v>1157</v>
      </c>
      <c r="D974" t="s">
        <v>12</v>
      </c>
      <c r="E974" t="s">
        <v>27</v>
      </c>
      <c r="F974" t="s">
        <v>43</v>
      </c>
      <c r="G974">
        <v>143</v>
      </c>
      <c r="H974">
        <v>1300</v>
      </c>
      <c r="I974" t="s">
        <v>15</v>
      </c>
      <c r="J974">
        <v>3</v>
      </c>
    </row>
    <row r="975" spans="1:10">
      <c r="A975" t="s">
        <v>1978</v>
      </c>
      <c r="B975" t="s">
        <v>1979</v>
      </c>
      <c r="C975">
        <v>1132</v>
      </c>
      <c r="D975" t="s">
        <v>12</v>
      </c>
      <c r="E975" t="s">
        <v>27</v>
      </c>
      <c r="F975" t="s">
        <v>43</v>
      </c>
      <c r="G975">
        <v>127</v>
      </c>
      <c r="H975">
        <v>791</v>
      </c>
      <c r="I975" t="s">
        <v>15</v>
      </c>
    </row>
    <row r="976" spans="1:10">
      <c r="A976" t="s">
        <v>1980</v>
      </c>
      <c r="B976" t="s">
        <v>1981</v>
      </c>
      <c r="C976">
        <v>1565</v>
      </c>
      <c r="D976" t="s">
        <v>47</v>
      </c>
      <c r="E976" t="s">
        <v>33</v>
      </c>
      <c r="F976" t="s">
        <v>43</v>
      </c>
      <c r="G976">
        <v>322</v>
      </c>
      <c r="H976">
        <v>4701</v>
      </c>
      <c r="I976" t="s">
        <v>20</v>
      </c>
      <c r="J976">
        <v>3</v>
      </c>
    </row>
    <row r="977" spans="1:10">
      <c r="A977" t="s">
        <v>1982</v>
      </c>
      <c r="B977" t="s">
        <v>1983</v>
      </c>
      <c r="C977">
        <v>1808</v>
      </c>
      <c r="D977" t="s">
        <v>32</v>
      </c>
      <c r="E977" t="s">
        <v>27</v>
      </c>
      <c r="F977" t="s">
        <v>59</v>
      </c>
      <c r="G977">
        <v>146</v>
      </c>
      <c r="H977">
        <v>3158</v>
      </c>
      <c r="I977" t="s">
        <v>20</v>
      </c>
      <c r="J977">
        <v>2</v>
      </c>
    </row>
    <row r="978" spans="1:10">
      <c r="A978" t="s">
        <v>1984</v>
      </c>
      <c r="B978" t="s">
        <v>1985</v>
      </c>
      <c r="C978">
        <v>1882</v>
      </c>
      <c r="D978" t="s">
        <v>18</v>
      </c>
      <c r="E978" t="s">
        <v>27</v>
      </c>
      <c r="F978" t="s">
        <v>64</v>
      </c>
      <c r="G978">
        <v>111</v>
      </c>
      <c r="I978" t="s">
        <v>44</v>
      </c>
    </row>
    <row r="979" spans="1:10">
      <c r="A979" t="s">
        <v>1986</v>
      </c>
      <c r="B979" t="s">
        <v>1987</v>
      </c>
      <c r="C979">
        <v>1027</v>
      </c>
      <c r="D979" t="s">
        <v>47</v>
      </c>
      <c r="E979" t="s">
        <v>33</v>
      </c>
      <c r="F979" t="s">
        <v>14</v>
      </c>
      <c r="G979">
        <v>186</v>
      </c>
      <c r="H979">
        <v>2418</v>
      </c>
      <c r="I979" t="s">
        <v>15</v>
      </c>
    </row>
    <row r="980" spans="1:10">
      <c r="A980" t="s">
        <v>1988</v>
      </c>
      <c r="B980" t="s">
        <v>1989</v>
      </c>
      <c r="C980">
        <v>1194</v>
      </c>
      <c r="D980" t="s">
        <v>12</v>
      </c>
      <c r="E980" t="s">
        <v>19</v>
      </c>
      <c r="F980" t="s">
        <v>71</v>
      </c>
      <c r="G980">
        <v>42</v>
      </c>
      <c r="H980">
        <v>286</v>
      </c>
      <c r="I980" t="s">
        <v>15</v>
      </c>
      <c r="J980">
        <v>1</v>
      </c>
    </row>
    <row r="981" spans="1:10">
      <c r="A981" t="s">
        <v>1990</v>
      </c>
      <c r="B981" t="s">
        <v>1991</v>
      </c>
      <c r="C981">
        <v>1543</v>
      </c>
      <c r="D981" t="s">
        <v>47</v>
      </c>
      <c r="E981" t="s">
        <v>19</v>
      </c>
      <c r="F981" t="s">
        <v>14</v>
      </c>
      <c r="G981">
        <v>43</v>
      </c>
      <c r="H981">
        <v>1081</v>
      </c>
      <c r="I981" t="s">
        <v>15</v>
      </c>
      <c r="J981">
        <v>1</v>
      </c>
    </row>
    <row r="982" spans="1:10">
      <c r="A982" t="s">
        <v>1992</v>
      </c>
      <c r="B982" t="s">
        <v>1993</v>
      </c>
      <c r="C982">
        <v>1870</v>
      </c>
      <c r="D982" t="s">
        <v>18</v>
      </c>
      <c r="E982" t="s">
        <v>27</v>
      </c>
      <c r="F982" t="s">
        <v>64</v>
      </c>
      <c r="G982">
        <v>121</v>
      </c>
      <c r="H982">
        <v>2648</v>
      </c>
      <c r="I982" t="s">
        <v>15</v>
      </c>
      <c r="J982">
        <v>1</v>
      </c>
    </row>
    <row r="983" spans="1:10">
      <c r="A983" t="s">
        <v>1994</v>
      </c>
      <c r="B983" t="s">
        <v>1995</v>
      </c>
      <c r="C983">
        <v>1640</v>
      </c>
      <c r="D983" t="s">
        <v>32</v>
      </c>
      <c r="E983" t="s">
        <v>27</v>
      </c>
      <c r="F983" t="s">
        <v>64</v>
      </c>
      <c r="G983">
        <v>67</v>
      </c>
      <c r="H983">
        <v>678</v>
      </c>
      <c r="I983" t="s">
        <v>15</v>
      </c>
    </row>
    <row r="984" spans="1:10">
      <c r="A984" t="s">
        <v>1996</v>
      </c>
      <c r="B984" t="s">
        <v>1997</v>
      </c>
      <c r="C984">
        <v>1041</v>
      </c>
      <c r="D984" t="s">
        <v>47</v>
      </c>
      <c r="E984" t="s">
        <v>19</v>
      </c>
      <c r="F984" t="s">
        <v>64</v>
      </c>
      <c r="G984">
        <v>26</v>
      </c>
      <c r="H984">
        <v>1210</v>
      </c>
      <c r="I984" t="s">
        <v>20</v>
      </c>
      <c r="J984">
        <v>3</v>
      </c>
    </row>
    <row r="985" spans="1:10">
      <c r="A985" t="s">
        <v>1998</v>
      </c>
      <c r="B985" t="s">
        <v>1999</v>
      </c>
      <c r="C985">
        <v>1662</v>
      </c>
      <c r="D985" t="s">
        <v>12</v>
      </c>
      <c r="E985" t="s">
        <v>33</v>
      </c>
      <c r="F985" t="s">
        <v>64</v>
      </c>
      <c r="G985">
        <v>120</v>
      </c>
      <c r="H985">
        <v>1927</v>
      </c>
      <c r="I985" t="s">
        <v>15</v>
      </c>
    </row>
    <row r="986" spans="1:10">
      <c r="A986" t="s">
        <v>2000</v>
      </c>
      <c r="B986" t="s">
        <v>2001</v>
      </c>
      <c r="C986">
        <v>1923</v>
      </c>
      <c r="D986" t="s">
        <v>32</v>
      </c>
      <c r="E986" t="s">
        <v>27</v>
      </c>
      <c r="F986" t="s">
        <v>28</v>
      </c>
      <c r="G986">
        <v>65</v>
      </c>
      <c r="H986">
        <v>995</v>
      </c>
      <c r="I986" t="s">
        <v>15</v>
      </c>
    </row>
    <row r="987" spans="1:10">
      <c r="A987" t="s">
        <v>2002</v>
      </c>
      <c r="B987" t="s">
        <v>2003</v>
      </c>
      <c r="C987">
        <v>1179</v>
      </c>
      <c r="D987" t="s">
        <v>12</v>
      </c>
      <c r="E987" t="s">
        <v>13</v>
      </c>
      <c r="F987" t="s">
        <v>64</v>
      </c>
      <c r="G987">
        <v>3</v>
      </c>
      <c r="H987">
        <v>118</v>
      </c>
      <c r="I987" t="s">
        <v>15</v>
      </c>
      <c r="J987">
        <v>3</v>
      </c>
    </row>
    <row r="988" spans="1:10">
      <c r="A988" t="s">
        <v>2004</v>
      </c>
      <c r="B988" t="s">
        <v>2005</v>
      </c>
      <c r="C988">
        <v>1537</v>
      </c>
      <c r="D988" t="s">
        <v>18</v>
      </c>
      <c r="E988" t="s">
        <v>33</v>
      </c>
      <c r="F988" t="s">
        <v>64</v>
      </c>
      <c r="G988">
        <v>317</v>
      </c>
      <c r="H988">
        <v>4817</v>
      </c>
      <c r="I988" t="s">
        <v>15</v>
      </c>
    </row>
    <row r="989" spans="1:10">
      <c r="A989" t="s">
        <v>2006</v>
      </c>
      <c r="B989" t="s">
        <v>2007</v>
      </c>
      <c r="C989">
        <v>1862</v>
      </c>
      <c r="D989" t="s">
        <v>47</v>
      </c>
      <c r="E989" t="s">
        <v>27</v>
      </c>
      <c r="F989" t="s">
        <v>14</v>
      </c>
      <c r="G989">
        <v>74</v>
      </c>
      <c r="H989">
        <v>2949</v>
      </c>
      <c r="I989" t="s">
        <v>20</v>
      </c>
      <c r="J989">
        <v>5</v>
      </c>
    </row>
    <row r="990" spans="1:10">
      <c r="A990" t="s">
        <v>2008</v>
      </c>
      <c r="B990" t="s">
        <v>2009</v>
      </c>
      <c r="C990">
        <v>1847</v>
      </c>
      <c r="D990" t="s">
        <v>18</v>
      </c>
      <c r="E990" t="s">
        <v>33</v>
      </c>
      <c r="F990" t="s">
        <v>43</v>
      </c>
      <c r="G990">
        <v>289</v>
      </c>
      <c r="H990">
        <v>2968</v>
      </c>
      <c r="I990" t="s">
        <v>15</v>
      </c>
    </row>
    <row r="991" spans="1:10">
      <c r="A991" t="s">
        <v>2010</v>
      </c>
      <c r="B991" t="s">
        <v>2011</v>
      </c>
      <c r="C991">
        <v>1994</v>
      </c>
      <c r="D991" t="s">
        <v>12</v>
      </c>
      <c r="E991" t="s">
        <v>19</v>
      </c>
      <c r="F991" t="s">
        <v>34</v>
      </c>
      <c r="G991">
        <v>44</v>
      </c>
      <c r="H991">
        <v>912</v>
      </c>
      <c r="I991" t="s">
        <v>15</v>
      </c>
      <c r="J991">
        <v>3</v>
      </c>
    </row>
    <row r="992" spans="1:10">
      <c r="A992" t="s">
        <v>2012</v>
      </c>
      <c r="B992" t="s">
        <v>2013</v>
      </c>
      <c r="C992">
        <v>1728</v>
      </c>
      <c r="D992" t="s">
        <v>26</v>
      </c>
      <c r="E992" t="s">
        <v>27</v>
      </c>
      <c r="F992" t="s">
        <v>34</v>
      </c>
      <c r="G992">
        <v>156</v>
      </c>
      <c r="I992" t="s">
        <v>44</v>
      </c>
    </row>
    <row r="993" spans="1:10">
      <c r="A993" t="s">
        <v>2014</v>
      </c>
      <c r="B993" t="s">
        <v>2015</v>
      </c>
      <c r="C993">
        <v>1426</v>
      </c>
      <c r="D993" t="s">
        <v>18</v>
      </c>
      <c r="E993" t="s">
        <v>13</v>
      </c>
      <c r="F993" t="s">
        <v>64</v>
      </c>
      <c r="G993">
        <v>8</v>
      </c>
      <c r="H993">
        <v>222</v>
      </c>
      <c r="I993" t="s">
        <v>20</v>
      </c>
      <c r="J993">
        <v>4</v>
      </c>
    </row>
    <row r="994" spans="1:10">
      <c r="A994" t="s">
        <v>2016</v>
      </c>
      <c r="B994" t="s">
        <v>2017</v>
      </c>
      <c r="C994">
        <v>1939</v>
      </c>
      <c r="D994" t="s">
        <v>32</v>
      </c>
      <c r="E994" t="s">
        <v>13</v>
      </c>
      <c r="F994" t="s">
        <v>71</v>
      </c>
      <c r="G994">
        <v>8</v>
      </c>
      <c r="H994">
        <v>332</v>
      </c>
      <c r="I994" t="s">
        <v>15</v>
      </c>
    </row>
    <row r="995" spans="1:10">
      <c r="A995" t="s">
        <v>2018</v>
      </c>
      <c r="B995" t="s">
        <v>2019</v>
      </c>
      <c r="C995">
        <v>1793</v>
      </c>
      <c r="D995" t="s">
        <v>18</v>
      </c>
      <c r="E995" t="s">
        <v>13</v>
      </c>
      <c r="F995" t="s">
        <v>34</v>
      </c>
      <c r="G995">
        <v>9</v>
      </c>
      <c r="H995">
        <v>230</v>
      </c>
      <c r="I995" t="s">
        <v>15</v>
      </c>
    </row>
    <row r="996" spans="1:10">
      <c r="A996" t="s">
        <v>2020</v>
      </c>
      <c r="B996" t="s">
        <v>2021</v>
      </c>
      <c r="C996">
        <v>1322</v>
      </c>
      <c r="D996" t="s">
        <v>47</v>
      </c>
      <c r="E996" t="s">
        <v>27</v>
      </c>
      <c r="F996" t="s">
        <v>64</v>
      </c>
      <c r="G996">
        <v>38</v>
      </c>
      <c r="I996" t="s">
        <v>29</v>
      </c>
    </row>
    <row r="997" spans="1:10">
      <c r="A997" t="s">
        <v>2022</v>
      </c>
      <c r="B997" t="s">
        <v>2023</v>
      </c>
      <c r="C997">
        <v>1978</v>
      </c>
      <c r="D997" t="s">
        <v>18</v>
      </c>
      <c r="E997" t="s">
        <v>27</v>
      </c>
      <c r="F997" t="s">
        <v>59</v>
      </c>
      <c r="G997">
        <v>79</v>
      </c>
      <c r="H997">
        <v>831</v>
      </c>
      <c r="I997" t="s">
        <v>15</v>
      </c>
      <c r="J997">
        <v>1</v>
      </c>
    </row>
    <row r="998" spans="1:10">
      <c r="A998" t="s">
        <v>2024</v>
      </c>
      <c r="B998" t="s">
        <v>2025</v>
      </c>
      <c r="C998">
        <v>1521</v>
      </c>
      <c r="D998" t="s">
        <v>18</v>
      </c>
      <c r="E998" t="s">
        <v>13</v>
      </c>
      <c r="F998" t="s">
        <v>54</v>
      </c>
      <c r="G998">
        <v>10</v>
      </c>
      <c r="H998">
        <v>302</v>
      </c>
      <c r="I998" t="s">
        <v>15</v>
      </c>
      <c r="J998">
        <v>5</v>
      </c>
    </row>
    <row r="999" spans="1:10">
      <c r="A999" t="s">
        <v>2026</v>
      </c>
      <c r="B999" t="s">
        <v>2027</v>
      </c>
      <c r="C999">
        <v>1845</v>
      </c>
      <c r="D999" t="s">
        <v>12</v>
      </c>
      <c r="E999" t="s">
        <v>27</v>
      </c>
      <c r="F999" t="s">
        <v>34</v>
      </c>
      <c r="G999">
        <v>162</v>
      </c>
      <c r="I999" t="s">
        <v>29</v>
      </c>
    </row>
    <row r="1000" spans="1:10">
      <c r="A1000" t="s">
        <v>2028</v>
      </c>
      <c r="B1000" t="s">
        <v>2029</v>
      </c>
      <c r="C1000">
        <v>1169</v>
      </c>
      <c r="D1000" t="s">
        <v>18</v>
      </c>
      <c r="E1000" t="s">
        <v>33</v>
      </c>
      <c r="F1000" t="s">
        <v>28</v>
      </c>
      <c r="G1000">
        <v>83</v>
      </c>
      <c r="H1000">
        <v>5698</v>
      </c>
      <c r="I1000" t="s">
        <v>15</v>
      </c>
      <c r="J1000">
        <v>1</v>
      </c>
    </row>
    <row r="1001" spans="1:10">
      <c r="A1001" t="s">
        <v>2030</v>
      </c>
      <c r="B1001" t="s">
        <v>2031</v>
      </c>
      <c r="C1001">
        <v>1321</v>
      </c>
      <c r="D1001" t="s">
        <v>12</v>
      </c>
      <c r="E1001" t="s">
        <v>33</v>
      </c>
      <c r="F1001" t="s">
        <v>54</v>
      </c>
      <c r="G1001">
        <v>429</v>
      </c>
      <c r="I1001" t="s">
        <v>29</v>
      </c>
    </row>
  </sheetData>
  <autoFilter ref="A1:J1001" xr:uid="{00000000-0001-0000-0000-000000000000}"/>
  <pageMargins left="0" right="0" top="0" bottom="0" header="0" footer="0"/>
  <ignoredErrors>
    <ignoredError sqref="A1:J10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04AE4-AEC9-4B1C-B6FE-A10B734DDE95}">
  <dimension ref="A1:R1001"/>
  <sheetViews>
    <sheetView workbookViewId="0">
      <selection sqref="A1:R1001"/>
    </sheetView>
  </sheetViews>
  <sheetFormatPr defaultRowHeight="15.75"/>
  <cols>
    <col min="1" max="1" width="10.75" bestFit="1" customWidth="1"/>
    <col min="2" max="2" width="19.625" style="2" bestFit="1" customWidth="1"/>
    <col min="3" max="3" width="11.25" bestFit="1" customWidth="1"/>
    <col min="4" max="4" width="9.25" bestFit="1" customWidth="1"/>
    <col min="5" max="5" width="7" bestFit="1" customWidth="1"/>
    <col min="6" max="6" width="14.125" bestFit="1" customWidth="1"/>
    <col min="7" max="7" width="16.875" bestFit="1" customWidth="1"/>
    <col min="8" max="8" width="13.5" bestFit="1" customWidth="1"/>
    <col min="9" max="9" width="8" bestFit="1" customWidth="1"/>
    <col min="10" max="10" width="10.25" bestFit="1" customWidth="1"/>
    <col min="11" max="11" width="28.5" style="1" bestFit="1" customWidth="1"/>
    <col min="12" max="12" width="15" bestFit="1" customWidth="1"/>
    <col min="13" max="13" width="14.125" bestFit="1" customWidth="1"/>
    <col min="14" max="14" width="10" bestFit="1" customWidth="1"/>
    <col min="15" max="15" width="19" bestFit="1" customWidth="1"/>
    <col min="16" max="16" width="17.875" bestFit="1" customWidth="1"/>
    <col min="17" max="17" width="9" style="2"/>
    <col min="18" max="18" width="9.625" style="2" bestFit="1" customWidth="1"/>
  </cols>
  <sheetData>
    <row r="1" spans="1:18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2032</v>
      </c>
      <c r="L1" t="s">
        <v>2033</v>
      </c>
      <c r="M1" t="s">
        <v>2034</v>
      </c>
      <c r="N1" t="s">
        <v>2035</v>
      </c>
      <c r="O1" t="s">
        <v>2036</v>
      </c>
      <c r="P1" t="s">
        <v>2037</v>
      </c>
      <c r="Q1" s="2" t="s">
        <v>2038</v>
      </c>
      <c r="R1" s="2" t="s">
        <v>2039</v>
      </c>
    </row>
    <row r="2" spans="1:18">
      <c r="A2" t="s">
        <v>10</v>
      </c>
      <c r="B2" s="2" t="s">
        <v>11</v>
      </c>
      <c r="C2">
        <v>1175</v>
      </c>
      <c r="D2" t="s">
        <v>12</v>
      </c>
      <c r="E2" t="s">
        <v>13</v>
      </c>
      <c r="F2" t="s">
        <v>14</v>
      </c>
      <c r="G2">
        <v>3</v>
      </c>
      <c r="H2">
        <v>412</v>
      </c>
      <c r="I2" t="s">
        <v>15</v>
      </c>
      <c r="K2" s="1">
        <f>IF(B2="","",DATEVALUE(LEFT(B2,10)))</f>
        <v>45839</v>
      </c>
      <c r="L2" s="3">
        <f>IF(H2="","",H2/60)</f>
        <v>6.8666666666666663</v>
      </c>
      <c r="M2">
        <f>IF(G2="","",G2/60)</f>
        <v>0.05</v>
      </c>
      <c r="N2" t="str">
        <f>IF(L2="","Open",IF(L2&lt;=IF(E2="Urgent",8,IF(E2="High",24,IF(E2="Normal",48,72))),"Within SLA","Breached"))</f>
        <v>Within SLA</v>
      </c>
      <c r="O2" t="str">
        <f>IF(J2="","No Rating",IF(J2&gt;=4,"Satisfied",IF(J2=3,"Neutral","Dissatisfied")))</f>
        <v>No Rating</v>
      </c>
      <c r="P2" t="str">
        <f>IF(I2="Closed","Resolved",IF(I2="Resolved","Resolved","Unresolved"))</f>
        <v>Resolved</v>
      </c>
      <c r="Q2" s="2" t="str">
        <f>IF(K2="","",TEXT(K2,"mmm-yyyy"))</f>
        <v>Jul-2025</v>
      </c>
      <c r="R2" s="2">
        <f>IF(K2="","",DATE(YEAR(K2),MONTH(K2),1))</f>
        <v>45839</v>
      </c>
    </row>
    <row r="3" spans="1:18">
      <c r="A3" t="s">
        <v>16</v>
      </c>
      <c r="B3" s="2" t="s">
        <v>17</v>
      </c>
      <c r="C3">
        <v>1019</v>
      </c>
      <c r="D3" t="s">
        <v>18</v>
      </c>
      <c r="E3" t="s">
        <v>19</v>
      </c>
      <c r="F3" t="s">
        <v>14</v>
      </c>
      <c r="G3">
        <v>34</v>
      </c>
      <c r="H3">
        <v>507</v>
      </c>
      <c r="I3" t="s">
        <v>20</v>
      </c>
      <c r="K3" s="1">
        <f t="shared" ref="K3:K66" si="0">IF(B3="","",DATEVALUE(LEFT(B3,10)))</f>
        <v>45839</v>
      </c>
      <c r="L3" s="3">
        <f t="shared" ref="L3:L66" si="1">IF(H3="","",H3/60)</f>
        <v>8.4499999999999993</v>
      </c>
      <c r="M3" s="3">
        <f t="shared" ref="M3:M66" si="2">IF(G3="","",G3/60)</f>
        <v>0.56666666666666665</v>
      </c>
      <c r="N3" t="str">
        <f t="shared" ref="N3:N66" si="3">IF(L3="","Open",IF(L3&lt;=IF(E3="Urgent",8,IF(E3="High",24,IF(E3="Normal",48,72))),"Within SLA","Breached"))</f>
        <v>Within SLA</v>
      </c>
      <c r="O3" t="str">
        <f>IF(J3="","No Rating",IF(J3&gt;=4,"Satisfied",IF(J3=3,"Neutral","Dissatisfied")))</f>
        <v>No Rating</v>
      </c>
      <c r="P3" t="str">
        <f t="shared" ref="P3:P66" si="4">IF(I3="Closed","Resolved",IF(I3="Resolved","Resolved","Unresolved"))</f>
        <v>Resolved</v>
      </c>
      <c r="Q3" s="2" t="str">
        <f t="shared" ref="Q3:Q66" si="5">IF(K3="","",TEXT(K3,"mmm-yyyy"))</f>
        <v>Jul-2025</v>
      </c>
      <c r="R3" s="2">
        <f t="shared" ref="R3:R66" si="6">IF(K3="","",DATE(YEAR(K3),MONTH(K3),1))</f>
        <v>45839</v>
      </c>
    </row>
    <row r="4" spans="1:18">
      <c r="A4" t="s">
        <v>21</v>
      </c>
      <c r="B4" s="2" t="s">
        <v>22</v>
      </c>
      <c r="C4">
        <v>1278</v>
      </c>
      <c r="D4" t="s">
        <v>12</v>
      </c>
      <c r="E4" t="s">
        <v>13</v>
      </c>
      <c r="F4" t="s">
        <v>23</v>
      </c>
      <c r="G4">
        <v>8</v>
      </c>
      <c r="H4">
        <v>305</v>
      </c>
      <c r="I4" t="s">
        <v>15</v>
      </c>
      <c r="K4" s="1">
        <f t="shared" si="0"/>
        <v>45839</v>
      </c>
      <c r="L4" s="3">
        <f t="shared" si="1"/>
        <v>5.083333333333333</v>
      </c>
      <c r="M4" s="3">
        <f t="shared" si="2"/>
        <v>0.13333333333333333</v>
      </c>
      <c r="N4" t="str">
        <f t="shared" si="3"/>
        <v>Within SLA</v>
      </c>
      <c r="O4" t="str">
        <f t="shared" ref="O4:O67" si="7">IF(J4="","No Rating",IF(J4&gt;=4,"Satisfied",IF(J4=3,"Neutral","Dissatisfied")))</f>
        <v>No Rating</v>
      </c>
      <c r="P4" t="str">
        <f t="shared" si="4"/>
        <v>Resolved</v>
      </c>
      <c r="Q4" s="2" t="str">
        <f t="shared" si="5"/>
        <v>Jul-2025</v>
      </c>
      <c r="R4" s="2">
        <f t="shared" si="6"/>
        <v>45839</v>
      </c>
    </row>
    <row r="5" spans="1:18">
      <c r="A5" t="s">
        <v>24</v>
      </c>
      <c r="B5" s="2" t="s">
        <v>25</v>
      </c>
      <c r="C5">
        <v>1448</v>
      </c>
      <c r="D5" t="s">
        <v>26</v>
      </c>
      <c r="E5" t="s">
        <v>27</v>
      </c>
      <c r="F5" t="s">
        <v>28</v>
      </c>
      <c r="G5">
        <v>65</v>
      </c>
      <c r="I5" t="s">
        <v>29</v>
      </c>
      <c r="K5" s="1">
        <f t="shared" si="0"/>
        <v>45840</v>
      </c>
      <c r="L5" s="3" t="str">
        <f t="shared" si="1"/>
        <v/>
      </c>
      <c r="M5" s="3">
        <f t="shared" si="2"/>
        <v>1.0833333333333333</v>
      </c>
      <c r="N5" t="str">
        <f t="shared" si="3"/>
        <v>Open</v>
      </c>
      <c r="O5" t="str">
        <f t="shared" si="7"/>
        <v>No Rating</v>
      </c>
      <c r="P5" t="str">
        <f t="shared" si="4"/>
        <v>Unresolved</v>
      </c>
      <c r="Q5" s="2" t="str">
        <f t="shared" si="5"/>
        <v>Jul-2025</v>
      </c>
      <c r="R5" s="2">
        <f t="shared" si="6"/>
        <v>45839</v>
      </c>
    </row>
    <row r="6" spans="1:18">
      <c r="A6" t="s">
        <v>30</v>
      </c>
      <c r="B6" s="2" t="s">
        <v>31</v>
      </c>
      <c r="C6">
        <v>1936</v>
      </c>
      <c r="D6" t="s">
        <v>32</v>
      </c>
      <c r="E6" t="s">
        <v>33</v>
      </c>
      <c r="F6" t="s">
        <v>34</v>
      </c>
      <c r="G6">
        <v>431</v>
      </c>
      <c r="H6">
        <v>3785</v>
      </c>
      <c r="I6" t="s">
        <v>15</v>
      </c>
      <c r="J6">
        <v>4</v>
      </c>
      <c r="K6" s="1">
        <f t="shared" si="0"/>
        <v>45840</v>
      </c>
      <c r="L6" s="3">
        <f t="shared" si="1"/>
        <v>63.083333333333336</v>
      </c>
      <c r="M6" s="3">
        <f t="shared" si="2"/>
        <v>7.1833333333333336</v>
      </c>
      <c r="N6" t="str">
        <f t="shared" si="3"/>
        <v>Within SLA</v>
      </c>
      <c r="O6" t="str">
        <f t="shared" si="7"/>
        <v>Satisfied</v>
      </c>
      <c r="P6" t="str">
        <f t="shared" si="4"/>
        <v>Resolved</v>
      </c>
      <c r="Q6" s="2" t="str">
        <f t="shared" si="5"/>
        <v>Jul-2025</v>
      </c>
      <c r="R6" s="2">
        <f t="shared" si="6"/>
        <v>45839</v>
      </c>
    </row>
    <row r="7" spans="1:18">
      <c r="A7" t="s">
        <v>35</v>
      </c>
      <c r="C7">
        <v>1471</v>
      </c>
      <c r="D7" t="s">
        <v>18</v>
      </c>
      <c r="E7" t="s">
        <v>33</v>
      </c>
      <c r="F7" t="s">
        <v>34</v>
      </c>
      <c r="G7">
        <v>302</v>
      </c>
      <c r="H7">
        <v>1808</v>
      </c>
      <c r="I7" t="s">
        <v>15</v>
      </c>
      <c r="J7">
        <v>1</v>
      </c>
      <c r="K7" s="1" t="str">
        <f t="shared" si="0"/>
        <v/>
      </c>
      <c r="L7" s="3">
        <f t="shared" si="1"/>
        <v>30.133333333333333</v>
      </c>
      <c r="M7" s="3">
        <f t="shared" si="2"/>
        <v>5.0333333333333332</v>
      </c>
      <c r="N7" t="str">
        <f t="shared" si="3"/>
        <v>Within SLA</v>
      </c>
      <c r="O7" t="str">
        <f t="shared" si="7"/>
        <v>Dissatisfied</v>
      </c>
      <c r="P7" t="str">
        <f t="shared" si="4"/>
        <v>Resolved</v>
      </c>
      <c r="Q7" s="2" t="str">
        <f t="shared" si="5"/>
        <v/>
      </c>
      <c r="R7" s="2" t="str">
        <f t="shared" si="6"/>
        <v/>
      </c>
    </row>
    <row r="8" spans="1:18">
      <c r="A8" t="s">
        <v>37</v>
      </c>
      <c r="B8" s="2" t="s">
        <v>38</v>
      </c>
      <c r="C8">
        <v>1949</v>
      </c>
      <c r="D8" t="s">
        <v>26</v>
      </c>
      <c r="E8" t="s">
        <v>33</v>
      </c>
      <c r="F8" t="s">
        <v>23</v>
      </c>
      <c r="G8">
        <v>206</v>
      </c>
      <c r="H8">
        <v>2717</v>
      </c>
      <c r="I8" t="s">
        <v>15</v>
      </c>
      <c r="J8">
        <v>1</v>
      </c>
      <c r="K8" s="1">
        <f t="shared" si="0"/>
        <v>45841</v>
      </c>
      <c r="L8" s="3">
        <f t="shared" si="1"/>
        <v>45.283333333333331</v>
      </c>
      <c r="M8" s="3">
        <f t="shared" si="2"/>
        <v>3.4333333333333331</v>
      </c>
      <c r="N8" t="str">
        <f t="shared" si="3"/>
        <v>Within SLA</v>
      </c>
      <c r="O8" t="str">
        <f t="shared" si="7"/>
        <v>Dissatisfied</v>
      </c>
      <c r="P8" t="str">
        <f t="shared" si="4"/>
        <v>Resolved</v>
      </c>
      <c r="Q8" s="2" t="str">
        <f t="shared" si="5"/>
        <v>Jul-2025</v>
      </c>
      <c r="R8" s="2">
        <f t="shared" si="6"/>
        <v>45839</v>
      </c>
    </row>
    <row r="9" spans="1:18">
      <c r="A9" t="s">
        <v>39</v>
      </c>
      <c r="B9" s="2" t="s">
        <v>40</v>
      </c>
      <c r="C9">
        <v>1968</v>
      </c>
      <c r="D9" t="s">
        <v>12</v>
      </c>
      <c r="E9" t="s">
        <v>27</v>
      </c>
      <c r="F9" t="s">
        <v>28</v>
      </c>
      <c r="G9">
        <v>85</v>
      </c>
      <c r="H9">
        <v>771</v>
      </c>
      <c r="I9" t="s">
        <v>15</v>
      </c>
      <c r="K9" s="1">
        <f t="shared" si="0"/>
        <v>45841</v>
      </c>
      <c r="L9" s="3">
        <f t="shared" si="1"/>
        <v>12.85</v>
      </c>
      <c r="M9" s="3">
        <f t="shared" si="2"/>
        <v>1.4166666666666667</v>
      </c>
      <c r="N9" t="str">
        <f t="shared" si="3"/>
        <v>Within SLA</v>
      </c>
      <c r="O9" t="str">
        <f t="shared" si="7"/>
        <v>No Rating</v>
      </c>
      <c r="P9" t="str">
        <f t="shared" si="4"/>
        <v>Resolved</v>
      </c>
      <c r="Q9" s="2" t="str">
        <f t="shared" si="5"/>
        <v>Jul-2025</v>
      </c>
      <c r="R9" s="2">
        <f t="shared" si="6"/>
        <v>45839</v>
      </c>
    </row>
    <row r="10" spans="1:18">
      <c r="A10" t="s">
        <v>41</v>
      </c>
      <c r="B10" s="2" t="s">
        <v>42</v>
      </c>
      <c r="C10">
        <v>1750</v>
      </c>
      <c r="D10" t="s">
        <v>12</v>
      </c>
      <c r="E10" t="s">
        <v>27</v>
      </c>
      <c r="F10" t="s">
        <v>43</v>
      </c>
      <c r="G10">
        <v>32</v>
      </c>
      <c r="I10" t="s">
        <v>44</v>
      </c>
      <c r="K10" s="1">
        <f t="shared" si="0"/>
        <v>45841</v>
      </c>
      <c r="L10" s="3" t="str">
        <f t="shared" si="1"/>
        <v/>
      </c>
      <c r="M10" s="3">
        <f t="shared" si="2"/>
        <v>0.53333333333333333</v>
      </c>
      <c r="N10" t="str">
        <f t="shared" si="3"/>
        <v>Open</v>
      </c>
      <c r="O10" t="str">
        <f t="shared" si="7"/>
        <v>No Rating</v>
      </c>
      <c r="P10" t="str">
        <f t="shared" si="4"/>
        <v>Unresolved</v>
      </c>
      <c r="Q10" s="2" t="str">
        <f t="shared" si="5"/>
        <v>Jul-2025</v>
      </c>
      <c r="R10" s="2">
        <f t="shared" si="6"/>
        <v>45839</v>
      </c>
    </row>
    <row r="11" spans="1:18">
      <c r="A11" t="s">
        <v>45</v>
      </c>
      <c r="B11" s="2" t="s">
        <v>46</v>
      </c>
      <c r="C11">
        <v>1591</v>
      </c>
      <c r="D11" t="s">
        <v>47</v>
      </c>
      <c r="E11" t="s">
        <v>27</v>
      </c>
      <c r="F11" t="s">
        <v>43</v>
      </c>
      <c r="G11">
        <v>63</v>
      </c>
      <c r="H11">
        <v>1975</v>
      </c>
      <c r="I11" t="s">
        <v>15</v>
      </c>
      <c r="J11">
        <v>2</v>
      </c>
      <c r="K11" s="1">
        <f t="shared" si="0"/>
        <v>45842</v>
      </c>
      <c r="L11" s="3">
        <f t="shared" si="1"/>
        <v>32.916666666666664</v>
      </c>
      <c r="M11" s="3">
        <f t="shared" si="2"/>
        <v>1.05</v>
      </c>
      <c r="N11" t="str">
        <f t="shared" si="3"/>
        <v>Within SLA</v>
      </c>
      <c r="O11" t="str">
        <f t="shared" si="7"/>
        <v>Dissatisfied</v>
      </c>
      <c r="P11" t="str">
        <f t="shared" si="4"/>
        <v>Resolved</v>
      </c>
      <c r="Q11" s="2" t="str">
        <f t="shared" si="5"/>
        <v>Jul-2025</v>
      </c>
      <c r="R11" s="2">
        <f t="shared" si="6"/>
        <v>45839</v>
      </c>
    </row>
    <row r="12" spans="1:18">
      <c r="A12" t="s">
        <v>48</v>
      </c>
      <c r="B12" s="2" t="s">
        <v>49</v>
      </c>
      <c r="C12">
        <v>1908</v>
      </c>
      <c r="D12" t="s">
        <v>12</v>
      </c>
      <c r="E12" t="s">
        <v>19</v>
      </c>
      <c r="F12" t="s">
        <v>14</v>
      </c>
      <c r="G12">
        <v>21</v>
      </c>
      <c r="H12">
        <v>174</v>
      </c>
      <c r="I12" t="s">
        <v>20</v>
      </c>
      <c r="J12">
        <v>1</v>
      </c>
      <c r="K12" s="1">
        <f t="shared" si="0"/>
        <v>45842</v>
      </c>
      <c r="L12" s="3">
        <f t="shared" si="1"/>
        <v>2.9</v>
      </c>
      <c r="M12" s="3">
        <f t="shared" si="2"/>
        <v>0.35</v>
      </c>
      <c r="N12" t="str">
        <f t="shared" si="3"/>
        <v>Within SLA</v>
      </c>
      <c r="O12" t="str">
        <f t="shared" si="7"/>
        <v>Dissatisfied</v>
      </c>
      <c r="P12" t="str">
        <f t="shared" si="4"/>
        <v>Resolved</v>
      </c>
      <c r="Q12" s="2" t="str">
        <f t="shared" si="5"/>
        <v>Jul-2025</v>
      </c>
      <c r="R12" s="2">
        <f t="shared" si="6"/>
        <v>45839</v>
      </c>
    </row>
    <row r="13" spans="1:18">
      <c r="A13" t="s">
        <v>50</v>
      </c>
      <c r="B13" s="2" t="s">
        <v>51</v>
      </c>
      <c r="C13">
        <v>1982</v>
      </c>
      <c r="D13" t="s">
        <v>18</v>
      </c>
      <c r="E13" t="s">
        <v>33</v>
      </c>
      <c r="F13" t="s">
        <v>23</v>
      </c>
      <c r="G13">
        <v>343</v>
      </c>
      <c r="H13">
        <v>6881</v>
      </c>
      <c r="I13" t="s">
        <v>15</v>
      </c>
      <c r="K13" s="1">
        <f t="shared" si="0"/>
        <v>45843</v>
      </c>
      <c r="L13" s="3">
        <f t="shared" si="1"/>
        <v>114.68333333333334</v>
      </c>
      <c r="M13" s="3">
        <f t="shared" si="2"/>
        <v>5.7166666666666668</v>
      </c>
      <c r="N13" t="str">
        <f t="shared" si="3"/>
        <v>Breached</v>
      </c>
      <c r="O13" t="str">
        <f t="shared" si="7"/>
        <v>No Rating</v>
      </c>
      <c r="P13" t="str">
        <f t="shared" si="4"/>
        <v>Resolved</v>
      </c>
      <c r="Q13" s="2" t="str">
        <f t="shared" si="5"/>
        <v>Jul-2025</v>
      </c>
      <c r="R13" s="2">
        <f t="shared" si="6"/>
        <v>45839</v>
      </c>
    </row>
    <row r="14" spans="1:18">
      <c r="A14" t="s">
        <v>52</v>
      </c>
      <c r="B14" s="2" t="s">
        <v>53</v>
      </c>
      <c r="C14">
        <v>1099</v>
      </c>
      <c r="D14" t="s">
        <v>26</v>
      </c>
      <c r="E14" t="s">
        <v>33</v>
      </c>
      <c r="F14" t="s">
        <v>54</v>
      </c>
      <c r="G14">
        <v>442</v>
      </c>
      <c r="H14">
        <v>6637</v>
      </c>
      <c r="I14" t="s">
        <v>15</v>
      </c>
      <c r="J14">
        <v>1</v>
      </c>
      <c r="K14" s="1">
        <f t="shared" si="0"/>
        <v>45843</v>
      </c>
      <c r="L14" s="3">
        <f t="shared" si="1"/>
        <v>110.61666666666666</v>
      </c>
      <c r="M14" s="3">
        <f t="shared" si="2"/>
        <v>7.3666666666666663</v>
      </c>
      <c r="N14" t="str">
        <f t="shared" si="3"/>
        <v>Breached</v>
      </c>
      <c r="O14" t="str">
        <f t="shared" si="7"/>
        <v>Dissatisfied</v>
      </c>
      <c r="P14" t="str">
        <f t="shared" si="4"/>
        <v>Resolved</v>
      </c>
      <c r="Q14" s="2" t="str">
        <f t="shared" si="5"/>
        <v>Jul-2025</v>
      </c>
      <c r="R14" s="2">
        <f t="shared" si="6"/>
        <v>45839</v>
      </c>
    </row>
    <row r="15" spans="1:18">
      <c r="A15" t="s">
        <v>55</v>
      </c>
      <c r="B15" s="2" t="s">
        <v>56</v>
      </c>
      <c r="C15">
        <v>1055</v>
      </c>
      <c r="D15" t="s">
        <v>26</v>
      </c>
      <c r="E15" t="s">
        <v>13</v>
      </c>
      <c r="F15" t="s">
        <v>34</v>
      </c>
      <c r="G15">
        <v>10</v>
      </c>
      <c r="H15">
        <v>406</v>
      </c>
      <c r="I15" t="s">
        <v>15</v>
      </c>
      <c r="K15" s="1">
        <f t="shared" si="0"/>
        <v>45843</v>
      </c>
      <c r="L15" s="3">
        <f t="shared" si="1"/>
        <v>6.7666666666666666</v>
      </c>
      <c r="M15" s="3">
        <f t="shared" si="2"/>
        <v>0.16666666666666666</v>
      </c>
      <c r="N15" t="str">
        <f t="shared" si="3"/>
        <v>Within SLA</v>
      </c>
      <c r="O15" t="str">
        <f t="shared" si="7"/>
        <v>No Rating</v>
      </c>
      <c r="P15" t="str">
        <f t="shared" si="4"/>
        <v>Resolved</v>
      </c>
      <c r="Q15" s="2" t="str">
        <f t="shared" si="5"/>
        <v>Jul-2025</v>
      </c>
      <c r="R15" s="2">
        <f t="shared" si="6"/>
        <v>45839</v>
      </c>
    </row>
    <row r="16" spans="1:18">
      <c r="A16" t="s">
        <v>57</v>
      </c>
      <c r="B16" s="2" t="s">
        <v>58</v>
      </c>
      <c r="C16">
        <v>1214</v>
      </c>
      <c r="D16" t="s">
        <v>47</v>
      </c>
      <c r="E16" t="s">
        <v>33</v>
      </c>
      <c r="F16" t="s">
        <v>59</v>
      </c>
      <c r="G16">
        <v>122</v>
      </c>
      <c r="H16">
        <v>2695</v>
      </c>
      <c r="I16" t="s">
        <v>20</v>
      </c>
      <c r="J16">
        <v>3</v>
      </c>
      <c r="K16" s="1">
        <f t="shared" si="0"/>
        <v>45844</v>
      </c>
      <c r="L16" s="3">
        <f t="shared" si="1"/>
        <v>44.916666666666664</v>
      </c>
      <c r="M16" s="3">
        <f t="shared" si="2"/>
        <v>2.0333333333333332</v>
      </c>
      <c r="N16" t="str">
        <f t="shared" si="3"/>
        <v>Within SLA</v>
      </c>
      <c r="O16" t="str">
        <f t="shared" si="7"/>
        <v>Neutral</v>
      </c>
      <c r="P16" t="str">
        <f t="shared" si="4"/>
        <v>Resolved</v>
      </c>
      <c r="Q16" s="2" t="str">
        <f t="shared" si="5"/>
        <v>Jul-2025</v>
      </c>
      <c r="R16" s="2">
        <f t="shared" si="6"/>
        <v>45839</v>
      </c>
    </row>
    <row r="17" spans="1:18">
      <c r="A17" t="s">
        <v>60</v>
      </c>
      <c r="B17" s="2" t="s">
        <v>61</v>
      </c>
      <c r="C17">
        <v>1730</v>
      </c>
      <c r="D17" t="s">
        <v>26</v>
      </c>
      <c r="E17" t="s">
        <v>13</v>
      </c>
      <c r="F17" t="s">
        <v>43</v>
      </c>
      <c r="G17">
        <v>3</v>
      </c>
      <c r="H17">
        <v>173</v>
      </c>
      <c r="I17" t="s">
        <v>15</v>
      </c>
      <c r="J17">
        <v>2</v>
      </c>
      <c r="K17" s="1">
        <f t="shared" si="0"/>
        <v>45844</v>
      </c>
      <c r="L17" s="3">
        <f t="shared" si="1"/>
        <v>2.8833333333333333</v>
      </c>
      <c r="M17" s="3">
        <f t="shared" si="2"/>
        <v>0.05</v>
      </c>
      <c r="N17" t="str">
        <f t="shared" si="3"/>
        <v>Within SLA</v>
      </c>
      <c r="O17" t="str">
        <f t="shared" si="7"/>
        <v>Dissatisfied</v>
      </c>
      <c r="P17" t="str">
        <f t="shared" si="4"/>
        <v>Resolved</v>
      </c>
      <c r="Q17" s="2" t="str">
        <f t="shared" si="5"/>
        <v>Jul-2025</v>
      </c>
      <c r="R17" s="2">
        <f t="shared" si="6"/>
        <v>45839</v>
      </c>
    </row>
    <row r="18" spans="1:18">
      <c r="A18" t="s">
        <v>62</v>
      </c>
      <c r="B18" s="2" t="s">
        <v>63</v>
      </c>
      <c r="C18">
        <v>1469</v>
      </c>
      <c r="D18" t="s">
        <v>47</v>
      </c>
      <c r="E18" t="s">
        <v>33</v>
      </c>
      <c r="F18" t="s">
        <v>64</v>
      </c>
      <c r="G18">
        <v>337</v>
      </c>
      <c r="H18">
        <v>6240</v>
      </c>
      <c r="I18" t="s">
        <v>15</v>
      </c>
      <c r="K18" s="1">
        <f t="shared" si="0"/>
        <v>45844</v>
      </c>
      <c r="L18" s="3">
        <f t="shared" si="1"/>
        <v>104</v>
      </c>
      <c r="M18" s="3">
        <f t="shared" si="2"/>
        <v>5.6166666666666663</v>
      </c>
      <c r="N18" t="str">
        <f t="shared" si="3"/>
        <v>Breached</v>
      </c>
      <c r="O18" t="str">
        <f t="shared" si="7"/>
        <v>No Rating</v>
      </c>
      <c r="P18" t="str">
        <f t="shared" si="4"/>
        <v>Resolved</v>
      </c>
      <c r="Q18" s="2" t="str">
        <f t="shared" si="5"/>
        <v>Jul-2025</v>
      </c>
      <c r="R18" s="2">
        <f t="shared" si="6"/>
        <v>45839</v>
      </c>
    </row>
    <row r="19" spans="1:18">
      <c r="A19" t="s">
        <v>65</v>
      </c>
      <c r="B19" s="2" t="s">
        <v>66</v>
      </c>
      <c r="C19">
        <v>1802</v>
      </c>
      <c r="D19" t="s">
        <v>32</v>
      </c>
      <c r="E19" t="s">
        <v>27</v>
      </c>
      <c r="F19" t="s">
        <v>59</v>
      </c>
      <c r="G19">
        <v>157</v>
      </c>
      <c r="I19" t="s">
        <v>44</v>
      </c>
      <c r="K19" s="1">
        <f t="shared" si="0"/>
        <v>45845</v>
      </c>
      <c r="L19" s="3" t="str">
        <f t="shared" si="1"/>
        <v/>
      </c>
      <c r="M19" s="3">
        <f t="shared" si="2"/>
        <v>2.6166666666666667</v>
      </c>
      <c r="N19" t="str">
        <f t="shared" si="3"/>
        <v>Open</v>
      </c>
      <c r="O19" t="str">
        <f t="shared" si="7"/>
        <v>No Rating</v>
      </c>
      <c r="P19" t="str">
        <f t="shared" si="4"/>
        <v>Unresolved</v>
      </c>
      <c r="Q19" s="2" t="str">
        <f t="shared" si="5"/>
        <v>Jul-2025</v>
      </c>
      <c r="R19" s="2">
        <f t="shared" si="6"/>
        <v>45839</v>
      </c>
    </row>
    <row r="20" spans="1:18">
      <c r="A20" t="s">
        <v>67</v>
      </c>
      <c r="B20" s="2" t="s">
        <v>68</v>
      </c>
      <c r="C20">
        <v>1538</v>
      </c>
      <c r="D20" t="s">
        <v>18</v>
      </c>
      <c r="E20" t="s">
        <v>27</v>
      </c>
      <c r="F20" t="s">
        <v>64</v>
      </c>
      <c r="G20">
        <v>166</v>
      </c>
      <c r="H20">
        <v>1810</v>
      </c>
      <c r="I20" t="s">
        <v>20</v>
      </c>
      <c r="K20" s="1">
        <f t="shared" si="0"/>
        <v>45845</v>
      </c>
      <c r="L20" s="3">
        <f t="shared" si="1"/>
        <v>30.166666666666668</v>
      </c>
      <c r="M20" s="3">
        <f t="shared" si="2"/>
        <v>2.7666666666666666</v>
      </c>
      <c r="N20" t="str">
        <f t="shared" si="3"/>
        <v>Within SLA</v>
      </c>
      <c r="O20" t="str">
        <f t="shared" si="7"/>
        <v>No Rating</v>
      </c>
      <c r="P20" t="str">
        <f t="shared" si="4"/>
        <v>Resolved</v>
      </c>
      <c r="Q20" s="2" t="str">
        <f t="shared" si="5"/>
        <v>Jul-2025</v>
      </c>
      <c r="R20" s="2">
        <f t="shared" si="6"/>
        <v>45839</v>
      </c>
    </row>
    <row r="21" spans="1:18">
      <c r="A21" t="s">
        <v>69</v>
      </c>
      <c r="B21" s="2" t="s">
        <v>70</v>
      </c>
      <c r="C21">
        <v>1295</v>
      </c>
      <c r="D21" t="s">
        <v>26</v>
      </c>
      <c r="E21" t="s">
        <v>13</v>
      </c>
      <c r="F21" t="s">
        <v>71</v>
      </c>
      <c r="G21">
        <v>3</v>
      </c>
      <c r="H21">
        <v>123</v>
      </c>
      <c r="I21" t="s">
        <v>20</v>
      </c>
      <c r="J21">
        <v>4</v>
      </c>
      <c r="K21" s="1">
        <f t="shared" si="0"/>
        <v>45845</v>
      </c>
      <c r="L21" s="3">
        <f t="shared" si="1"/>
        <v>2.0499999999999998</v>
      </c>
      <c r="M21" s="3">
        <f t="shared" si="2"/>
        <v>0.05</v>
      </c>
      <c r="N21" t="str">
        <f t="shared" si="3"/>
        <v>Within SLA</v>
      </c>
      <c r="O21" t="str">
        <f t="shared" si="7"/>
        <v>Satisfied</v>
      </c>
      <c r="P21" t="str">
        <f t="shared" si="4"/>
        <v>Resolved</v>
      </c>
      <c r="Q21" s="2" t="str">
        <f t="shared" si="5"/>
        <v>Jul-2025</v>
      </c>
      <c r="R21" s="2">
        <f t="shared" si="6"/>
        <v>45839</v>
      </c>
    </row>
    <row r="22" spans="1:18">
      <c r="A22" t="s">
        <v>72</v>
      </c>
      <c r="B22" s="2" t="s">
        <v>73</v>
      </c>
      <c r="C22">
        <v>1646</v>
      </c>
      <c r="D22" t="s">
        <v>26</v>
      </c>
      <c r="E22" t="s">
        <v>19</v>
      </c>
      <c r="F22" t="s">
        <v>14</v>
      </c>
      <c r="G22">
        <v>15</v>
      </c>
      <c r="I22" t="s">
        <v>29</v>
      </c>
      <c r="K22" s="1">
        <f t="shared" si="0"/>
        <v>45846</v>
      </c>
      <c r="L22" s="3" t="str">
        <f t="shared" si="1"/>
        <v/>
      </c>
      <c r="M22" s="3">
        <f t="shared" si="2"/>
        <v>0.25</v>
      </c>
      <c r="N22" t="str">
        <f t="shared" si="3"/>
        <v>Open</v>
      </c>
      <c r="O22" t="str">
        <f t="shared" si="7"/>
        <v>No Rating</v>
      </c>
      <c r="P22" t="str">
        <f t="shared" si="4"/>
        <v>Unresolved</v>
      </c>
      <c r="Q22" s="2" t="str">
        <f t="shared" si="5"/>
        <v>Jul-2025</v>
      </c>
      <c r="R22" s="2">
        <f t="shared" si="6"/>
        <v>45839</v>
      </c>
    </row>
    <row r="23" spans="1:18">
      <c r="A23" t="s">
        <v>74</v>
      </c>
      <c r="B23" s="2" t="s">
        <v>75</v>
      </c>
      <c r="C23">
        <v>1880</v>
      </c>
      <c r="D23" t="s">
        <v>18</v>
      </c>
      <c r="E23" t="s">
        <v>27</v>
      </c>
      <c r="F23" t="s">
        <v>71</v>
      </c>
      <c r="G23">
        <v>46</v>
      </c>
      <c r="I23" t="s">
        <v>29</v>
      </c>
      <c r="K23" s="1">
        <f t="shared" si="0"/>
        <v>45846</v>
      </c>
      <c r="L23" s="3" t="str">
        <f t="shared" si="1"/>
        <v/>
      </c>
      <c r="M23" s="3">
        <f t="shared" si="2"/>
        <v>0.76666666666666672</v>
      </c>
      <c r="N23" t="str">
        <f t="shared" si="3"/>
        <v>Open</v>
      </c>
      <c r="O23" t="str">
        <f t="shared" si="7"/>
        <v>No Rating</v>
      </c>
      <c r="P23" t="str">
        <f t="shared" si="4"/>
        <v>Unresolved</v>
      </c>
      <c r="Q23" s="2" t="str">
        <f t="shared" si="5"/>
        <v>Jul-2025</v>
      </c>
      <c r="R23" s="2">
        <f t="shared" si="6"/>
        <v>45839</v>
      </c>
    </row>
    <row r="24" spans="1:18">
      <c r="A24" t="s">
        <v>76</v>
      </c>
      <c r="B24" s="2" t="s">
        <v>77</v>
      </c>
      <c r="C24">
        <v>1808</v>
      </c>
      <c r="D24" t="s">
        <v>26</v>
      </c>
      <c r="E24" t="s">
        <v>33</v>
      </c>
      <c r="F24" t="s">
        <v>23</v>
      </c>
      <c r="G24">
        <v>217</v>
      </c>
      <c r="H24">
        <v>6190</v>
      </c>
      <c r="I24" t="s">
        <v>15</v>
      </c>
      <c r="K24" s="1">
        <f t="shared" si="0"/>
        <v>45847</v>
      </c>
      <c r="L24" s="3">
        <f t="shared" si="1"/>
        <v>103.16666666666667</v>
      </c>
      <c r="M24" s="3">
        <f t="shared" si="2"/>
        <v>3.6166666666666667</v>
      </c>
      <c r="N24" t="str">
        <f t="shared" si="3"/>
        <v>Breached</v>
      </c>
      <c r="O24" t="str">
        <f t="shared" si="7"/>
        <v>No Rating</v>
      </c>
      <c r="P24" t="str">
        <f t="shared" si="4"/>
        <v>Resolved</v>
      </c>
      <c r="Q24" s="2" t="str">
        <f t="shared" si="5"/>
        <v>Jul-2025</v>
      </c>
      <c r="R24" s="2">
        <f t="shared" si="6"/>
        <v>45839</v>
      </c>
    </row>
    <row r="25" spans="1:18">
      <c r="A25" t="s">
        <v>78</v>
      </c>
      <c r="B25" s="2" t="s">
        <v>79</v>
      </c>
      <c r="C25">
        <v>1887</v>
      </c>
      <c r="D25" t="s">
        <v>18</v>
      </c>
      <c r="E25" t="s">
        <v>33</v>
      </c>
      <c r="F25" t="s">
        <v>43</v>
      </c>
      <c r="G25">
        <v>263</v>
      </c>
      <c r="H25">
        <v>7047</v>
      </c>
      <c r="I25" t="s">
        <v>15</v>
      </c>
      <c r="K25" s="1">
        <f t="shared" si="0"/>
        <v>45847</v>
      </c>
      <c r="L25" s="3">
        <f t="shared" si="1"/>
        <v>117.45</v>
      </c>
      <c r="M25" s="3">
        <f t="shared" si="2"/>
        <v>4.3833333333333337</v>
      </c>
      <c r="N25" t="str">
        <f t="shared" si="3"/>
        <v>Breached</v>
      </c>
      <c r="O25" t="str">
        <f t="shared" si="7"/>
        <v>No Rating</v>
      </c>
      <c r="P25" t="str">
        <f t="shared" si="4"/>
        <v>Resolved</v>
      </c>
      <c r="Q25" s="2" t="str">
        <f t="shared" si="5"/>
        <v>Jul-2025</v>
      </c>
      <c r="R25" s="2">
        <f t="shared" si="6"/>
        <v>45839</v>
      </c>
    </row>
    <row r="26" spans="1:18">
      <c r="A26" t="s">
        <v>80</v>
      </c>
      <c r="B26" s="2" t="s">
        <v>81</v>
      </c>
      <c r="C26">
        <v>1909</v>
      </c>
      <c r="D26" t="s">
        <v>47</v>
      </c>
      <c r="E26" t="s">
        <v>33</v>
      </c>
      <c r="F26" t="s">
        <v>23</v>
      </c>
      <c r="G26">
        <v>446</v>
      </c>
      <c r="I26" t="s">
        <v>29</v>
      </c>
      <c r="K26" s="1">
        <f t="shared" si="0"/>
        <v>45847</v>
      </c>
      <c r="L26" s="3" t="str">
        <f t="shared" si="1"/>
        <v/>
      </c>
      <c r="M26" s="3">
        <f t="shared" si="2"/>
        <v>7.4333333333333336</v>
      </c>
      <c r="N26" t="str">
        <f t="shared" si="3"/>
        <v>Open</v>
      </c>
      <c r="O26" t="str">
        <f t="shared" si="7"/>
        <v>No Rating</v>
      </c>
      <c r="P26" t="str">
        <f t="shared" si="4"/>
        <v>Unresolved</v>
      </c>
      <c r="Q26" s="2" t="str">
        <f t="shared" si="5"/>
        <v>Jul-2025</v>
      </c>
      <c r="R26" s="2">
        <f t="shared" si="6"/>
        <v>45839</v>
      </c>
    </row>
    <row r="27" spans="1:18">
      <c r="A27" t="s">
        <v>82</v>
      </c>
      <c r="B27" s="2" t="s">
        <v>83</v>
      </c>
      <c r="C27">
        <v>1950</v>
      </c>
      <c r="D27" t="s">
        <v>12</v>
      </c>
      <c r="E27" t="s">
        <v>33</v>
      </c>
      <c r="F27" t="s">
        <v>64</v>
      </c>
      <c r="G27">
        <v>165</v>
      </c>
      <c r="I27" t="s">
        <v>29</v>
      </c>
      <c r="K27" s="1">
        <f t="shared" si="0"/>
        <v>45848</v>
      </c>
      <c r="L27" s="3" t="str">
        <f t="shared" si="1"/>
        <v/>
      </c>
      <c r="M27" s="3">
        <f t="shared" si="2"/>
        <v>2.75</v>
      </c>
      <c r="N27" t="str">
        <f t="shared" si="3"/>
        <v>Open</v>
      </c>
      <c r="O27" t="str">
        <f t="shared" si="7"/>
        <v>No Rating</v>
      </c>
      <c r="P27" t="str">
        <f t="shared" si="4"/>
        <v>Unresolved</v>
      </c>
      <c r="Q27" s="2" t="str">
        <f t="shared" si="5"/>
        <v>Jul-2025</v>
      </c>
      <c r="R27" s="2">
        <f t="shared" si="6"/>
        <v>45839</v>
      </c>
    </row>
    <row r="28" spans="1:18">
      <c r="A28" t="s">
        <v>84</v>
      </c>
      <c r="B28" s="2" t="s">
        <v>85</v>
      </c>
      <c r="C28">
        <v>1028</v>
      </c>
      <c r="D28" t="s">
        <v>47</v>
      </c>
      <c r="E28" t="s">
        <v>27</v>
      </c>
      <c r="F28" t="s">
        <v>59</v>
      </c>
      <c r="G28">
        <v>123</v>
      </c>
      <c r="H28">
        <v>792</v>
      </c>
      <c r="I28" t="s">
        <v>20</v>
      </c>
      <c r="J28">
        <v>2</v>
      </c>
      <c r="K28" s="1">
        <f t="shared" si="0"/>
        <v>45848</v>
      </c>
      <c r="L28" s="3">
        <f t="shared" si="1"/>
        <v>13.2</v>
      </c>
      <c r="M28" s="3">
        <f t="shared" si="2"/>
        <v>2.0499999999999998</v>
      </c>
      <c r="N28" t="str">
        <f t="shared" si="3"/>
        <v>Within SLA</v>
      </c>
      <c r="O28" t="str">
        <f t="shared" si="7"/>
        <v>Dissatisfied</v>
      </c>
      <c r="P28" t="str">
        <f t="shared" si="4"/>
        <v>Resolved</v>
      </c>
      <c r="Q28" s="2" t="str">
        <f t="shared" si="5"/>
        <v>Jul-2025</v>
      </c>
      <c r="R28" s="2">
        <f t="shared" si="6"/>
        <v>45839</v>
      </c>
    </row>
    <row r="29" spans="1:18">
      <c r="A29" t="s">
        <v>86</v>
      </c>
      <c r="B29" s="2" t="s">
        <v>87</v>
      </c>
      <c r="C29">
        <v>1035</v>
      </c>
      <c r="D29" t="s">
        <v>26</v>
      </c>
      <c r="E29" t="s">
        <v>19</v>
      </c>
      <c r="F29" t="s">
        <v>34</v>
      </c>
      <c r="G29">
        <v>24</v>
      </c>
      <c r="H29">
        <v>235</v>
      </c>
      <c r="I29" t="s">
        <v>15</v>
      </c>
      <c r="J29">
        <v>4</v>
      </c>
      <c r="K29" s="1">
        <f t="shared" si="0"/>
        <v>45848</v>
      </c>
      <c r="L29" s="3">
        <f t="shared" si="1"/>
        <v>3.9166666666666665</v>
      </c>
      <c r="M29" s="3">
        <f t="shared" si="2"/>
        <v>0.4</v>
      </c>
      <c r="N29" t="str">
        <f t="shared" si="3"/>
        <v>Within SLA</v>
      </c>
      <c r="O29" t="str">
        <f t="shared" si="7"/>
        <v>Satisfied</v>
      </c>
      <c r="P29" t="str">
        <f t="shared" si="4"/>
        <v>Resolved</v>
      </c>
      <c r="Q29" s="2" t="str">
        <f t="shared" si="5"/>
        <v>Jul-2025</v>
      </c>
      <c r="R29" s="2">
        <f t="shared" si="6"/>
        <v>45839</v>
      </c>
    </row>
    <row r="30" spans="1:18">
      <c r="A30" t="s">
        <v>88</v>
      </c>
      <c r="B30" s="2" t="s">
        <v>89</v>
      </c>
      <c r="C30">
        <v>1426</v>
      </c>
      <c r="D30" t="s">
        <v>12</v>
      </c>
      <c r="E30" t="s">
        <v>33</v>
      </c>
      <c r="F30" t="s">
        <v>34</v>
      </c>
      <c r="G30">
        <v>405</v>
      </c>
      <c r="H30">
        <v>4942</v>
      </c>
      <c r="I30" t="s">
        <v>15</v>
      </c>
      <c r="J30">
        <v>3</v>
      </c>
      <c r="K30" s="1">
        <f t="shared" si="0"/>
        <v>45849</v>
      </c>
      <c r="L30" s="3">
        <f t="shared" si="1"/>
        <v>82.36666666666666</v>
      </c>
      <c r="M30" s="3">
        <f t="shared" si="2"/>
        <v>6.75</v>
      </c>
      <c r="N30" t="str">
        <f t="shared" si="3"/>
        <v>Breached</v>
      </c>
      <c r="O30" t="str">
        <f t="shared" si="7"/>
        <v>Neutral</v>
      </c>
      <c r="P30" t="str">
        <f t="shared" si="4"/>
        <v>Resolved</v>
      </c>
      <c r="Q30" s="2" t="str">
        <f t="shared" si="5"/>
        <v>Jul-2025</v>
      </c>
      <c r="R30" s="2">
        <f t="shared" si="6"/>
        <v>45839</v>
      </c>
    </row>
    <row r="31" spans="1:18">
      <c r="A31" t="s">
        <v>90</v>
      </c>
      <c r="B31" s="2" t="s">
        <v>91</v>
      </c>
      <c r="C31">
        <v>1908</v>
      </c>
      <c r="D31" t="s">
        <v>47</v>
      </c>
      <c r="E31" t="s">
        <v>33</v>
      </c>
      <c r="F31" t="s">
        <v>64</v>
      </c>
      <c r="G31">
        <v>432</v>
      </c>
      <c r="H31">
        <v>2314</v>
      </c>
      <c r="I31" t="s">
        <v>15</v>
      </c>
      <c r="J31">
        <v>3</v>
      </c>
      <c r="K31" s="1">
        <f t="shared" si="0"/>
        <v>45849</v>
      </c>
      <c r="L31" s="3">
        <f t="shared" si="1"/>
        <v>38.56666666666667</v>
      </c>
      <c r="M31" s="3">
        <f t="shared" si="2"/>
        <v>7.2</v>
      </c>
      <c r="N31" t="str">
        <f t="shared" si="3"/>
        <v>Within SLA</v>
      </c>
      <c r="O31" t="str">
        <f t="shared" si="7"/>
        <v>Neutral</v>
      </c>
      <c r="P31" t="str">
        <f t="shared" si="4"/>
        <v>Resolved</v>
      </c>
      <c r="Q31" s="2" t="str">
        <f t="shared" si="5"/>
        <v>Jul-2025</v>
      </c>
      <c r="R31" s="2">
        <f t="shared" si="6"/>
        <v>45839</v>
      </c>
    </row>
    <row r="32" spans="1:18">
      <c r="A32" t="s">
        <v>92</v>
      </c>
      <c r="B32" s="2" t="s">
        <v>93</v>
      </c>
      <c r="C32">
        <v>1540</v>
      </c>
      <c r="D32" t="s">
        <v>26</v>
      </c>
      <c r="E32" t="s">
        <v>27</v>
      </c>
      <c r="F32" t="s">
        <v>28</v>
      </c>
      <c r="G32">
        <v>90</v>
      </c>
      <c r="I32" t="s">
        <v>29</v>
      </c>
      <c r="K32" s="1">
        <f t="shared" si="0"/>
        <v>45849</v>
      </c>
      <c r="L32" s="3" t="str">
        <f t="shared" si="1"/>
        <v/>
      </c>
      <c r="M32" s="3">
        <f t="shared" si="2"/>
        <v>1.5</v>
      </c>
      <c r="N32" t="str">
        <f t="shared" si="3"/>
        <v>Open</v>
      </c>
      <c r="O32" t="str">
        <f t="shared" si="7"/>
        <v>No Rating</v>
      </c>
      <c r="P32" t="str">
        <f t="shared" si="4"/>
        <v>Unresolved</v>
      </c>
      <c r="Q32" s="2" t="str">
        <f t="shared" si="5"/>
        <v>Jul-2025</v>
      </c>
      <c r="R32" s="2">
        <f t="shared" si="6"/>
        <v>45839</v>
      </c>
    </row>
    <row r="33" spans="1:18">
      <c r="A33" t="s">
        <v>94</v>
      </c>
      <c r="B33" s="2" t="s">
        <v>95</v>
      </c>
      <c r="C33">
        <v>1059</v>
      </c>
      <c r="D33" t="s">
        <v>26</v>
      </c>
      <c r="E33" t="s">
        <v>13</v>
      </c>
      <c r="F33" t="s">
        <v>54</v>
      </c>
      <c r="G33">
        <v>2</v>
      </c>
      <c r="H33">
        <v>221</v>
      </c>
      <c r="I33" t="s">
        <v>15</v>
      </c>
      <c r="J33">
        <v>4</v>
      </c>
      <c r="K33" s="1">
        <f t="shared" si="0"/>
        <v>45850</v>
      </c>
      <c r="L33" s="3">
        <f t="shared" si="1"/>
        <v>3.6833333333333331</v>
      </c>
      <c r="M33" s="3">
        <f t="shared" si="2"/>
        <v>3.3333333333333333E-2</v>
      </c>
      <c r="N33" t="str">
        <f t="shared" si="3"/>
        <v>Within SLA</v>
      </c>
      <c r="O33" t="str">
        <f t="shared" si="7"/>
        <v>Satisfied</v>
      </c>
      <c r="P33" t="str">
        <f t="shared" si="4"/>
        <v>Resolved</v>
      </c>
      <c r="Q33" s="2" t="str">
        <f t="shared" si="5"/>
        <v>Jul-2025</v>
      </c>
      <c r="R33" s="2">
        <f t="shared" si="6"/>
        <v>45839</v>
      </c>
    </row>
    <row r="34" spans="1:18">
      <c r="A34" t="s">
        <v>96</v>
      </c>
      <c r="B34" s="2" t="s">
        <v>97</v>
      </c>
      <c r="C34">
        <v>1205</v>
      </c>
      <c r="D34" t="s">
        <v>32</v>
      </c>
      <c r="E34" t="s">
        <v>13</v>
      </c>
      <c r="F34" t="s">
        <v>14</v>
      </c>
      <c r="G34">
        <v>9</v>
      </c>
      <c r="H34">
        <v>422</v>
      </c>
      <c r="I34" t="s">
        <v>20</v>
      </c>
      <c r="J34">
        <v>3</v>
      </c>
      <c r="K34" s="1">
        <f t="shared" si="0"/>
        <v>45850</v>
      </c>
      <c r="L34" s="3">
        <f t="shared" si="1"/>
        <v>7.0333333333333332</v>
      </c>
      <c r="M34" s="3">
        <f t="shared" si="2"/>
        <v>0.15</v>
      </c>
      <c r="N34" t="str">
        <f t="shared" si="3"/>
        <v>Within SLA</v>
      </c>
      <c r="O34" t="str">
        <f t="shared" si="7"/>
        <v>Neutral</v>
      </c>
      <c r="P34" t="str">
        <f t="shared" si="4"/>
        <v>Resolved</v>
      </c>
      <c r="Q34" s="2" t="str">
        <f t="shared" si="5"/>
        <v>Jul-2025</v>
      </c>
      <c r="R34" s="2">
        <f t="shared" si="6"/>
        <v>45839</v>
      </c>
    </row>
    <row r="35" spans="1:18">
      <c r="A35" t="s">
        <v>98</v>
      </c>
      <c r="B35" s="2" t="s">
        <v>99</v>
      </c>
      <c r="C35">
        <v>1441</v>
      </c>
      <c r="D35" t="s">
        <v>32</v>
      </c>
      <c r="E35" t="s">
        <v>27</v>
      </c>
      <c r="F35" t="s">
        <v>28</v>
      </c>
      <c r="G35">
        <v>150</v>
      </c>
      <c r="H35">
        <v>1715</v>
      </c>
      <c r="I35" t="s">
        <v>15</v>
      </c>
      <c r="J35">
        <v>1</v>
      </c>
      <c r="K35" s="1">
        <f t="shared" si="0"/>
        <v>45851</v>
      </c>
      <c r="L35" s="3">
        <f t="shared" si="1"/>
        <v>28.583333333333332</v>
      </c>
      <c r="M35" s="3">
        <f t="shared" si="2"/>
        <v>2.5</v>
      </c>
      <c r="N35" t="str">
        <f t="shared" si="3"/>
        <v>Within SLA</v>
      </c>
      <c r="O35" t="str">
        <f t="shared" si="7"/>
        <v>Dissatisfied</v>
      </c>
      <c r="P35" t="str">
        <f t="shared" si="4"/>
        <v>Resolved</v>
      </c>
      <c r="Q35" s="2" t="str">
        <f t="shared" si="5"/>
        <v>Jul-2025</v>
      </c>
      <c r="R35" s="2">
        <f t="shared" si="6"/>
        <v>45839</v>
      </c>
    </row>
    <row r="36" spans="1:18">
      <c r="A36" t="s">
        <v>100</v>
      </c>
      <c r="B36" s="2" t="s">
        <v>101</v>
      </c>
      <c r="C36">
        <v>1403</v>
      </c>
      <c r="D36" t="s">
        <v>12</v>
      </c>
      <c r="E36" t="s">
        <v>27</v>
      </c>
      <c r="F36" t="s">
        <v>59</v>
      </c>
      <c r="G36">
        <v>36</v>
      </c>
      <c r="H36">
        <v>3180</v>
      </c>
      <c r="I36" t="s">
        <v>20</v>
      </c>
      <c r="K36" s="1">
        <f t="shared" si="0"/>
        <v>45851</v>
      </c>
      <c r="L36" s="3">
        <f t="shared" si="1"/>
        <v>53</v>
      </c>
      <c r="M36" s="3">
        <f t="shared" si="2"/>
        <v>0.6</v>
      </c>
      <c r="N36" t="str">
        <f t="shared" si="3"/>
        <v>Breached</v>
      </c>
      <c r="O36" t="str">
        <f t="shared" si="7"/>
        <v>No Rating</v>
      </c>
      <c r="P36" t="str">
        <f t="shared" si="4"/>
        <v>Resolved</v>
      </c>
      <c r="Q36" s="2" t="str">
        <f t="shared" si="5"/>
        <v>Jul-2025</v>
      </c>
      <c r="R36" s="2">
        <f t="shared" si="6"/>
        <v>45839</v>
      </c>
    </row>
    <row r="37" spans="1:18">
      <c r="A37" t="s">
        <v>102</v>
      </c>
      <c r="B37" s="2" t="s">
        <v>103</v>
      </c>
      <c r="C37">
        <v>1702</v>
      </c>
      <c r="D37" t="s">
        <v>26</v>
      </c>
      <c r="E37" t="s">
        <v>33</v>
      </c>
      <c r="F37" t="s">
        <v>43</v>
      </c>
      <c r="G37">
        <v>233</v>
      </c>
      <c r="H37">
        <v>2898</v>
      </c>
      <c r="I37" t="s">
        <v>20</v>
      </c>
      <c r="K37" s="1">
        <f t="shared" si="0"/>
        <v>45851</v>
      </c>
      <c r="L37" s="3">
        <f t="shared" si="1"/>
        <v>48.3</v>
      </c>
      <c r="M37" s="3">
        <f t="shared" si="2"/>
        <v>3.8833333333333333</v>
      </c>
      <c r="N37" t="str">
        <f t="shared" si="3"/>
        <v>Within SLA</v>
      </c>
      <c r="O37" t="str">
        <f t="shared" si="7"/>
        <v>No Rating</v>
      </c>
      <c r="P37" t="str">
        <f t="shared" si="4"/>
        <v>Resolved</v>
      </c>
      <c r="Q37" s="2" t="str">
        <f t="shared" si="5"/>
        <v>Jul-2025</v>
      </c>
      <c r="R37" s="2">
        <f t="shared" si="6"/>
        <v>45839</v>
      </c>
    </row>
    <row r="38" spans="1:18">
      <c r="A38" t="s">
        <v>104</v>
      </c>
      <c r="B38" s="2" t="s">
        <v>105</v>
      </c>
      <c r="C38">
        <v>1041</v>
      </c>
      <c r="D38" t="s">
        <v>47</v>
      </c>
      <c r="E38" t="s">
        <v>13</v>
      </c>
      <c r="F38" t="s">
        <v>43</v>
      </c>
      <c r="G38">
        <v>7</v>
      </c>
      <c r="H38">
        <v>427</v>
      </c>
      <c r="I38" t="s">
        <v>15</v>
      </c>
      <c r="J38">
        <v>4</v>
      </c>
      <c r="K38" s="1">
        <f t="shared" si="0"/>
        <v>45852</v>
      </c>
      <c r="L38" s="3">
        <f t="shared" si="1"/>
        <v>7.1166666666666663</v>
      </c>
      <c r="M38" s="3">
        <f t="shared" si="2"/>
        <v>0.11666666666666667</v>
      </c>
      <c r="N38" t="str">
        <f t="shared" si="3"/>
        <v>Within SLA</v>
      </c>
      <c r="O38" t="str">
        <f t="shared" si="7"/>
        <v>Satisfied</v>
      </c>
      <c r="P38" t="str">
        <f t="shared" si="4"/>
        <v>Resolved</v>
      </c>
      <c r="Q38" s="2" t="str">
        <f t="shared" si="5"/>
        <v>Jul-2025</v>
      </c>
      <c r="R38" s="2">
        <f t="shared" si="6"/>
        <v>45839</v>
      </c>
    </row>
    <row r="39" spans="1:18">
      <c r="A39" t="s">
        <v>106</v>
      </c>
      <c r="B39" s="2" t="s">
        <v>107</v>
      </c>
      <c r="C39">
        <v>1169</v>
      </c>
      <c r="D39" t="s">
        <v>26</v>
      </c>
      <c r="E39" t="s">
        <v>33</v>
      </c>
      <c r="F39" t="s">
        <v>54</v>
      </c>
      <c r="G39">
        <v>335</v>
      </c>
      <c r="H39">
        <v>5407</v>
      </c>
      <c r="I39" t="s">
        <v>15</v>
      </c>
      <c r="K39" s="1">
        <f t="shared" si="0"/>
        <v>45852</v>
      </c>
      <c r="L39" s="3">
        <f t="shared" si="1"/>
        <v>90.11666666666666</v>
      </c>
      <c r="M39" s="3">
        <f t="shared" si="2"/>
        <v>5.583333333333333</v>
      </c>
      <c r="N39" t="str">
        <f t="shared" si="3"/>
        <v>Breached</v>
      </c>
      <c r="O39" t="str">
        <f t="shared" si="7"/>
        <v>No Rating</v>
      </c>
      <c r="P39" t="str">
        <f t="shared" si="4"/>
        <v>Resolved</v>
      </c>
      <c r="Q39" s="2" t="str">
        <f t="shared" si="5"/>
        <v>Jul-2025</v>
      </c>
      <c r="R39" s="2">
        <f t="shared" si="6"/>
        <v>45839</v>
      </c>
    </row>
    <row r="40" spans="1:18">
      <c r="A40" t="s">
        <v>108</v>
      </c>
      <c r="B40" s="2" t="s">
        <v>109</v>
      </c>
      <c r="C40">
        <v>1116</v>
      </c>
      <c r="D40" t="s">
        <v>26</v>
      </c>
      <c r="E40" t="s">
        <v>27</v>
      </c>
      <c r="F40" t="s">
        <v>43</v>
      </c>
      <c r="G40">
        <v>103</v>
      </c>
      <c r="I40" t="s">
        <v>29</v>
      </c>
      <c r="K40" s="1">
        <f t="shared" si="0"/>
        <v>45852</v>
      </c>
      <c r="L40" s="3" t="str">
        <f t="shared" si="1"/>
        <v/>
      </c>
      <c r="M40" s="3">
        <f t="shared" si="2"/>
        <v>1.7166666666666666</v>
      </c>
      <c r="N40" t="str">
        <f t="shared" si="3"/>
        <v>Open</v>
      </c>
      <c r="O40" t="str">
        <f t="shared" si="7"/>
        <v>No Rating</v>
      </c>
      <c r="P40" t="str">
        <f t="shared" si="4"/>
        <v>Unresolved</v>
      </c>
      <c r="Q40" s="2" t="str">
        <f t="shared" si="5"/>
        <v>Jul-2025</v>
      </c>
      <c r="R40" s="2">
        <f t="shared" si="6"/>
        <v>45839</v>
      </c>
    </row>
    <row r="41" spans="1:18">
      <c r="A41" t="s">
        <v>110</v>
      </c>
      <c r="B41" s="2" t="s">
        <v>111</v>
      </c>
      <c r="C41">
        <v>1360</v>
      </c>
      <c r="D41" t="s">
        <v>18</v>
      </c>
      <c r="E41" t="s">
        <v>33</v>
      </c>
      <c r="F41" t="s">
        <v>34</v>
      </c>
      <c r="G41">
        <v>148</v>
      </c>
      <c r="H41">
        <v>4350</v>
      </c>
      <c r="I41" t="s">
        <v>20</v>
      </c>
      <c r="J41">
        <v>3</v>
      </c>
      <c r="K41" s="1">
        <f t="shared" si="0"/>
        <v>45853</v>
      </c>
      <c r="L41" s="3">
        <f t="shared" si="1"/>
        <v>72.5</v>
      </c>
      <c r="M41" s="3">
        <f t="shared" si="2"/>
        <v>2.4666666666666668</v>
      </c>
      <c r="N41" t="str">
        <f t="shared" si="3"/>
        <v>Breached</v>
      </c>
      <c r="O41" t="str">
        <f t="shared" si="7"/>
        <v>Neutral</v>
      </c>
      <c r="P41" t="str">
        <f t="shared" si="4"/>
        <v>Resolved</v>
      </c>
      <c r="Q41" s="2" t="str">
        <f t="shared" si="5"/>
        <v>Jul-2025</v>
      </c>
      <c r="R41" s="2">
        <f t="shared" si="6"/>
        <v>45839</v>
      </c>
    </row>
    <row r="42" spans="1:18">
      <c r="A42" t="s">
        <v>112</v>
      </c>
      <c r="B42" s="2" t="s">
        <v>113</v>
      </c>
      <c r="C42">
        <v>1872</v>
      </c>
      <c r="D42" t="s">
        <v>32</v>
      </c>
      <c r="E42" t="s">
        <v>13</v>
      </c>
      <c r="F42" t="s">
        <v>71</v>
      </c>
      <c r="G42">
        <v>11</v>
      </c>
      <c r="H42">
        <v>325</v>
      </c>
      <c r="I42" t="s">
        <v>15</v>
      </c>
      <c r="J42">
        <v>5</v>
      </c>
      <c r="K42" s="1">
        <f t="shared" si="0"/>
        <v>45853</v>
      </c>
      <c r="L42" s="3">
        <f t="shared" si="1"/>
        <v>5.416666666666667</v>
      </c>
      <c r="M42" s="3">
        <f t="shared" si="2"/>
        <v>0.18333333333333332</v>
      </c>
      <c r="N42" t="str">
        <f t="shared" si="3"/>
        <v>Within SLA</v>
      </c>
      <c r="O42" t="str">
        <f t="shared" si="7"/>
        <v>Satisfied</v>
      </c>
      <c r="P42" t="str">
        <f t="shared" si="4"/>
        <v>Resolved</v>
      </c>
      <c r="Q42" s="2" t="str">
        <f t="shared" si="5"/>
        <v>Jul-2025</v>
      </c>
      <c r="R42" s="2">
        <f t="shared" si="6"/>
        <v>45839</v>
      </c>
    </row>
    <row r="43" spans="1:18">
      <c r="A43" t="s">
        <v>114</v>
      </c>
      <c r="B43" s="2" t="s">
        <v>115</v>
      </c>
      <c r="C43">
        <v>1524</v>
      </c>
      <c r="D43" t="s">
        <v>26</v>
      </c>
      <c r="E43" t="s">
        <v>27</v>
      </c>
      <c r="F43" t="s">
        <v>54</v>
      </c>
      <c r="G43">
        <v>177</v>
      </c>
      <c r="H43">
        <v>3585</v>
      </c>
      <c r="I43" t="s">
        <v>20</v>
      </c>
      <c r="J43">
        <v>4</v>
      </c>
      <c r="K43" s="1">
        <f t="shared" si="0"/>
        <v>45853</v>
      </c>
      <c r="L43" s="3">
        <f t="shared" si="1"/>
        <v>59.75</v>
      </c>
      <c r="M43" s="3">
        <f t="shared" si="2"/>
        <v>2.95</v>
      </c>
      <c r="N43" t="str">
        <f t="shared" si="3"/>
        <v>Breached</v>
      </c>
      <c r="O43" t="str">
        <f t="shared" si="7"/>
        <v>Satisfied</v>
      </c>
      <c r="P43" t="str">
        <f t="shared" si="4"/>
        <v>Resolved</v>
      </c>
      <c r="Q43" s="2" t="str">
        <f t="shared" si="5"/>
        <v>Jul-2025</v>
      </c>
      <c r="R43" s="2">
        <f t="shared" si="6"/>
        <v>45839</v>
      </c>
    </row>
    <row r="44" spans="1:18">
      <c r="A44" t="s">
        <v>116</v>
      </c>
      <c r="B44" s="2" t="s">
        <v>117</v>
      </c>
      <c r="C44">
        <v>1215</v>
      </c>
      <c r="D44" t="s">
        <v>18</v>
      </c>
      <c r="E44" t="s">
        <v>27</v>
      </c>
      <c r="F44" t="s">
        <v>59</v>
      </c>
      <c r="G44">
        <v>168</v>
      </c>
      <c r="H44">
        <v>1020</v>
      </c>
      <c r="I44" t="s">
        <v>15</v>
      </c>
      <c r="J44">
        <v>3</v>
      </c>
      <c r="K44" s="1">
        <f t="shared" si="0"/>
        <v>45854</v>
      </c>
      <c r="L44" s="3">
        <f t="shared" si="1"/>
        <v>17</v>
      </c>
      <c r="M44" s="3">
        <f t="shared" si="2"/>
        <v>2.8</v>
      </c>
      <c r="N44" t="str">
        <f t="shared" si="3"/>
        <v>Within SLA</v>
      </c>
      <c r="O44" t="str">
        <f t="shared" si="7"/>
        <v>Neutral</v>
      </c>
      <c r="P44" t="str">
        <f t="shared" si="4"/>
        <v>Resolved</v>
      </c>
      <c r="Q44" s="2" t="str">
        <f t="shared" si="5"/>
        <v>Jul-2025</v>
      </c>
      <c r="R44" s="2">
        <f t="shared" si="6"/>
        <v>45839</v>
      </c>
    </row>
    <row r="45" spans="1:18">
      <c r="A45" t="s">
        <v>118</v>
      </c>
      <c r="B45" s="2" t="s">
        <v>119</v>
      </c>
      <c r="C45">
        <v>1627</v>
      </c>
      <c r="D45" t="s">
        <v>26</v>
      </c>
      <c r="E45" t="s">
        <v>27</v>
      </c>
      <c r="F45" t="s">
        <v>14</v>
      </c>
      <c r="G45">
        <v>64</v>
      </c>
      <c r="H45">
        <v>2766</v>
      </c>
      <c r="I45" t="s">
        <v>15</v>
      </c>
      <c r="K45" s="1">
        <f t="shared" si="0"/>
        <v>45854</v>
      </c>
      <c r="L45" s="3">
        <f t="shared" si="1"/>
        <v>46.1</v>
      </c>
      <c r="M45" s="3">
        <f t="shared" si="2"/>
        <v>1.0666666666666667</v>
      </c>
      <c r="N45" t="str">
        <f t="shared" si="3"/>
        <v>Within SLA</v>
      </c>
      <c r="O45" t="str">
        <f t="shared" si="7"/>
        <v>No Rating</v>
      </c>
      <c r="P45" t="str">
        <f t="shared" si="4"/>
        <v>Resolved</v>
      </c>
      <c r="Q45" s="2" t="str">
        <f t="shared" si="5"/>
        <v>Jul-2025</v>
      </c>
      <c r="R45" s="2">
        <f t="shared" si="6"/>
        <v>45839</v>
      </c>
    </row>
    <row r="46" spans="1:18">
      <c r="A46" t="s">
        <v>120</v>
      </c>
      <c r="B46" s="2" t="s">
        <v>121</v>
      </c>
      <c r="C46">
        <v>1235</v>
      </c>
      <c r="D46" t="s">
        <v>26</v>
      </c>
      <c r="E46" t="s">
        <v>27</v>
      </c>
      <c r="F46" t="s">
        <v>43</v>
      </c>
      <c r="G46">
        <v>97</v>
      </c>
      <c r="H46">
        <v>2317</v>
      </c>
      <c r="I46" t="s">
        <v>15</v>
      </c>
      <c r="J46">
        <v>3</v>
      </c>
      <c r="K46" s="1">
        <f t="shared" si="0"/>
        <v>45855</v>
      </c>
      <c r="L46" s="3">
        <f t="shared" si="1"/>
        <v>38.616666666666667</v>
      </c>
      <c r="M46" s="3">
        <f t="shared" si="2"/>
        <v>1.6166666666666667</v>
      </c>
      <c r="N46" t="str">
        <f t="shared" si="3"/>
        <v>Within SLA</v>
      </c>
      <c r="O46" t="str">
        <f t="shared" si="7"/>
        <v>Neutral</v>
      </c>
      <c r="P46" t="str">
        <f t="shared" si="4"/>
        <v>Resolved</v>
      </c>
      <c r="Q46" s="2" t="str">
        <f t="shared" si="5"/>
        <v>Jul-2025</v>
      </c>
      <c r="R46" s="2">
        <f t="shared" si="6"/>
        <v>45839</v>
      </c>
    </row>
    <row r="47" spans="1:18">
      <c r="A47" t="s">
        <v>122</v>
      </c>
      <c r="B47" s="2" t="s">
        <v>123</v>
      </c>
      <c r="C47">
        <v>1245</v>
      </c>
      <c r="D47" t="s">
        <v>18</v>
      </c>
      <c r="E47" t="s">
        <v>13</v>
      </c>
      <c r="F47" t="s">
        <v>14</v>
      </c>
      <c r="G47">
        <v>9</v>
      </c>
      <c r="I47" t="s">
        <v>29</v>
      </c>
      <c r="K47" s="1">
        <f t="shared" si="0"/>
        <v>45855</v>
      </c>
      <c r="L47" s="3" t="str">
        <f t="shared" si="1"/>
        <v/>
      </c>
      <c r="M47" s="3">
        <f t="shared" si="2"/>
        <v>0.15</v>
      </c>
      <c r="N47" t="str">
        <f t="shared" si="3"/>
        <v>Open</v>
      </c>
      <c r="O47" t="str">
        <f t="shared" si="7"/>
        <v>No Rating</v>
      </c>
      <c r="P47" t="str">
        <f t="shared" si="4"/>
        <v>Unresolved</v>
      </c>
      <c r="Q47" s="2" t="str">
        <f t="shared" si="5"/>
        <v>Jul-2025</v>
      </c>
      <c r="R47" s="2">
        <f t="shared" si="6"/>
        <v>45839</v>
      </c>
    </row>
    <row r="48" spans="1:18">
      <c r="A48" t="s">
        <v>124</v>
      </c>
      <c r="B48" s="2" t="s">
        <v>125</v>
      </c>
      <c r="C48">
        <v>1286</v>
      </c>
      <c r="D48" t="s">
        <v>18</v>
      </c>
      <c r="E48" t="s">
        <v>13</v>
      </c>
      <c r="F48" t="s">
        <v>34</v>
      </c>
      <c r="G48">
        <v>9</v>
      </c>
      <c r="H48">
        <v>272</v>
      </c>
      <c r="I48" t="s">
        <v>15</v>
      </c>
      <c r="J48">
        <v>1</v>
      </c>
      <c r="K48" s="1">
        <f t="shared" si="0"/>
        <v>45855</v>
      </c>
      <c r="L48" s="3">
        <f t="shared" si="1"/>
        <v>4.5333333333333332</v>
      </c>
      <c r="M48" s="3">
        <f t="shared" si="2"/>
        <v>0.15</v>
      </c>
      <c r="N48" t="str">
        <f t="shared" si="3"/>
        <v>Within SLA</v>
      </c>
      <c r="O48" t="str">
        <f t="shared" si="7"/>
        <v>Dissatisfied</v>
      </c>
      <c r="P48" t="str">
        <f t="shared" si="4"/>
        <v>Resolved</v>
      </c>
      <c r="Q48" s="2" t="str">
        <f t="shared" si="5"/>
        <v>Jul-2025</v>
      </c>
      <c r="R48" s="2">
        <f t="shared" si="6"/>
        <v>45839</v>
      </c>
    </row>
    <row r="49" spans="1:18">
      <c r="A49" t="s">
        <v>126</v>
      </c>
      <c r="B49" s="2" t="s">
        <v>127</v>
      </c>
      <c r="C49">
        <v>1286</v>
      </c>
      <c r="D49" t="s">
        <v>18</v>
      </c>
      <c r="E49" t="s">
        <v>19</v>
      </c>
      <c r="F49" t="s">
        <v>64</v>
      </c>
      <c r="G49">
        <v>29</v>
      </c>
      <c r="H49">
        <v>656</v>
      </c>
      <c r="I49" t="s">
        <v>15</v>
      </c>
      <c r="K49" s="1">
        <f t="shared" si="0"/>
        <v>45856</v>
      </c>
      <c r="L49" s="3">
        <f t="shared" si="1"/>
        <v>10.933333333333334</v>
      </c>
      <c r="M49" s="3">
        <f t="shared" si="2"/>
        <v>0.48333333333333334</v>
      </c>
      <c r="N49" t="str">
        <f t="shared" si="3"/>
        <v>Within SLA</v>
      </c>
      <c r="O49" t="str">
        <f t="shared" si="7"/>
        <v>No Rating</v>
      </c>
      <c r="P49" t="str">
        <f t="shared" si="4"/>
        <v>Resolved</v>
      </c>
      <c r="Q49" s="2" t="str">
        <f t="shared" si="5"/>
        <v>Jul-2025</v>
      </c>
      <c r="R49" s="2">
        <f t="shared" si="6"/>
        <v>45839</v>
      </c>
    </row>
    <row r="50" spans="1:18">
      <c r="A50" t="s">
        <v>128</v>
      </c>
      <c r="B50" s="2" t="s">
        <v>129</v>
      </c>
      <c r="C50">
        <v>1730</v>
      </c>
      <c r="D50" t="s">
        <v>18</v>
      </c>
      <c r="E50" t="s">
        <v>33</v>
      </c>
      <c r="F50" t="s">
        <v>28</v>
      </c>
      <c r="G50">
        <v>137</v>
      </c>
      <c r="H50">
        <v>7351</v>
      </c>
      <c r="I50" t="s">
        <v>15</v>
      </c>
      <c r="J50">
        <v>3</v>
      </c>
      <c r="K50" s="1">
        <f t="shared" si="0"/>
        <v>45856</v>
      </c>
      <c r="L50" s="3">
        <f t="shared" si="1"/>
        <v>122.51666666666667</v>
      </c>
      <c r="M50" s="3">
        <f t="shared" si="2"/>
        <v>2.2833333333333332</v>
      </c>
      <c r="N50" t="str">
        <f t="shared" si="3"/>
        <v>Breached</v>
      </c>
      <c r="O50" t="str">
        <f t="shared" si="7"/>
        <v>Neutral</v>
      </c>
      <c r="P50" t="str">
        <f t="shared" si="4"/>
        <v>Resolved</v>
      </c>
      <c r="Q50" s="2" t="str">
        <f t="shared" si="5"/>
        <v>Jul-2025</v>
      </c>
      <c r="R50" s="2">
        <f t="shared" si="6"/>
        <v>45839</v>
      </c>
    </row>
    <row r="51" spans="1:18">
      <c r="A51" t="s">
        <v>130</v>
      </c>
      <c r="B51" s="2" t="s">
        <v>131</v>
      </c>
      <c r="C51">
        <v>1462</v>
      </c>
      <c r="D51" t="s">
        <v>32</v>
      </c>
      <c r="E51" t="s">
        <v>27</v>
      </c>
      <c r="F51" t="s">
        <v>14</v>
      </c>
      <c r="G51">
        <v>84</v>
      </c>
      <c r="H51">
        <v>1972</v>
      </c>
      <c r="I51" t="s">
        <v>15</v>
      </c>
      <c r="J51">
        <v>5</v>
      </c>
      <c r="K51" s="1">
        <f t="shared" si="0"/>
        <v>45856</v>
      </c>
      <c r="L51" s="3">
        <f t="shared" si="1"/>
        <v>32.866666666666667</v>
      </c>
      <c r="M51" s="3">
        <f t="shared" si="2"/>
        <v>1.4</v>
      </c>
      <c r="N51" t="str">
        <f t="shared" si="3"/>
        <v>Within SLA</v>
      </c>
      <c r="O51" t="str">
        <f t="shared" si="7"/>
        <v>Satisfied</v>
      </c>
      <c r="P51" t="str">
        <f t="shared" si="4"/>
        <v>Resolved</v>
      </c>
      <c r="Q51" s="2" t="str">
        <f t="shared" si="5"/>
        <v>Jul-2025</v>
      </c>
      <c r="R51" s="2">
        <f t="shared" si="6"/>
        <v>45839</v>
      </c>
    </row>
    <row r="52" spans="1:18">
      <c r="A52" t="s">
        <v>132</v>
      </c>
      <c r="B52" s="2" t="s">
        <v>133</v>
      </c>
      <c r="C52">
        <v>1656</v>
      </c>
      <c r="D52" t="s">
        <v>32</v>
      </c>
      <c r="E52" t="s">
        <v>27</v>
      </c>
      <c r="F52" t="s">
        <v>14</v>
      </c>
      <c r="G52">
        <v>60</v>
      </c>
      <c r="H52">
        <v>1291</v>
      </c>
      <c r="I52" t="s">
        <v>15</v>
      </c>
      <c r="K52" s="1">
        <f t="shared" si="0"/>
        <v>45857</v>
      </c>
      <c r="L52" s="3">
        <f t="shared" si="1"/>
        <v>21.516666666666666</v>
      </c>
      <c r="M52" s="3">
        <f t="shared" si="2"/>
        <v>1</v>
      </c>
      <c r="N52" t="str">
        <f t="shared" si="3"/>
        <v>Within SLA</v>
      </c>
      <c r="O52" t="str">
        <f t="shared" si="7"/>
        <v>No Rating</v>
      </c>
      <c r="P52" t="str">
        <f t="shared" si="4"/>
        <v>Resolved</v>
      </c>
      <c r="Q52" s="2" t="str">
        <f t="shared" si="5"/>
        <v>Jul-2025</v>
      </c>
      <c r="R52" s="2">
        <f t="shared" si="6"/>
        <v>45839</v>
      </c>
    </row>
    <row r="53" spans="1:18">
      <c r="A53" t="s">
        <v>134</v>
      </c>
      <c r="B53" s="2" t="s">
        <v>135</v>
      </c>
      <c r="C53">
        <v>1882</v>
      </c>
      <c r="D53" t="s">
        <v>47</v>
      </c>
      <c r="E53" t="s">
        <v>27</v>
      </c>
      <c r="F53" t="s">
        <v>14</v>
      </c>
      <c r="G53">
        <v>88</v>
      </c>
      <c r="I53" t="s">
        <v>44</v>
      </c>
      <c r="K53" s="1">
        <f t="shared" si="0"/>
        <v>45857</v>
      </c>
      <c r="L53" s="3" t="str">
        <f t="shared" si="1"/>
        <v/>
      </c>
      <c r="M53" s="3">
        <f t="shared" si="2"/>
        <v>1.4666666666666666</v>
      </c>
      <c r="N53" t="str">
        <f t="shared" si="3"/>
        <v>Open</v>
      </c>
      <c r="O53" t="str">
        <f t="shared" si="7"/>
        <v>No Rating</v>
      </c>
      <c r="P53" t="str">
        <f t="shared" si="4"/>
        <v>Unresolved</v>
      </c>
      <c r="Q53" s="2" t="str">
        <f t="shared" si="5"/>
        <v>Jul-2025</v>
      </c>
      <c r="R53" s="2">
        <f t="shared" si="6"/>
        <v>45839</v>
      </c>
    </row>
    <row r="54" spans="1:18">
      <c r="A54" t="s">
        <v>136</v>
      </c>
      <c r="B54" s="2" t="s">
        <v>137</v>
      </c>
      <c r="C54">
        <v>1832</v>
      </c>
      <c r="D54" t="s">
        <v>47</v>
      </c>
      <c r="E54" t="s">
        <v>13</v>
      </c>
      <c r="F54" t="s">
        <v>54</v>
      </c>
      <c r="G54">
        <v>11</v>
      </c>
      <c r="H54">
        <v>305</v>
      </c>
      <c r="I54" t="s">
        <v>15</v>
      </c>
      <c r="J54">
        <v>2</v>
      </c>
      <c r="K54" s="1">
        <f t="shared" si="0"/>
        <v>45857</v>
      </c>
      <c r="L54" s="3">
        <f t="shared" si="1"/>
        <v>5.083333333333333</v>
      </c>
      <c r="M54" s="3">
        <f t="shared" si="2"/>
        <v>0.18333333333333332</v>
      </c>
      <c r="N54" t="str">
        <f t="shared" si="3"/>
        <v>Within SLA</v>
      </c>
      <c r="O54" t="str">
        <f t="shared" si="7"/>
        <v>Dissatisfied</v>
      </c>
      <c r="P54" t="str">
        <f t="shared" si="4"/>
        <v>Resolved</v>
      </c>
      <c r="Q54" s="2" t="str">
        <f t="shared" si="5"/>
        <v>Jul-2025</v>
      </c>
      <c r="R54" s="2">
        <f t="shared" si="6"/>
        <v>45839</v>
      </c>
    </row>
    <row r="55" spans="1:18">
      <c r="A55" t="s">
        <v>138</v>
      </c>
      <c r="B55" s="2" t="s">
        <v>139</v>
      </c>
      <c r="C55">
        <v>1691</v>
      </c>
      <c r="D55" t="s">
        <v>18</v>
      </c>
      <c r="E55" t="s">
        <v>27</v>
      </c>
      <c r="F55" t="s">
        <v>23</v>
      </c>
      <c r="G55">
        <v>93</v>
      </c>
      <c r="H55">
        <v>2645</v>
      </c>
      <c r="I55" t="s">
        <v>15</v>
      </c>
      <c r="J55">
        <v>4</v>
      </c>
      <c r="K55" s="1">
        <f t="shared" si="0"/>
        <v>45858</v>
      </c>
      <c r="L55" s="3">
        <f t="shared" si="1"/>
        <v>44.083333333333336</v>
      </c>
      <c r="M55" s="3">
        <f t="shared" si="2"/>
        <v>1.55</v>
      </c>
      <c r="N55" t="str">
        <f t="shared" si="3"/>
        <v>Within SLA</v>
      </c>
      <c r="O55" t="str">
        <f t="shared" si="7"/>
        <v>Satisfied</v>
      </c>
      <c r="P55" t="str">
        <f t="shared" si="4"/>
        <v>Resolved</v>
      </c>
      <c r="Q55" s="2" t="str">
        <f t="shared" si="5"/>
        <v>Jul-2025</v>
      </c>
      <c r="R55" s="2">
        <f t="shared" si="6"/>
        <v>45839</v>
      </c>
    </row>
    <row r="56" spans="1:18">
      <c r="A56" t="s">
        <v>140</v>
      </c>
      <c r="B56" s="2" t="s">
        <v>141</v>
      </c>
      <c r="C56">
        <v>1304</v>
      </c>
      <c r="D56" t="s">
        <v>18</v>
      </c>
      <c r="E56" t="s">
        <v>19</v>
      </c>
      <c r="F56" t="s">
        <v>23</v>
      </c>
      <c r="G56">
        <v>38</v>
      </c>
      <c r="H56">
        <v>332</v>
      </c>
      <c r="I56" t="s">
        <v>15</v>
      </c>
      <c r="K56" s="1">
        <f t="shared" si="0"/>
        <v>45858</v>
      </c>
      <c r="L56" s="3">
        <f t="shared" si="1"/>
        <v>5.5333333333333332</v>
      </c>
      <c r="M56" s="3">
        <f t="shared" si="2"/>
        <v>0.6333333333333333</v>
      </c>
      <c r="N56" t="str">
        <f t="shared" si="3"/>
        <v>Within SLA</v>
      </c>
      <c r="O56" t="str">
        <f t="shared" si="7"/>
        <v>No Rating</v>
      </c>
      <c r="P56" t="str">
        <f t="shared" si="4"/>
        <v>Resolved</v>
      </c>
      <c r="Q56" s="2" t="str">
        <f t="shared" si="5"/>
        <v>Jul-2025</v>
      </c>
      <c r="R56" s="2">
        <f t="shared" si="6"/>
        <v>45839</v>
      </c>
    </row>
    <row r="57" spans="1:18">
      <c r="A57" t="s">
        <v>142</v>
      </c>
      <c r="B57" s="2" t="s">
        <v>143</v>
      </c>
      <c r="C57">
        <v>1014</v>
      </c>
      <c r="D57" t="s">
        <v>26</v>
      </c>
      <c r="E57" t="s">
        <v>19</v>
      </c>
      <c r="F57" t="s">
        <v>71</v>
      </c>
      <c r="G57">
        <v>45</v>
      </c>
      <c r="H57">
        <v>603</v>
      </c>
      <c r="I57" t="s">
        <v>15</v>
      </c>
      <c r="K57" s="1">
        <f t="shared" si="0"/>
        <v>45859</v>
      </c>
      <c r="L57" s="3">
        <f t="shared" si="1"/>
        <v>10.050000000000001</v>
      </c>
      <c r="M57" s="3">
        <f t="shared" si="2"/>
        <v>0.75</v>
      </c>
      <c r="N57" t="str">
        <f t="shared" si="3"/>
        <v>Within SLA</v>
      </c>
      <c r="O57" t="str">
        <f t="shared" si="7"/>
        <v>No Rating</v>
      </c>
      <c r="P57" t="str">
        <f t="shared" si="4"/>
        <v>Resolved</v>
      </c>
      <c r="Q57" s="2" t="str">
        <f t="shared" si="5"/>
        <v>Jul-2025</v>
      </c>
      <c r="R57" s="2">
        <f t="shared" si="6"/>
        <v>45839</v>
      </c>
    </row>
    <row r="58" spans="1:18">
      <c r="A58" t="s">
        <v>144</v>
      </c>
      <c r="B58" s="2" t="s">
        <v>145</v>
      </c>
      <c r="C58">
        <v>1302</v>
      </c>
      <c r="D58" t="s">
        <v>32</v>
      </c>
      <c r="E58" t="s">
        <v>27</v>
      </c>
      <c r="F58" t="s">
        <v>28</v>
      </c>
      <c r="G58">
        <v>135</v>
      </c>
      <c r="H58">
        <v>1536</v>
      </c>
      <c r="I58" t="s">
        <v>20</v>
      </c>
      <c r="J58">
        <v>5</v>
      </c>
      <c r="K58" s="1">
        <f t="shared" si="0"/>
        <v>45859</v>
      </c>
      <c r="L58" s="3">
        <f t="shared" si="1"/>
        <v>25.6</v>
      </c>
      <c r="M58" s="3">
        <f t="shared" si="2"/>
        <v>2.25</v>
      </c>
      <c r="N58" t="str">
        <f t="shared" si="3"/>
        <v>Within SLA</v>
      </c>
      <c r="O58" t="str">
        <f t="shared" si="7"/>
        <v>Satisfied</v>
      </c>
      <c r="P58" t="str">
        <f t="shared" si="4"/>
        <v>Resolved</v>
      </c>
      <c r="Q58" s="2" t="str">
        <f t="shared" si="5"/>
        <v>Jul-2025</v>
      </c>
      <c r="R58" s="2">
        <f t="shared" si="6"/>
        <v>45839</v>
      </c>
    </row>
    <row r="59" spans="1:18">
      <c r="A59" t="s">
        <v>146</v>
      </c>
      <c r="B59" s="2" t="s">
        <v>147</v>
      </c>
      <c r="C59">
        <v>1044</v>
      </c>
      <c r="D59" t="s">
        <v>47</v>
      </c>
      <c r="E59" t="s">
        <v>13</v>
      </c>
      <c r="F59" t="s">
        <v>54</v>
      </c>
      <c r="G59">
        <v>9</v>
      </c>
      <c r="H59">
        <v>253</v>
      </c>
      <c r="I59" t="s">
        <v>15</v>
      </c>
      <c r="K59" s="1">
        <f t="shared" si="0"/>
        <v>45859</v>
      </c>
      <c r="L59" s="3">
        <f t="shared" si="1"/>
        <v>4.2166666666666668</v>
      </c>
      <c r="M59" s="3">
        <f t="shared" si="2"/>
        <v>0.15</v>
      </c>
      <c r="N59" t="str">
        <f t="shared" si="3"/>
        <v>Within SLA</v>
      </c>
      <c r="O59" t="str">
        <f t="shared" si="7"/>
        <v>No Rating</v>
      </c>
      <c r="P59" t="str">
        <f t="shared" si="4"/>
        <v>Resolved</v>
      </c>
      <c r="Q59" s="2" t="str">
        <f t="shared" si="5"/>
        <v>Jul-2025</v>
      </c>
      <c r="R59" s="2">
        <f t="shared" si="6"/>
        <v>45839</v>
      </c>
    </row>
    <row r="60" spans="1:18">
      <c r="A60" t="s">
        <v>148</v>
      </c>
      <c r="B60" s="2" t="s">
        <v>149</v>
      </c>
      <c r="C60">
        <v>1852</v>
      </c>
      <c r="D60" t="s">
        <v>32</v>
      </c>
      <c r="E60" t="s">
        <v>33</v>
      </c>
      <c r="F60" t="s">
        <v>28</v>
      </c>
      <c r="G60">
        <v>334</v>
      </c>
      <c r="H60">
        <v>7272</v>
      </c>
      <c r="I60" t="s">
        <v>20</v>
      </c>
      <c r="J60">
        <v>5</v>
      </c>
      <c r="K60" s="1">
        <f t="shared" si="0"/>
        <v>45860</v>
      </c>
      <c r="L60" s="3">
        <f t="shared" si="1"/>
        <v>121.2</v>
      </c>
      <c r="M60" s="3">
        <f t="shared" si="2"/>
        <v>5.5666666666666664</v>
      </c>
      <c r="N60" t="str">
        <f t="shared" si="3"/>
        <v>Breached</v>
      </c>
      <c r="O60" t="str">
        <f t="shared" si="7"/>
        <v>Satisfied</v>
      </c>
      <c r="P60" t="str">
        <f t="shared" si="4"/>
        <v>Resolved</v>
      </c>
      <c r="Q60" s="2" t="str">
        <f t="shared" si="5"/>
        <v>Jul-2025</v>
      </c>
      <c r="R60" s="2">
        <f t="shared" si="6"/>
        <v>45839</v>
      </c>
    </row>
    <row r="61" spans="1:18">
      <c r="A61" t="s">
        <v>150</v>
      </c>
      <c r="B61" s="2" t="s">
        <v>151</v>
      </c>
      <c r="C61">
        <v>1272</v>
      </c>
      <c r="D61" t="s">
        <v>32</v>
      </c>
      <c r="E61" t="s">
        <v>33</v>
      </c>
      <c r="F61" t="s">
        <v>34</v>
      </c>
      <c r="G61">
        <v>358</v>
      </c>
      <c r="H61">
        <v>8804</v>
      </c>
      <c r="I61" t="s">
        <v>20</v>
      </c>
      <c r="J61">
        <v>4</v>
      </c>
      <c r="K61" s="1">
        <f t="shared" si="0"/>
        <v>45860</v>
      </c>
      <c r="L61" s="3">
        <f t="shared" si="1"/>
        <v>146.73333333333332</v>
      </c>
      <c r="M61" s="3">
        <f t="shared" si="2"/>
        <v>5.9666666666666668</v>
      </c>
      <c r="N61" t="str">
        <f t="shared" si="3"/>
        <v>Breached</v>
      </c>
      <c r="O61" t="str">
        <f t="shared" si="7"/>
        <v>Satisfied</v>
      </c>
      <c r="P61" t="str">
        <f t="shared" si="4"/>
        <v>Resolved</v>
      </c>
      <c r="Q61" s="2" t="str">
        <f t="shared" si="5"/>
        <v>Jul-2025</v>
      </c>
      <c r="R61" s="2">
        <f t="shared" si="6"/>
        <v>45839</v>
      </c>
    </row>
    <row r="62" spans="1:18">
      <c r="A62" t="s">
        <v>152</v>
      </c>
      <c r="B62" s="2" t="s">
        <v>153</v>
      </c>
      <c r="C62">
        <v>1510</v>
      </c>
      <c r="D62" t="s">
        <v>12</v>
      </c>
      <c r="E62" t="s">
        <v>33</v>
      </c>
      <c r="F62" t="s">
        <v>71</v>
      </c>
      <c r="G62">
        <v>83</v>
      </c>
      <c r="H62">
        <v>5306</v>
      </c>
      <c r="I62" t="s">
        <v>15</v>
      </c>
      <c r="J62">
        <v>4</v>
      </c>
      <c r="K62" s="1">
        <f t="shared" si="0"/>
        <v>45860</v>
      </c>
      <c r="L62" s="3">
        <f t="shared" si="1"/>
        <v>88.433333333333337</v>
      </c>
      <c r="M62" s="3">
        <f t="shared" si="2"/>
        <v>1.3833333333333333</v>
      </c>
      <c r="N62" t="str">
        <f t="shared" si="3"/>
        <v>Breached</v>
      </c>
      <c r="O62" t="str">
        <f t="shared" si="7"/>
        <v>Satisfied</v>
      </c>
      <c r="P62" t="str">
        <f t="shared" si="4"/>
        <v>Resolved</v>
      </c>
      <c r="Q62" s="2" t="str">
        <f t="shared" si="5"/>
        <v>Jul-2025</v>
      </c>
      <c r="R62" s="2">
        <f t="shared" si="6"/>
        <v>45839</v>
      </c>
    </row>
    <row r="63" spans="1:18">
      <c r="A63" t="s">
        <v>154</v>
      </c>
      <c r="B63" s="2" t="s">
        <v>155</v>
      </c>
      <c r="C63">
        <v>1846</v>
      </c>
      <c r="D63" t="s">
        <v>18</v>
      </c>
      <c r="E63" t="s">
        <v>27</v>
      </c>
      <c r="F63" t="s">
        <v>54</v>
      </c>
      <c r="G63">
        <v>92</v>
      </c>
      <c r="H63">
        <v>2405</v>
      </c>
      <c r="I63" t="s">
        <v>20</v>
      </c>
      <c r="J63">
        <v>4</v>
      </c>
      <c r="K63" s="1">
        <f t="shared" si="0"/>
        <v>45861</v>
      </c>
      <c r="L63" s="3">
        <f t="shared" si="1"/>
        <v>40.083333333333336</v>
      </c>
      <c r="M63" s="3">
        <f t="shared" si="2"/>
        <v>1.5333333333333334</v>
      </c>
      <c r="N63" t="str">
        <f t="shared" si="3"/>
        <v>Within SLA</v>
      </c>
      <c r="O63" t="str">
        <f t="shared" si="7"/>
        <v>Satisfied</v>
      </c>
      <c r="P63" t="str">
        <f t="shared" si="4"/>
        <v>Resolved</v>
      </c>
      <c r="Q63" s="2" t="str">
        <f t="shared" si="5"/>
        <v>Jul-2025</v>
      </c>
      <c r="R63" s="2">
        <f t="shared" si="6"/>
        <v>45839</v>
      </c>
    </row>
    <row r="64" spans="1:18">
      <c r="A64" t="s">
        <v>156</v>
      </c>
      <c r="B64" s="2" t="s">
        <v>157</v>
      </c>
      <c r="C64">
        <v>1505</v>
      </c>
      <c r="D64" t="s">
        <v>32</v>
      </c>
      <c r="E64" t="s">
        <v>27</v>
      </c>
      <c r="F64" t="s">
        <v>71</v>
      </c>
      <c r="G64">
        <v>37</v>
      </c>
      <c r="H64">
        <v>3555</v>
      </c>
      <c r="I64" t="s">
        <v>15</v>
      </c>
      <c r="J64">
        <v>3</v>
      </c>
      <c r="K64" s="1">
        <f t="shared" si="0"/>
        <v>45861</v>
      </c>
      <c r="L64" s="3">
        <f t="shared" si="1"/>
        <v>59.25</v>
      </c>
      <c r="M64" s="3">
        <f t="shared" si="2"/>
        <v>0.6166666666666667</v>
      </c>
      <c r="N64" t="str">
        <f t="shared" si="3"/>
        <v>Breached</v>
      </c>
      <c r="O64" t="str">
        <f t="shared" si="7"/>
        <v>Neutral</v>
      </c>
      <c r="P64" t="str">
        <f t="shared" si="4"/>
        <v>Resolved</v>
      </c>
      <c r="Q64" s="2" t="str">
        <f t="shared" si="5"/>
        <v>Jul-2025</v>
      </c>
      <c r="R64" s="2">
        <f t="shared" si="6"/>
        <v>45839</v>
      </c>
    </row>
    <row r="65" spans="1:18">
      <c r="A65" t="s">
        <v>158</v>
      </c>
      <c r="B65" s="2" t="s">
        <v>159</v>
      </c>
      <c r="C65">
        <v>1163</v>
      </c>
      <c r="D65" t="s">
        <v>26</v>
      </c>
      <c r="E65" t="s">
        <v>27</v>
      </c>
      <c r="F65" t="s">
        <v>43</v>
      </c>
      <c r="G65">
        <v>82</v>
      </c>
      <c r="I65" t="s">
        <v>44</v>
      </c>
      <c r="K65" s="1">
        <f t="shared" si="0"/>
        <v>45861</v>
      </c>
      <c r="L65" s="3" t="str">
        <f t="shared" si="1"/>
        <v/>
      </c>
      <c r="M65" s="3">
        <f t="shared" si="2"/>
        <v>1.3666666666666667</v>
      </c>
      <c r="N65" t="str">
        <f t="shared" si="3"/>
        <v>Open</v>
      </c>
      <c r="O65" t="str">
        <f t="shared" si="7"/>
        <v>No Rating</v>
      </c>
      <c r="P65" t="str">
        <f t="shared" si="4"/>
        <v>Unresolved</v>
      </c>
      <c r="Q65" s="2" t="str">
        <f t="shared" si="5"/>
        <v>Jul-2025</v>
      </c>
      <c r="R65" s="2">
        <f t="shared" si="6"/>
        <v>45839</v>
      </c>
    </row>
    <row r="66" spans="1:18">
      <c r="A66" t="s">
        <v>160</v>
      </c>
      <c r="B66" s="2" t="s">
        <v>161</v>
      </c>
      <c r="C66">
        <v>1467</v>
      </c>
      <c r="D66" t="s">
        <v>18</v>
      </c>
      <c r="E66" t="s">
        <v>27</v>
      </c>
      <c r="F66" t="s">
        <v>14</v>
      </c>
      <c r="G66">
        <v>154</v>
      </c>
      <c r="H66">
        <v>953</v>
      </c>
      <c r="I66" t="s">
        <v>15</v>
      </c>
      <c r="J66">
        <v>5</v>
      </c>
      <c r="K66" s="1">
        <f t="shared" si="0"/>
        <v>45862</v>
      </c>
      <c r="L66" s="3">
        <f t="shared" si="1"/>
        <v>15.883333333333333</v>
      </c>
      <c r="M66" s="3">
        <f t="shared" si="2"/>
        <v>2.5666666666666669</v>
      </c>
      <c r="N66" t="str">
        <f t="shared" si="3"/>
        <v>Within SLA</v>
      </c>
      <c r="O66" t="str">
        <f t="shared" si="7"/>
        <v>Satisfied</v>
      </c>
      <c r="P66" t="str">
        <f t="shared" si="4"/>
        <v>Resolved</v>
      </c>
      <c r="Q66" s="2" t="str">
        <f t="shared" si="5"/>
        <v>Jul-2025</v>
      </c>
      <c r="R66" s="2">
        <f t="shared" si="6"/>
        <v>45839</v>
      </c>
    </row>
    <row r="67" spans="1:18">
      <c r="A67" t="s">
        <v>162</v>
      </c>
      <c r="B67" s="2" t="s">
        <v>163</v>
      </c>
      <c r="C67">
        <v>1727</v>
      </c>
      <c r="D67" t="s">
        <v>26</v>
      </c>
      <c r="E67" t="s">
        <v>19</v>
      </c>
      <c r="F67" t="s">
        <v>23</v>
      </c>
      <c r="G67">
        <v>18</v>
      </c>
      <c r="H67">
        <v>517</v>
      </c>
      <c r="I67" t="s">
        <v>15</v>
      </c>
      <c r="K67" s="1">
        <f t="shared" ref="K67:K130" si="8">IF(B67="","",DATEVALUE(LEFT(B67,10)))</f>
        <v>45862</v>
      </c>
      <c r="L67" s="3">
        <f t="shared" ref="L67:L130" si="9">IF(H67="","",H67/60)</f>
        <v>8.6166666666666671</v>
      </c>
      <c r="M67" s="3">
        <f t="shared" ref="M67:M130" si="10">IF(G67="","",G67/60)</f>
        <v>0.3</v>
      </c>
      <c r="N67" t="str">
        <f t="shared" ref="N67:N130" si="11">IF(L67="","Open",IF(L67&lt;=IF(E67="Urgent",8,IF(E67="High",24,IF(E67="Normal",48,72))),"Within SLA","Breached"))</f>
        <v>Within SLA</v>
      </c>
      <c r="O67" t="str">
        <f t="shared" si="7"/>
        <v>No Rating</v>
      </c>
      <c r="P67" t="str">
        <f t="shared" ref="P67:P130" si="12">IF(I67="Closed","Resolved",IF(I67="Resolved","Resolved","Unresolved"))</f>
        <v>Resolved</v>
      </c>
      <c r="Q67" s="2" t="str">
        <f t="shared" ref="Q67:Q130" si="13">IF(K67="","",TEXT(K67,"mmm-yyyy"))</f>
        <v>Jul-2025</v>
      </c>
      <c r="R67" s="2">
        <f t="shared" ref="R67:R130" si="14">IF(K67="","",DATE(YEAR(K67),MONTH(K67),1))</f>
        <v>45839</v>
      </c>
    </row>
    <row r="68" spans="1:18">
      <c r="A68" t="s">
        <v>164</v>
      </c>
      <c r="B68" s="2" t="s">
        <v>165</v>
      </c>
      <c r="C68">
        <v>1656</v>
      </c>
      <c r="D68" t="s">
        <v>18</v>
      </c>
      <c r="E68" t="s">
        <v>27</v>
      </c>
      <c r="F68" t="s">
        <v>71</v>
      </c>
      <c r="G68">
        <v>146</v>
      </c>
      <c r="I68" t="s">
        <v>29</v>
      </c>
      <c r="K68" s="1">
        <f t="shared" si="8"/>
        <v>45863</v>
      </c>
      <c r="L68" s="3" t="str">
        <f t="shared" si="9"/>
        <v/>
      </c>
      <c r="M68" s="3">
        <f t="shared" si="10"/>
        <v>2.4333333333333331</v>
      </c>
      <c r="N68" t="str">
        <f t="shared" si="11"/>
        <v>Open</v>
      </c>
      <c r="O68" t="str">
        <f t="shared" ref="O68:O131" si="15">IF(J68="","No Rating",IF(J68&gt;=4,"Satisfied",IF(J68=3,"Neutral","Dissatisfied")))</f>
        <v>No Rating</v>
      </c>
      <c r="P68" t="str">
        <f t="shared" si="12"/>
        <v>Unresolved</v>
      </c>
      <c r="Q68" s="2" t="str">
        <f t="shared" si="13"/>
        <v>Jul-2025</v>
      </c>
      <c r="R68" s="2">
        <f t="shared" si="14"/>
        <v>45839</v>
      </c>
    </row>
    <row r="69" spans="1:18">
      <c r="A69" t="s">
        <v>166</v>
      </c>
      <c r="B69" s="2" t="s">
        <v>167</v>
      </c>
      <c r="C69">
        <v>1142</v>
      </c>
      <c r="D69" t="s">
        <v>26</v>
      </c>
      <c r="E69" t="s">
        <v>33</v>
      </c>
      <c r="F69" t="s">
        <v>23</v>
      </c>
      <c r="G69">
        <v>225</v>
      </c>
      <c r="H69">
        <v>4766</v>
      </c>
      <c r="I69" t="s">
        <v>20</v>
      </c>
      <c r="J69">
        <v>2</v>
      </c>
      <c r="K69" s="1">
        <f t="shared" si="8"/>
        <v>45863</v>
      </c>
      <c r="L69" s="3">
        <f t="shared" si="9"/>
        <v>79.433333333333337</v>
      </c>
      <c r="M69" s="3">
        <f t="shared" si="10"/>
        <v>3.75</v>
      </c>
      <c r="N69" t="str">
        <f t="shared" si="11"/>
        <v>Breached</v>
      </c>
      <c r="O69" t="str">
        <f t="shared" si="15"/>
        <v>Dissatisfied</v>
      </c>
      <c r="P69" t="str">
        <f t="shared" si="12"/>
        <v>Resolved</v>
      </c>
      <c r="Q69" s="2" t="str">
        <f t="shared" si="13"/>
        <v>Jul-2025</v>
      </c>
      <c r="R69" s="2">
        <f t="shared" si="14"/>
        <v>45839</v>
      </c>
    </row>
    <row r="70" spans="1:18">
      <c r="A70" t="s">
        <v>168</v>
      </c>
      <c r="B70" s="2" t="s">
        <v>169</v>
      </c>
      <c r="C70">
        <v>1767</v>
      </c>
      <c r="D70" t="s">
        <v>18</v>
      </c>
      <c r="E70" t="s">
        <v>27</v>
      </c>
      <c r="F70" t="s">
        <v>64</v>
      </c>
      <c r="G70">
        <v>127</v>
      </c>
      <c r="H70">
        <v>671</v>
      </c>
      <c r="I70" t="s">
        <v>20</v>
      </c>
      <c r="J70">
        <v>4</v>
      </c>
      <c r="K70" s="1">
        <f t="shared" si="8"/>
        <v>45863</v>
      </c>
      <c r="L70" s="3">
        <f t="shared" si="9"/>
        <v>11.183333333333334</v>
      </c>
      <c r="M70" s="3">
        <f t="shared" si="10"/>
        <v>2.1166666666666667</v>
      </c>
      <c r="N70" t="str">
        <f t="shared" si="11"/>
        <v>Within SLA</v>
      </c>
      <c r="O70" t="str">
        <f t="shared" si="15"/>
        <v>Satisfied</v>
      </c>
      <c r="P70" t="str">
        <f t="shared" si="12"/>
        <v>Resolved</v>
      </c>
      <c r="Q70" s="2" t="str">
        <f t="shared" si="13"/>
        <v>Jul-2025</v>
      </c>
      <c r="R70" s="2">
        <f t="shared" si="14"/>
        <v>45839</v>
      </c>
    </row>
    <row r="71" spans="1:18">
      <c r="A71" t="s">
        <v>170</v>
      </c>
      <c r="B71" s="2" t="s">
        <v>171</v>
      </c>
      <c r="C71">
        <v>1103</v>
      </c>
      <c r="D71" t="s">
        <v>12</v>
      </c>
      <c r="E71" t="s">
        <v>27</v>
      </c>
      <c r="F71" t="s">
        <v>43</v>
      </c>
      <c r="G71">
        <v>150</v>
      </c>
      <c r="H71">
        <v>2818</v>
      </c>
      <c r="I71" t="s">
        <v>15</v>
      </c>
      <c r="K71" s="1">
        <f t="shared" si="8"/>
        <v>45864</v>
      </c>
      <c r="L71" s="3">
        <f t="shared" si="9"/>
        <v>46.966666666666669</v>
      </c>
      <c r="M71" s="3">
        <f t="shared" si="10"/>
        <v>2.5</v>
      </c>
      <c r="N71" t="str">
        <f t="shared" si="11"/>
        <v>Within SLA</v>
      </c>
      <c r="O71" t="str">
        <f t="shared" si="15"/>
        <v>No Rating</v>
      </c>
      <c r="P71" t="str">
        <f t="shared" si="12"/>
        <v>Resolved</v>
      </c>
      <c r="Q71" s="2" t="str">
        <f t="shared" si="13"/>
        <v>Jul-2025</v>
      </c>
      <c r="R71" s="2">
        <f t="shared" si="14"/>
        <v>45839</v>
      </c>
    </row>
    <row r="72" spans="1:18">
      <c r="A72" t="s">
        <v>172</v>
      </c>
      <c r="B72" s="2" t="s">
        <v>173</v>
      </c>
      <c r="C72">
        <v>1188</v>
      </c>
      <c r="D72" t="s">
        <v>12</v>
      </c>
      <c r="E72" t="s">
        <v>33</v>
      </c>
      <c r="F72" t="s">
        <v>59</v>
      </c>
      <c r="G72">
        <v>98</v>
      </c>
      <c r="H72">
        <v>6022</v>
      </c>
      <c r="I72" t="s">
        <v>20</v>
      </c>
      <c r="J72">
        <v>2</v>
      </c>
      <c r="K72" s="1">
        <f t="shared" si="8"/>
        <v>45864</v>
      </c>
      <c r="L72" s="3">
        <f t="shared" si="9"/>
        <v>100.36666666666666</v>
      </c>
      <c r="M72" s="3">
        <f t="shared" si="10"/>
        <v>1.6333333333333333</v>
      </c>
      <c r="N72" t="str">
        <f t="shared" si="11"/>
        <v>Breached</v>
      </c>
      <c r="O72" t="str">
        <f t="shared" si="15"/>
        <v>Dissatisfied</v>
      </c>
      <c r="P72" t="str">
        <f t="shared" si="12"/>
        <v>Resolved</v>
      </c>
      <c r="Q72" s="2" t="str">
        <f t="shared" si="13"/>
        <v>Jul-2025</v>
      </c>
      <c r="R72" s="2">
        <f t="shared" si="14"/>
        <v>45839</v>
      </c>
    </row>
    <row r="73" spans="1:18">
      <c r="A73" t="s">
        <v>174</v>
      </c>
      <c r="B73" s="2" t="s">
        <v>175</v>
      </c>
      <c r="C73">
        <v>1455</v>
      </c>
      <c r="D73" t="s">
        <v>47</v>
      </c>
      <c r="E73" t="s">
        <v>13</v>
      </c>
      <c r="F73" t="s">
        <v>28</v>
      </c>
      <c r="G73">
        <v>9</v>
      </c>
      <c r="I73" t="s">
        <v>29</v>
      </c>
      <c r="K73" s="1">
        <f t="shared" si="8"/>
        <v>45864</v>
      </c>
      <c r="L73" s="3" t="str">
        <f t="shared" si="9"/>
        <v/>
      </c>
      <c r="M73" s="3">
        <f t="shared" si="10"/>
        <v>0.15</v>
      </c>
      <c r="N73" t="str">
        <f t="shared" si="11"/>
        <v>Open</v>
      </c>
      <c r="O73" t="str">
        <f t="shared" si="15"/>
        <v>No Rating</v>
      </c>
      <c r="P73" t="str">
        <f t="shared" si="12"/>
        <v>Unresolved</v>
      </c>
      <c r="Q73" s="2" t="str">
        <f t="shared" si="13"/>
        <v>Jul-2025</v>
      </c>
      <c r="R73" s="2">
        <f t="shared" si="14"/>
        <v>45839</v>
      </c>
    </row>
    <row r="74" spans="1:18">
      <c r="A74" t="s">
        <v>176</v>
      </c>
      <c r="B74" s="2" t="s">
        <v>177</v>
      </c>
      <c r="C74">
        <v>1179</v>
      </c>
      <c r="D74" t="s">
        <v>47</v>
      </c>
      <c r="E74" t="s">
        <v>27</v>
      </c>
      <c r="F74" t="s">
        <v>43</v>
      </c>
      <c r="G74">
        <v>85</v>
      </c>
      <c r="H74">
        <v>3589</v>
      </c>
      <c r="I74" t="s">
        <v>15</v>
      </c>
      <c r="K74" s="1">
        <f t="shared" si="8"/>
        <v>45865</v>
      </c>
      <c r="L74" s="3">
        <f t="shared" si="9"/>
        <v>59.81666666666667</v>
      </c>
      <c r="M74" s="3">
        <f t="shared" si="10"/>
        <v>1.4166666666666667</v>
      </c>
      <c r="N74" t="str">
        <f t="shared" si="11"/>
        <v>Breached</v>
      </c>
      <c r="O74" t="str">
        <f t="shared" si="15"/>
        <v>No Rating</v>
      </c>
      <c r="P74" t="str">
        <f t="shared" si="12"/>
        <v>Resolved</v>
      </c>
      <c r="Q74" s="2" t="str">
        <f t="shared" si="13"/>
        <v>Jul-2025</v>
      </c>
      <c r="R74" s="2">
        <f t="shared" si="14"/>
        <v>45839</v>
      </c>
    </row>
    <row r="75" spans="1:18">
      <c r="A75" t="s">
        <v>178</v>
      </c>
      <c r="B75" s="2" t="s">
        <v>179</v>
      </c>
      <c r="C75">
        <v>1974</v>
      </c>
      <c r="D75" t="s">
        <v>47</v>
      </c>
      <c r="E75" t="s">
        <v>13</v>
      </c>
      <c r="F75" t="s">
        <v>59</v>
      </c>
      <c r="G75">
        <v>7</v>
      </c>
      <c r="H75">
        <v>253</v>
      </c>
      <c r="I75" t="s">
        <v>15</v>
      </c>
      <c r="J75">
        <v>5</v>
      </c>
      <c r="K75" s="1">
        <f t="shared" si="8"/>
        <v>45865</v>
      </c>
      <c r="L75" s="3">
        <f t="shared" si="9"/>
        <v>4.2166666666666668</v>
      </c>
      <c r="M75" s="3">
        <f t="shared" si="10"/>
        <v>0.11666666666666667</v>
      </c>
      <c r="N75" t="str">
        <f t="shared" si="11"/>
        <v>Within SLA</v>
      </c>
      <c r="O75" t="str">
        <f t="shared" si="15"/>
        <v>Satisfied</v>
      </c>
      <c r="P75" t="str">
        <f t="shared" si="12"/>
        <v>Resolved</v>
      </c>
      <c r="Q75" s="2" t="str">
        <f t="shared" si="13"/>
        <v>Jul-2025</v>
      </c>
      <c r="R75" s="2">
        <f t="shared" si="14"/>
        <v>45839</v>
      </c>
    </row>
    <row r="76" spans="1:18">
      <c r="A76" t="s">
        <v>180</v>
      </c>
      <c r="B76" s="2" t="s">
        <v>181</v>
      </c>
      <c r="C76">
        <v>1401</v>
      </c>
      <c r="D76" t="s">
        <v>26</v>
      </c>
      <c r="E76" t="s">
        <v>13</v>
      </c>
      <c r="F76" t="s">
        <v>23</v>
      </c>
      <c r="G76">
        <v>8</v>
      </c>
      <c r="H76">
        <v>196</v>
      </c>
      <c r="I76" t="s">
        <v>15</v>
      </c>
      <c r="J76">
        <v>3</v>
      </c>
      <c r="K76" s="1">
        <f t="shared" si="8"/>
        <v>45866</v>
      </c>
      <c r="L76" s="3">
        <f t="shared" si="9"/>
        <v>3.2666666666666666</v>
      </c>
      <c r="M76" s="3">
        <f t="shared" si="10"/>
        <v>0.13333333333333333</v>
      </c>
      <c r="N76" t="str">
        <f t="shared" si="11"/>
        <v>Within SLA</v>
      </c>
      <c r="O76" t="str">
        <f t="shared" si="15"/>
        <v>Neutral</v>
      </c>
      <c r="P76" t="str">
        <f t="shared" si="12"/>
        <v>Resolved</v>
      </c>
      <c r="Q76" s="2" t="str">
        <f t="shared" si="13"/>
        <v>Jul-2025</v>
      </c>
      <c r="R76" s="2">
        <f t="shared" si="14"/>
        <v>45839</v>
      </c>
    </row>
    <row r="77" spans="1:18">
      <c r="A77" t="s">
        <v>182</v>
      </c>
      <c r="B77" s="2" t="s">
        <v>183</v>
      </c>
      <c r="C77">
        <v>1780</v>
      </c>
      <c r="D77" t="s">
        <v>18</v>
      </c>
      <c r="E77" t="s">
        <v>27</v>
      </c>
      <c r="F77" t="s">
        <v>54</v>
      </c>
      <c r="G77">
        <v>100</v>
      </c>
      <c r="H77">
        <v>3400</v>
      </c>
      <c r="I77" t="s">
        <v>20</v>
      </c>
      <c r="J77">
        <v>2</v>
      </c>
      <c r="K77" s="1">
        <f t="shared" si="8"/>
        <v>45866</v>
      </c>
      <c r="L77" s="3">
        <f t="shared" si="9"/>
        <v>56.666666666666664</v>
      </c>
      <c r="M77" s="3">
        <f t="shared" si="10"/>
        <v>1.6666666666666667</v>
      </c>
      <c r="N77" t="str">
        <f t="shared" si="11"/>
        <v>Breached</v>
      </c>
      <c r="O77" t="str">
        <f t="shared" si="15"/>
        <v>Dissatisfied</v>
      </c>
      <c r="P77" t="str">
        <f t="shared" si="12"/>
        <v>Resolved</v>
      </c>
      <c r="Q77" s="2" t="str">
        <f t="shared" si="13"/>
        <v>Jul-2025</v>
      </c>
      <c r="R77" s="2">
        <f t="shared" si="14"/>
        <v>45839</v>
      </c>
    </row>
    <row r="78" spans="1:18">
      <c r="A78" t="s">
        <v>184</v>
      </c>
      <c r="B78" s="2" t="s">
        <v>185</v>
      </c>
      <c r="C78">
        <v>1773</v>
      </c>
      <c r="D78" t="s">
        <v>32</v>
      </c>
      <c r="E78" t="s">
        <v>27</v>
      </c>
      <c r="F78" t="s">
        <v>43</v>
      </c>
      <c r="G78">
        <v>75</v>
      </c>
      <c r="H78">
        <v>1890</v>
      </c>
      <c r="I78" t="s">
        <v>15</v>
      </c>
      <c r="J78">
        <v>1</v>
      </c>
      <c r="K78" s="1">
        <f t="shared" si="8"/>
        <v>45866</v>
      </c>
      <c r="L78" s="3">
        <f t="shared" si="9"/>
        <v>31.5</v>
      </c>
      <c r="M78" s="3">
        <f t="shared" si="10"/>
        <v>1.25</v>
      </c>
      <c r="N78" t="str">
        <f t="shared" si="11"/>
        <v>Within SLA</v>
      </c>
      <c r="O78" t="str">
        <f t="shared" si="15"/>
        <v>Dissatisfied</v>
      </c>
      <c r="P78" t="str">
        <f t="shared" si="12"/>
        <v>Resolved</v>
      </c>
      <c r="Q78" s="2" t="str">
        <f t="shared" si="13"/>
        <v>Jul-2025</v>
      </c>
      <c r="R78" s="2">
        <f t="shared" si="14"/>
        <v>45839</v>
      </c>
    </row>
    <row r="79" spans="1:18">
      <c r="A79" t="s">
        <v>186</v>
      </c>
      <c r="B79" s="2" t="s">
        <v>187</v>
      </c>
      <c r="C79">
        <v>1827</v>
      </c>
      <c r="D79" t="s">
        <v>12</v>
      </c>
      <c r="E79" t="s">
        <v>27</v>
      </c>
      <c r="F79" t="s">
        <v>23</v>
      </c>
      <c r="G79">
        <v>110</v>
      </c>
      <c r="H79">
        <v>804</v>
      </c>
      <c r="I79" t="s">
        <v>15</v>
      </c>
      <c r="K79" s="1">
        <f t="shared" si="8"/>
        <v>45867</v>
      </c>
      <c r="L79" s="3">
        <f t="shared" si="9"/>
        <v>13.4</v>
      </c>
      <c r="M79" s="3">
        <f t="shared" si="10"/>
        <v>1.8333333333333333</v>
      </c>
      <c r="N79" t="str">
        <f t="shared" si="11"/>
        <v>Within SLA</v>
      </c>
      <c r="O79" t="str">
        <f t="shared" si="15"/>
        <v>No Rating</v>
      </c>
      <c r="P79" t="str">
        <f t="shared" si="12"/>
        <v>Resolved</v>
      </c>
      <c r="Q79" s="2" t="str">
        <f t="shared" si="13"/>
        <v>Jul-2025</v>
      </c>
      <c r="R79" s="2">
        <f t="shared" si="14"/>
        <v>45839</v>
      </c>
    </row>
    <row r="80" spans="1:18">
      <c r="A80" t="s">
        <v>188</v>
      </c>
      <c r="B80" s="2" t="s">
        <v>189</v>
      </c>
      <c r="C80">
        <v>1320</v>
      </c>
      <c r="D80" t="s">
        <v>32</v>
      </c>
      <c r="E80" t="s">
        <v>13</v>
      </c>
      <c r="F80" t="s">
        <v>54</v>
      </c>
      <c r="G80">
        <v>12</v>
      </c>
      <c r="I80" t="s">
        <v>29</v>
      </c>
      <c r="K80" s="1">
        <f t="shared" si="8"/>
        <v>45867</v>
      </c>
      <c r="L80" s="3" t="str">
        <f t="shared" si="9"/>
        <v/>
      </c>
      <c r="M80" s="3">
        <f t="shared" si="10"/>
        <v>0.2</v>
      </c>
      <c r="N80" t="str">
        <f t="shared" si="11"/>
        <v>Open</v>
      </c>
      <c r="O80" t="str">
        <f t="shared" si="15"/>
        <v>No Rating</v>
      </c>
      <c r="P80" t="str">
        <f t="shared" si="12"/>
        <v>Unresolved</v>
      </c>
      <c r="Q80" s="2" t="str">
        <f t="shared" si="13"/>
        <v>Jul-2025</v>
      </c>
      <c r="R80" s="2">
        <f t="shared" si="14"/>
        <v>45839</v>
      </c>
    </row>
    <row r="81" spans="1:18">
      <c r="A81" t="s">
        <v>190</v>
      </c>
      <c r="B81" s="2" t="s">
        <v>191</v>
      </c>
      <c r="C81">
        <v>1809</v>
      </c>
      <c r="D81" t="s">
        <v>32</v>
      </c>
      <c r="E81" t="s">
        <v>33</v>
      </c>
      <c r="F81" t="s">
        <v>43</v>
      </c>
      <c r="G81">
        <v>478</v>
      </c>
      <c r="H81">
        <v>7910</v>
      </c>
      <c r="I81" t="s">
        <v>15</v>
      </c>
      <c r="J81">
        <v>1</v>
      </c>
      <c r="K81" s="1">
        <f t="shared" si="8"/>
        <v>45867</v>
      </c>
      <c r="L81" s="3">
        <f t="shared" si="9"/>
        <v>131.83333333333334</v>
      </c>
      <c r="M81" s="3">
        <f t="shared" si="10"/>
        <v>7.9666666666666668</v>
      </c>
      <c r="N81" t="str">
        <f t="shared" si="11"/>
        <v>Breached</v>
      </c>
      <c r="O81" t="str">
        <f t="shared" si="15"/>
        <v>Dissatisfied</v>
      </c>
      <c r="P81" t="str">
        <f t="shared" si="12"/>
        <v>Resolved</v>
      </c>
      <c r="Q81" s="2" t="str">
        <f t="shared" si="13"/>
        <v>Jul-2025</v>
      </c>
      <c r="R81" s="2">
        <f t="shared" si="14"/>
        <v>45839</v>
      </c>
    </row>
    <row r="82" spans="1:18">
      <c r="A82" t="s">
        <v>192</v>
      </c>
      <c r="B82" s="2" t="s">
        <v>193</v>
      </c>
      <c r="C82">
        <v>1190</v>
      </c>
      <c r="D82" t="s">
        <v>12</v>
      </c>
      <c r="E82" t="s">
        <v>33</v>
      </c>
      <c r="F82" t="s">
        <v>64</v>
      </c>
      <c r="G82">
        <v>372</v>
      </c>
      <c r="I82" t="s">
        <v>29</v>
      </c>
      <c r="K82" s="1">
        <f t="shared" si="8"/>
        <v>45868</v>
      </c>
      <c r="L82" s="3" t="str">
        <f t="shared" si="9"/>
        <v/>
      </c>
      <c r="M82" s="3">
        <f t="shared" si="10"/>
        <v>6.2</v>
      </c>
      <c r="N82" t="str">
        <f t="shared" si="11"/>
        <v>Open</v>
      </c>
      <c r="O82" t="str">
        <f t="shared" si="15"/>
        <v>No Rating</v>
      </c>
      <c r="P82" t="str">
        <f t="shared" si="12"/>
        <v>Unresolved</v>
      </c>
      <c r="Q82" s="2" t="str">
        <f t="shared" si="13"/>
        <v>Jul-2025</v>
      </c>
      <c r="R82" s="2">
        <f t="shared" si="14"/>
        <v>45839</v>
      </c>
    </row>
    <row r="83" spans="1:18">
      <c r="A83" t="s">
        <v>194</v>
      </c>
      <c r="B83" s="2" t="s">
        <v>195</v>
      </c>
      <c r="C83">
        <v>1525</v>
      </c>
      <c r="D83" t="s">
        <v>18</v>
      </c>
      <c r="E83" t="s">
        <v>33</v>
      </c>
      <c r="F83" t="s">
        <v>59</v>
      </c>
      <c r="G83">
        <v>251</v>
      </c>
      <c r="H83">
        <v>8454</v>
      </c>
      <c r="I83" t="s">
        <v>20</v>
      </c>
      <c r="K83" s="1">
        <f t="shared" si="8"/>
        <v>45868</v>
      </c>
      <c r="L83" s="3">
        <f t="shared" si="9"/>
        <v>140.9</v>
      </c>
      <c r="M83" s="3">
        <f t="shared" si="10"/>
        <v>4.1833333333333336</v>
      </c>
      <c r="N83" t="str">
        <f t="shared" si="11"/>
        <v>Breached</v>
      </c>
      <c r="O83" t="str">
        <f t="shared" si="15"/>
        <v>No Rating</v>
      </c>
      <c r="P83" t="str">
        <f t="shared" si="12"/>
        <v>Resolved</v>
      </c>
      <c r="Q83" s="2" t="str">
        <f t="shared" si="13"/>
        <v>Jul-2025</v>
      </c>
      <c r="R83" s="2">
        <f t="shared" si="14"/>
        <v>45839</v>
      </c>
    </row>
    <row r="84" spans="1:18">
      <c r="A84" t="s">
        <v>196</v>
      </c>
      <c r="B84" s="2" t="s">
        <v>197</v>
      </c>
      <c r="C84">
        <v>1223</v>
      </c>
      <c r="D84" t="s">
        <v>12</v>
      </c>
      <c r="E84" t="s">
        <v>27</v>
      </c>
      <c r="F84" t="s">
        <v>23</v>
      </c>
      <c r="G84">
        <v>154</v>
      </c>
      <c r="H84">
        <v>2138</v>
      </c>
      <c r="I84" t="s">
        <v>15</v>
      </c>
      <c r="J84">
        <v>5</v>
      </c>
      <c r="K84" s="1">
        <f t="shared" si="8"/>
        <v>45868</v>
      </c>
      <c r="L84" s="3">
        <f t="shared" si="9"/>
        <v>35.633333333333333</v>
      </c>
      <c r="M84" s="3">
        <f t="shared" si="10"/>
        <v>2.5666666666666669</v>
      </c>
      <c r="N84" t="str">
        <f t="shared" si="11"/>
        <v>Within SLA</v>
      </c>
      <c r="O84" t="str">
        <f t="shared" si="15"/>
        <v>Satisfied</v>
      </c>
      <c r="P84" t="str">
        <f t="shared" si="12"/>
        <v>Resolved</v>
      </c>
      <c r="Q84" s="2" t="str">
        <f t="shared" si="13"/>
        <v>Jul-2025</v>
      </c>
      <c r="R84" s="2">
        <f t="shared" si="14"/>
        <v>45839</v>
      </c>
    </row>
    <row r="85" spans="1:18">
      <c r="A85" t="s">
        <v>198</v>
      </c>
      <c r="B85" s="2" t="s">
        <v>199</v>
      </c>
      <c r="C85">
        <v>1500</v>
      </c>
      <c r="D85" t="s">
        <v>18</v>
      </c>
      <c r="E85" t="s">
        <v>33</v>
      </c>
      <c r="F85" t="s">
        <v>64</v>
      </c>
      <c r="G85">
        <v>397</v>
      </c>
      <c r="H85">
        <v>4199</v>
      </c>
      <c r="I85" t="s">
        <v>20</v>
      </c>
      <c r="J85">
        <v>3</v>
      </c>
      <c r="K85" s="1">
        <f t="shared" si="8"/>
        <v>45869</v>
      </c>
      <c r="L85" s="3">
        <f t="shared" si="9"/>
        <v>69.983333333333334</v>
      </c>
      <c r="M85" s="3">
        <f t="shared" si="10"/>
        <v>6.6166666666666663</v>
      </c>
      <c r="N85" t="str">
        <f t="shared" si="11"/>
        <v>Within SLA</v>
      </c>
      <c r="O85" t="str">
        <f t="shared" si="15"/>
        <v>Neutral</v>
      </c>
      <c r="P85" t="str">
        <f t="shared" si="12"/>
        <v>Resolved</v>
      </c>
      <c r="Q85" s="2" t="str">
        <f t="shared" si="13"/>
        <v>Jul-2025</v>
      </c>
      <c r="R85" s="2">
        <f t="shared" si="14"/>
        <v>45839</v>
      </c>
    </row>
    <row r="86" spans="1:18">
      <c r="A86" t="s">
        <v>200</v>
      </c>
      <c r="B86" s="2" t="s">
        <v>201</v>
      </c>
      <c r="C86">
        <v>1134</v>
      </c>
      <c r="D86" t="s">
        <v>26</v>
      </c>
      <c r="E86" t="s">
        <v>13</v>
      </c>
      <c r="F86" t="s">
        <v>54</v>
      </c>
      <c r="G86">
        <v>8</v>
      </c>
      <c r="I86" t="s">
        <v>44</v>
      </c>
      <c r="K86" s="1">
        <f t="shared" si="8"/>
        <v>45869</v>
      </c>
      <c r="L86" s="3" t="str">
        <f t="shared" si="9"/>
        <v/>
      </c>
      <c r="M86" s="3">
        <f t="shared" si="10"/>
        <v>0.13333333333333333</v>
      </c>
      <c r="N86" t="str">
        <f t="shared" si="11"/>
        <v>Open</v>
      </c>
      <c r="O86" t="str">
        <f t="shared" si="15"/>
        <v>No Rating</v>
      </c>
      <c r="P86" t="str">
        <f t="shared" si="12"/>
        <v>Unresolved</v>
      </c>
      <c r="Q86" s="2" t="str">
        <f t="shared" si="13"/>
        <v>Jul-2025</v>
      </c>
      <c r="R86" s="2">
        <f t="shared" si="14"/>
        <v>45839</v>
      </c>
    </row>
    <row r="87" spans="1:18">
      <c r="A87" t="s">
        <v>202</v>
      </c>
      <c r="B87" s="2" t="s">
        <v>203</v>
      </c>
      <c r="C87">
        <v>1988</v>
      </c>
      <c r="D87" t="s">
        <v>26</v>
      </c>
      <c r="E87" t="s">
        <v>13</v>
      </c>
      <c r="F87" t="s">
        <v>28</v>
      </c>
      <c r="G87">
        <v>9</v>
      </c>
      <c r="H87">
        <v>171</v>
      </c>
      <c r="I87" t="s">
        <v>15</v>
      </c>
      <c r="K87" s="1">
        <f t="shared" si="8"/>
        <v>45870</v>
      </c>
      <c r="L87" s="3">
        <f t="shared" si="9"/>
        <v>2.85</v>
      </c>
      <c r="M87" s="3">
        <f t="shared" si="10"/>
        <v>0.15</v>
      </c>
      <c r="N87" t="str">
        <f t="shared" si="11"/>
        <v>Within SLA</v>
      </c>
      <c r="O87" t="str">
        <f t="shared" si="15"/>
        <v>No Rating</v>
      </c>
      <c r="P87" t="str">
        <f t="shared" si="12"/>
        <v>Resolved</v>
      </c>
      <c r="Q87" s="2" t="str">
        <f t="shared" si="13"/>
        <v>Aug-2025</v>
      </c>
      <c r="R87" s="2">
        <f t="shared" si="14"/>
        <v>45870</v>
      </c>
    </row>
    <row r="88" spans="1:18">
      <c r="A88" t="s">
        <v>204</v>
      </c>
      <c r="B88" s="2" t="s">
        <v>205</v>
      </c>
      <c r="C88">
        <v>1483</v>
      </c>
      <c r="D88" t="s">
        <v>18</v>
      </c>
      <c r="E88" t="s">
        <v>27</v>
      </c>
      <c r="F88" t="s">
        <v>28</v>
      </c>
      <c r="G88">
        <v>38</v>
      </c>
      <c r="I88" t="s">
        <v>29</v>
      </c>
      <c r="K88" s="1">
        <f t="shared" si="8"/>
        <v>45870</v>
      </c>
      <c r="L88" s="3" t="str">
        <f t="shared" si="9"/>
        <v/>
      </c>
      <c r="M88" s="3">
        <f t="shared" si="10"/>
        <v>0.6333333333333333</v>
      </c>
      <c r="N88" t="str">
        <f t="shared" si="11"/>
        <v>Open</v>
      </c>
      <c r="O88" t="str">
        <f t="shared" si="15"/>
        <v>No Rating</v>
      </c>
      <c r="P88" t="str">
        <f t="shared" si="12"/>
        <v>Unresolved</v>
      </c>
      <c r="Q88" s="2" t="str">
        <f t="shared" si="13"/>
        <v>Aug-2025</v>
      </c>
      <c r="R88" s="2">
        <f t="shared" si="14"/>
        <v>45870</v>
      </c>
    </row>
    <row r="89" spans="1:18">
      <c r="A89" t="s">
        <v>206</v>
      </c>
      <c r="B89" s="2" t="s">
        <v>207</v>
      </c>
      <c r="C89">
        <v>1668</v>
      </c>
      <c r="D89" t="s">
        <v>26</v>
      </c>
      <c r="E89" t="s">
        <v>33</v>
      </c>
      <c r="F89" t="s">
        <v>34</v>
      </c>
      <c r="G89">
        <v>144</v>
      </c>
      <c r="I89" t="s">
        <v>29</v>
      </c>
      <c r="K89" s="1">
        <f t="shared" si="8"/>
        <v>45870</v>
      </c>
      <c r="L89" s="3" t="str">
        <f t="shared" si="9"/>
        <v/>
      </c>
      <c r="M89" s="3">
        <f t="shared" si="10"/>
        <v>2.4</v>
      </c>
      <c r="N89" t="str">
        <f t="shared" si="11"/>
        <v>Open</v>
      </c>
      <c r="O89" t="str">
        <f t="shared" si="15"/>
        <v>No Rating</v>
      </c>
      <c r="P89" t="str">
        <f t="shared" si="12"/>
        <v>Unresolved</v>
      </c>
      <c r="Q89" s="2" t="str">
        <f t="shared" si="13"/>
        <v>Aug-2025</v>
      </c>
      <c r="R89" s="2">
        <f t="shared" si="14"/>
        <v>45870</v>
      </c>
    </row>
    <row r="90" spans="1:18">
      <c r="A90" t="s">
        <v>208</v>
      </c>
      <c r="B90" s="2" t="s">
        <v>209</v>
      </c>
      <c r="C90">
        <v>1271</v>
      </c>
      <c r="D90" t="s">
        <v>26</v>
      </c>
      <c r="E90" t="s">
        <v>33</v>
      </c>
      <c r="F90" t="s">
        <v>59</v>
      </c>
      <c r="G90">
        <v>443</v>
      </c>
      <c r="H90">
        <v>4495</v>
      </c>
      <c r="I90" t="s">
        <v>15</v>
      </c>
      <c r="K90" s="1">
        <f t="shared" si="8"/>
        <v>45871</v>
      </c>
      <c r="L90" s="3">
        <f t="shared" si="9"/>
        <v>74.916666666666671</v>
      </c>
      <c r="M90" s="3">
        <f t="shared" si="10"/>
        <v>7.3833333333333337</v>
      </c>
      <c r="N90" t="str">
        <f t="shared" si="11"/>
        <v>Breached</v>
      </c>
      <c r="O90" t="str">
        <f t="shared" si="15"/>
        <v>No Rating</v>
      </c>
      <c r="P90" t="str">
        <f t="shared" si="12"/>
        <v>Resolved</v>
      </c>
      <c r="Q90" s="2" t="str">
        <f t="shared" si="13"/>
        <v>Aug-2025</v>
      </c>
      <c r="R90" s="2">
        <f t="shared" si="14"/>
        <v>45870</v>
      </c>
    </row>
    <row r="91" spans="1:18">
      <c r="A91" t="s">
        <v>210</v>
      </c>
      <c r="B91" s="2" t="s">
        <v>211</v>
      </c>
      <c r="C91">
        <v>1720</v>
      </c>
      <c r="D91" t="s">
        <v>47</v>
      </c>
      <c r="E91" t="s">
        <v>19</v>
      </c>
      <c r="F91" t="s">
        <v>28</v>
      </c>
      <c r="G91">
        <v>39</v>
      </c>
      <c r="H91">
        <v>1190</v>
      </c>
      <c r="I91" t="s">
        <v>15</v>
      </c>
      <c r="J91">
        <v>2</v>
      </c>
      <c r="K91" s="1">
        <f t="shared" si="8"/>
        <v>45871</v>
      </c>
      <c r="L91" s="3">
        <f t="shared" si="9"/>
        <v>19.833333333333332</v>
      </c>
      <c r="M91" s="3">
        <f t="shared" si="10"/>
        <v>0.65</v>
      </c>
      <c r="N91" t="str">
        <f t="shared" si="11"/>
        <v>Within SLA</v>
      </c>
      <c r="O91" t="str">
        <f t="shared" si="15"/>
        <v>Dissatisfied</v>
      </c>
      <c r="P91" t="str">
        <f t="shared" si="12"/>
        <v>Resolved</v>
      </c>
      <c r="Q91" s="2" t="str">
        <f t="shared" si="13"/>
        <v>Aug-2025</v>
      </c>
      <c r="R91" s="2">
        <f t="shared" si="14"/>
        <v>45870</v>
      </c>
    </row>
    <row r="92" spans="1:18">
      <c r="A92" t="s">
        <v>212</v>
      </c>
      <c r="B92" s="2" t="s">
        <v>213</v>
      </c>
      <c r="C92">
        <v>1470</v>
      </c>
      <c r="D92" t="s">
        <v>18</v>
      </c>
      <c r="E92" t="s">
        <v>33</v>
      </c>
      <c r="F92" t="s">
        <v>54</v>
      </c>
      <c r="G92">
        <v>363</v>
      </c>
      <c r="I92" t="s">
        <v>44</v>
      </c>
      <c r="K92" s="1">
        <f t="shared" si="8"/>
        <v>45871</v>
      </c>
      <c r="L92" s="3" t="str">
        <f t="shared" si="9"/>
        <v/>
      </c>
      <c r="M92" s="3">
        <f t="shared" si="10"/>
        <v>6.05</v>
      </c>
      <c r="N92" t="str">
        <f t="shared" si="11"/>
        <v>Open</v>
      </c>
      <c r="O92" t="str">
        <f t="shared" si="15"/>
        <v>No Rating</v>
      </c>
      <c r="P92" t="str">
        <f t="shared" si="12"/>
        <v>Unresolved</v>
      </c>
      <c r="Q92" s="2" t="str">
        <f t="shared" si="13"/>
        <v>Aug-2025</v>
      </c>
      <c r="R92" s="2">
        <f t="shared" si="14"/>
        <v>45870</v>
      </c>
    </row>
    <row r="93" spans="1:18">
      <c r="A93" t="s">
        <v>214</v>
      </c>
      <c r="B93" s="2" t="s">
        <v>215</v>
      </c>
      <c r="C93">
        <v>1646</v>
      </c>
      <c r="D93" t="s">
        <v>32</v>
      </c>
      <c r="E93" t="s">
        <v>33</v>
      </c>
      <c r="F93" t="s">
        <v>14</v>
      </c>
      <c r="G93">
        <v>278</v>
      </c>
      <c r="H93">
        <v>2252</v>
      </c>
      <c r="I93" t="s">
        <v>15</v>
      </c>
      <c r="J93">
        <v>3</v>
      </c>
      <c r="K93" s="1">
        <f t="shared" si="8"/>
        <v>45872</v>
      </c>
      <c r="L93" s="3">
        <f t="shared" si="9"/>
        <v>37.533333333333331</v>
      </c>
      <c r="M93" s="3">
        <f t="shared" si="10"/>
        <v>4.6333333333333337</v>
      </c>
      <c r="N93" t="str">
        <f t="shared" si="11"/>
        <v>Within SLA</v>
      </c>
      <c r="O93" t="str">
        <f t="shared" si="15"/>
        <v>Neutral</v>
      </c>
      <c r="P93" t="str">
        <f t="shared" si="12"/>
        <v>Resolved</v>
      </c>
      <c r="Q93" s="2" t="str">
        <f t="shared" si="13"/>
        <v>Aug-2025</v>
      </c>
      <c r="R93" s="2">
        <f t="shared" si="14"/>
        <v>45870</v>
      </c>
    </row>
    <row r="94" spans="1:18">
      <c r="A94" t="s">
        <v>216</v>
      </c>
      <c r="B94" s="2" t="s">
        <v>217</v>
      </c>
      <c r="C94">
        <v>1486</v>
      </c>
      <c r="D94" t="s">
        <v>12</v>
      </c>
      <c r="E94" t="s">
        <v>19</v>
      </c>
      <c r="F94" t="s">
        <v>54</v>
      </c>
      <c r="G94">
        <v>28</v>
      </c>
      <c r="I94" t="s">
        <v>44</v>
      </c>
      <c r="K94" s="1">
        <f t="shared" si="8"/>
        <v>45872</v>
      </c>
      <c r="L94" s="3" t="str">
        <f t="shared" si="9"/>
        <v/>
      </c>
      <c r="M94" s="3">
        <f t="shared" si="10"/>
        <v>0.46666666666666667</v>
      </c>
      <c r="N94" t="str">
        <f t="shared" si="11"/>
        <v>Open</v>
      </c>
      <c r="O94" t="str">
        <f t="shared" si="15"/>
        <v>No Rating</v>
      </c>
      <c r="P94" t="str">
        <f t="shared" si="12"/>
        <v>Unresolved</v>
      </c>
      <c r="Q94" s="2" t="str">
        <f t="shared" si="13"/>
        <v>Aug-2025</v>
      </c>
      <c r="R94" s="2">
        <f t="shared" si="14"/>
        <v>45870</v>
      </c>
    </row>
    <row r="95" spans="1:18">
      <c r="A95" t="s">
        <v>218</v>
      </c>
      <c r="B95" s="2" t="s">
        <v>219</v>
      </c>
      <c r="C95">
        <v>1164</v>
      </c>
      <c r="D95" t="s">
        <v>32</v>
      </c>
      <c r="E95" t="s">
        <v>33</v>
      </c>
      <c r="F95" t="s">
        <v>59</v>
      </c>
      <c r="G95">
        <v>182</v>
      </c>
      <c r="H95">
        <v>5584</v>
      </c>
      <c r="I95" t="s">
        <v>15</v>
      </c>
      <c r="K95" s="1">
        <f t="shared" si="8"/>
        <v>45872</v>
      </c>
      <c r="L95" s="3">
        <f t="shared" si="9"/>
        <v>93.066666666666663</v>
      </c>
      <c r="M95" s="3">
        <f t="shared" si="10"/>
        <v>3.0333333333333332</v>
      </c>
      <c r="N95" t="str">
        <f t="shared" si="11"/>
        <v>Breached</v>
      </c>
      <c r="O95" t="str">
        <f t="shared" si="15"/>
        <v>No Rating</v>
      </c>
      <c r="P95" t="str">
        <f t="shared" si="12"/>
        <v>Resolved</v>
      </c>
      <c r="Q95" s="2" t="str">
        <f t="shared" si="13"/>
        <v>Aug-2025</v>
      </c>
      <c r="R95" s="2">
        <f t="shared" si="14"/>
        <v>45870</v>
      </c>
    </row>
    <row r="96" spans="1:18">
      <c r="A96" t="s">
        <v>220</v>
      </c>
      <c r="B96" s="2" t="s">
        <v>221</v>
      </c>
      <c r="C96">
        <v>1946</v>
      </c>
      <c r="D96" t="s">
        <v>26</v>
      </c>
      <c r="E96" t="s">
        <v>19</v>
      </c>
      <c r="F96" t="s">
        <v>28</v>
      </c>
      <c r="G96">
        <v>42</v>
      </c>
      <c r="H96">
        <v>906</v>
      </c>
      <c r="I96" t="s">
        <v>20</v>
      </c>
      <c r="J96">
        <v>4</v>
      </c>
      <c r="K96" s="1">
        <f t="shared" si="8"/>
        <v>45873</v>
      </c>
      <c r="L96" s="3">
        <f t="shared" si="9"/>
        <v>15.1</v>
      </c>
      <c r="M96" s="3">
        <f t="shared" si="10"/>
        <v>0.7</v>
      </c>
      <c r="N96" t="str">
        <f t="shared" si="11"/>
        <v>Within SLA</v>
      </c>
      <c r="O96" t="str">
        <f t="shared" si="15"/>
        <v>Satisfied</v>
      </c>
      <c r="P96" t="str">
        <f t="shared" si="12"/>
        <v>Resolved</v>
      </c>
      <c r="Q96" s="2" t="str">
        <f t="shared" si="13"/>
        <v>Aug-2025</v>
      </c>
      <c r="R96" s="2">
        <f t="shared" si="14"/>
        <v>45870</v>
      </c>
    </row>
    <row r="97" spans="1:18">
      <c r="A97" t="s">
        <v>222</v>
      </c>
      <c r="B97" s="2" t="s">
        <v>223</v>
      </c>
      <c r="C97">
        <v>1559</v>
      </c>
      <c r="D97" t="s">
        <v>47</v>
      </c>
      <c r="E97" t="s">
        <v>33</v>
      </c>
      <c r="F97" t="s">
        <v>23</v>
      </c>
      <c r="G97">
        <v>341</v>
      </c>
      <c r="H97">
        <v>6958</v>
      </c>
      <c r="I97" t="s">
        <v>15</v>
      </c>
      <c r="K97" s="1">
        <f t="shared" si="8"/>
        <v>45873</v>
      </c>
      <c r="L97" s="3">
        <f t="shared" si="9"/>
        <v>115.96666666666667</v>
      </c>
      <c r="M97" s="3">
        <f t="shared" si="10"/>
        <v>5.6833333333333336</v>
      </c>
      <c r="N97" t="str">
        <f t="shared" si="11"/>
        <v>Breached</v>
      </c>
      <c r="O97" t="str">
        <f t="shared" si="15"/>
        <v>No Rating</v>
      </c>
      <c r="P97" t="str">
        <f t="shared" si="12"/>
        <v>Resolved</v>
      </c>
      <c r="Q97" s="2" t="str">
        <f t="shared" si="13"/>
        <v>Aug-2025</v>
      </c>
      <c r="R97" s="2">
        <f t="shared" si="14"/>
        <v>45870</v>
      </c>
    </row>
    <row r="98" spans="1:18">
      <c r="A98" t="s">
        <v>224</v>
      </c>
      <c r="B98" s="2" t="s">
        <v>225</v>
      </c>
      <c r="C98">
        <v>1154</v>
      </c>
      <c r="D98" t="s">
        <v>12</v>
      </c>
      <c r="E98" t="s">
        <v>27</v>
      </c>
      <c r="F98" t="s">
        <v>71</v>
      </c>
      <c r="G98">
        <v>76</v>
      </c>
      <c r="H98">
        <v>3668</v>
      </c>
      <c r="I98" t="s">
        <v>15</v>
      </c>
      <c r="J98">
        <v>3</v>
      </c>
      <c r="K98" s="1">
        <f t="shared" si="8"/>
        <v>45874</v>
      </c>
      <c r="L98" s="3">
        <f t="shared" si="9"/>
        <v>61.133333333333333</v>
      </c>
      <c r="M98" s="3">
        <f t="shared" si="10"/>
        <v>1.2666666666666666</v>
      </c>
      <c r="N98" t="str">
        <f t="shared" si="11"/>
        <v>Breached</v>
      </c>
      <c r="O98" t="str">
        <f t="shared" si="15"/>
        <v>Neutral</v>
      </c>
      <c r="P98" t="str">
        <f t="shared" si="12"/>
        <v>Resolved</v>
      </c>
      <c r="Q98" s="2" t="str">
        <f t="shared" si="13"/>
        <v>Aug-2025</v>
      </c>
      <c r="R98" s="2">
        <f t="shared" si="14"/>
        <v>45870</v>
      </c>
    </row>
    <row r="99" spans="1:18">
      <c r="A99" t="s">
        <v>226</v>
      </c>
      <c r="B99" s="2" t="s">
        <v>227</v>
      </c>
      <c r="C99">
        <v>1816</v>
      </c>
      <c r="D99" t="s">
        <v>18</v>
      </c>
      <c r="E99" t="s">
        <v>19</v>
      </c>
      <c r="F99" t="s">
        <v>43</v>
      </c>
      <c r="G99">
        <v>34</v>
      </c>
      <c r="H99">
        <v>828</v>
      </c>
      <c r="I99" t="s">
        <v>15</v>
      </c>
      <c r="K99" s="1">
        <f t="shared" si="8"/>
        <v>45874</v>
      </c>
      <c r="L99" s="3">
        <f t="shared" si="9"/>
        <v>13.8</v>
      </c>
      <c r="M99" s="3">
        <f t="shared" si="10"/>
        <v>0.56666666666666665</v>
      </c>
      <c r="N99" t="str">
        <f t="shared" si="11"/>
        <v>Within SLA</v>
      </c>
      <c r="O99" t="str">
        <f t="shared" si="15"/>
        <v>No Rating</v>
      </c>
      <c r="P99" t="str">
        <f t="shared" si="12"/>
        <v>Resolved</v>
      </c>
      <c r="Q99" s="2" t="str">
        <f t="shared" si="13"/>
        <v>Aug-2025</v>
      </c>
      <c r="R99" s="2">
        <f t="shared" si="14"/>
        <v>45870</v>
      </c>
    </row>
    <row r="100" spans="1:18">
      <c r="A100" t="s">
        <v>228</v>
      </c>
      <c r="B100" s="2" t="s">
        <v>229</v>
      </c>
      <c r="C100">
        <v>1256</v>
      </c>
      <c r="D100" t="s">
        <v>26</v>
      </c>
      <c r="E100" t="s">
        <v>27</v>
      </c>
      <c r="F100" t="s">
        <v>14</v>
      </c>
      <c r="G100">
        <v>178</v>
      </c>
      <c r="H100">
        <v>1213</v>
      </c>
      <c r="I100" t="s">
        <v>20</v>
      </c>
      <c r="K100" s="1">
        <f t="shared" si="8"/>
        <v>45874</v>
      </c>
      <c r="L100" s="3">
        <f t="shared" si="9"/>
        <v>20.216666666666665</v>
      </c>
      <c r="M100" s="3">
        <f t="shared" si="10"/>
        <v>2.9666666666666668</v>
      </c>
      <c r="N100" t="str">
        <f t="shared" si="11"/>
        <v>Within SLA</v>
      </c>
      <c r="O100" t="str">
        <f t="shared" si="15"/>
        <v>No Rating</v>
      </c>
      <c r="P100" t="str">
        <f t="shared" si="12"/>
        <v>Resolved</v>
      </c>
      <c r="Q100" s="2" t="str">
        <f t="shared" si="13"/>
        <v>Aug-2025</v>
      </c>
      <c r="R100" s="2">
        <f t="shared" si="14"/>
        <v>45870</v>
      </c>
    </row>
    <row r="101" spans="1:18">
      <c r="A101" t="s">
        <v>230</v>
      </c>
      <c r="B101" s="2" t="s">
        <v>231</v>
      </c>
      <c r="C101">
        <v>1389</v>
      </c>
      <c r="D101" t="s">
        <v>32</v>
      </c>
      <c r="E101" t="s">
        <v>19</v>
      </c>
      <c r="F101" t="s">
        <v>59</v>
      </c>
      <c r="G101">
        <v>25</v>
      </c>
      <c r="H101">
        <v>620</v>
      </c>
      <c r="I101" t="s">
        <v>20</v>
      </c>
      <c r="K101" s="1">
        <f t="shared" si="8"/>
        <v>45875</v>
      </c>
      <c r="L101" s="3">
        <f t="shared" si="9"/>
        <v>10.333333333333334</v>
      </c>
      <c r="M101" s="3">
        <f t="shared" si="10"/>
        <v>0.41666666666666669</v>
      </c>
      <c r="N101" t="str">
        <f t="shared" si="11"/>
        <v>Within SLA</v>
      </c>
      <c r="O101" t="str">
        <f t="shared" si="15"/>
        <v>No Rating</v>
      </c>
      <c r="P101" t="str">
        <f t="shared" si="12"/>
        <v>Resolved</v>
      </c>
      <c r="Q101" s="2" t="str">
        <f t="shared" si="13"/>
        <v>Aug-2025</v>
      </c>
      <c r="R101" s="2">
        <f t="shared" si="14"/>
        <v>45870</v>
      </c>
    </row>
    <row r="102" spans="1:18">
      <c r="A102" t="s">
        <v>232</v>
      </c>
      <c r="B102" s="2" t="s">
        <v>233</v>
      </c>
      <c r="C102">
        <v>1082</v>
      </c>
      <c r="D102" t="s">
        <v>32</v>
      </c>
      <c r="E102" t="s">
        <v>27</v>
      </c>
      <c r="F102" t="s">
        <v>59</v>
      </c>
      <c r="G102">
        <v>99</v>
      </c>
      <c r="H102">
        <v>2212</v>
      </c>
      <c r="I102" t="s">
        <v>15</v>
      </c>
      <c r="K102" s="1">
        <f t="shared" si="8"/>
        <v>45875</v>
      </c>
      <c r="L102" s="3">
        <f t="shared" si="9"/>
        <v>36.866666666666667</v>
      </c>
      <c r="M102" s="3">
        <f t="shared" si="10"/>
        <v>1.65</v>
      </c>
      <c r="N102" t="str">
        <f t="shared" si="11"/>
        <v>Within SLA</v>
      </c>
      <c r="O102" t="str">
        <f t="shared" si="15"/>
        <v>No Rating</v>
      </c>
      <c r="P102" t="str">
        <f t="shared" si="12"/>
        <v>Resolved</v>
      </c>
      <c r="Q102" s="2" t="str">
        <f t="shared" si="13"/>
        <v>Aug-2025</v>
      </c>
      <c r="R102" s="2">
        <f t="shared" si="14"/>
        <v>45870</v>
      </c>
    </row>
    <row r="103" spans="1:18">
      <c r="A103" t="s">
        <v>234</v>
      </c>
      <c r="B103" s="2" t="s">
        <v>235</v>
      </c>
      <c r="C103">
        <v>1957</v>
      </c>
      <c r="D103" t="s">
        <v>12</v>
      </c>
      <c r="E103" t="s">
        <v>33</v>
      </c>
      <c r="F103" t="s">
        <v>28</v>
      </c>
      <c r="G103">
        <v>125</v>
      </c>
      <c r="I103" t="s">
        <v>44</v>
      </c>
      <c r="K103" s="1">
        <f t="shared" si="8"/>
        <v>45875</v>
      </c>
      <c r="L103" s="3" t="str">
        <f t="shared" si="9"/>
        <v/>
      </c>
      <c r="M103" s="3">
        <f t="shared" si="10"/>
        <v>2.0833333333333335</v>
      </c>
      <c r="N103" t="str">
        <f t="shared" si="11"/>
        <v>Open</v>
      </c>
      <c r="O103" t="str">
        <f t="shared" si="15"/>
        <v>No Rating</v>
      </c>
      <c r="P103" t="str">
        <f t="shared" si="12"/>
        <v>Unresolved</v>
      </c>
      <c r="Q103" s="2" t="str">
        <f t="shared" si="13"/>
        <v>Aug-2025</v>
      </c>
      <c r="R103" s="2">
        <f t="shared" si="14"/>
        <v>45870</v>
      </c>
    </row>
    <row r="104" spans="1:18">
      <c r="A104" t="s">
        <v>236</v>
      </c>
      <c r="B104" s="2" t="s">
        <v>237</v>
      </c>
      <c r="C104">
        <v>1734</v>
      </c>
      <c r="D104" t="s">
        <v>26</v>
      </c>
      <c r="E104" t="s">
        <v>13</v>
      </c>
      <c r="F104" t="s">
        <v>64</v>
      </c>
      <c r="G104">
        <v>3</v>
      </c>
      <c r="H104">
        <v>143</v>
      </c>
      <c r="I104" t="s">
        <v>15</v>
      </c>
      <c r="K104" s="1">
        <f t="shared" si="8"/>
        <v>45876</v>
      </c>
      <c r="L104" s="3">
        <f t="shared" si="9"/>
        <v>2.3833333333333333</v>
      </c>
      <c r="M104" s="3">
        <f t="shared" si="10"/>
        <v>0.05</v>
      </c>
      <c r="N104" t="str">
        <f t="shared" si="11"/>
        <v>Within SLA</v>
      </c>
      <c r="O104" t="str">
        <f t="shared" si="15"/>
        <v>No Rating</v>
      </c>
      <c r="P104" t="str">
        <f t="shared" si="12"/>
        <v>Resolved</v>
      </c>
      <c r="Q104" s="2" t="str">
        <f t="shared" si="13"/>
        <v>Aug-2025</v>
      </c>
      <c r="R104" s="2">
        <f t="shared" si="14"/>
        <v>45870</v>
      </c>
    </row>
    <row r="105" spans="1:18">
      <c r="A105" t="s">
        <v>238</v>
      </c>
      <c r="B105" s="2" t="s">
        <v>239</v>
      </c>
      <c r="C105">
        <v>1716</v>
      </c>
      <c r="D105" t="s">
        <v>18</v>
      </c>
      <c r="E105" t="s">
        <v>27</v>
      </c>
      <c r="F105" t="s">
        <v>54</v>
      </c>
      <c r="G105">
        <v>125</v>
      </c>
      <c r="H105">
        <v>1101</v>
      </c>
      <c r="I105" t="s">
        <v>15</v>
      </c>
      <c r="J105">
        <v>1</v>
      </c>
      <c r="K105" s="1">
        <f t="shared" si="8"/>
        <v>45876</v>
      </c>
      <c r="L105" s="3">
        <f t="shared" si="9"/>
        <v>18.350000000000001</v>
      </c>
      <c r="M105" s="3">
        <f t="shared" si="10"/>
        <v>2.0833333333333335</v>
      </c>
      <c r="N105" t="str">
        <f t="shared" si="11"/>
        <v>Within SLA</v>
      </c>
      <c r="O105" t="str">
        <f t="shared" si="15"/>
        <v>Dissatisfied</v>
      </c>
      <c r="P105" t="str">
        <f t="shared" si="12"/>
        <v>Resolved</v>
      </c>
      <c r="Q105" s="2" t="str">
        <f t="shared" si="13"/>
        <v>Aug-2025</v>
      </c>
      <c r="R105" s="2">
        <f t="shared" si="14"/>
        <v>45870</v>
      </c>
    </row>
    <row r="106" spans="1:18">
      <c r="A106" t="s">
        <v>240</v>
      </c>
      <c r="B106" s="2" t="s">
        <v>241</v>
      </c>
      <c r="C106">
        <v>1559</v>
      </c>
      <c r="D106" t="s">
        <v>26</v>
      </c>
      <c r="E106" t="s">
        <v>13</v>
      </c>
      <c r="F106" t="s">
        <v>54</v>
      </c>
      <c r="G106">
        <v>2</v>
      </c>
      <c r="I106" t="s">
        <v>44</v>
      </c>
      <c r="K106" s="1">
        <f t="shared" si="8"/>
        <v>45876</v>
      </c>
      <c r="L106" s="3" t="str">
        <f t="shared" si="9"/>
        <v/>
      </c>
      <c r="M106" s="3">
        <f t="shared" si="10"/>
        <v>3.3333333333333333E-2</v>
      </c>
      <c r="N106" t="str">
        <f t="shared" si="11"/>
        <v>Open</v>
      </c>
      <c r="O106" t="str">
        <f t="shared" si="15"/>
        <v>No Rating</v>
      </c>
      <c r="P106" t="str">
        <f t="shared" si="12"/>
        <v>Unresolved</v>
      </c>
      <c r="Q106" s="2" t="str">
        <f t="shared" si="13"/>
        <v>Aug-2025</v>
      </c>
      <c r="R106" s="2">
        <f t="shared" si="14"/>
        <v>45870</v>
      </c>
    </row>
    <row r="107" spans="1:18">
      <c r="A107" t="s">
        <v>242</v>
      </c>
      <c r="B107" s="2" t="s">
        <v>243</v>
      </c>
      <c r="C107">
        <v>1997</v>
      </c>
      <c r="D107" t="s">
        <v>12</v>
      </c>
      <c r="E107" t="s">
        <v>33</v>
      </c>
      <c r="F107" t="s">
        <v>64</v>
      </c>
      <c r="G107">
        <v>116</v>
      </c>
      <c r="I107" t="s">
        <v>29</v>
      </c>
      <c r="K107" s="1">
        <f t="shared" si="8"/>
        <v>45877</v>
      </c>
      <c r="L107" s="3" t="str">
        <f t="shared" si="9"/>
        <v/>
      </c>
      <c r="M107" s="3">
        <f t="shared" si="10"/>
        <v>1.9333333333333333</v>
      </c>
      <c r="N107" t="str">
        <f t="shared" si="11"/>
        <v>Open</v>
      </c>
      <c r="O107" t="str">
        <f t="shared" si="15"/>
        <v>No Rating</v>
      </c>
      <c r="P107" t="str">
        <f t="shared" si="12"/>
        <v>Unresolved</v>
      </c>
      <c r="Q107" s="2" t="str">
        <f t="shared" si="13"/>
        <v>Aug-2025</v>
      </c>
      <c r="R107" s="2">
        <f t="shared" si="14"/>
        <v>45870</v>
      </c>
    </row>
    <row r="108" spans="1:18">
      <c r="A108" t="s">
        <v>244</v>
      </c>
      <c r="B108" s="2" t="s">
        <v>245</v>
      </c>
      <c r="C108">
        <v>1783</v>
      </c>
      <c r="D108" t="s">
        <v>26</v>
      </c>
      <c r="E108" t="s">
        <v>27</v>
      </c>
      <c r="F108" t="s">
        <v>43</v>
      </c>
      <c r="G108">
        <v>29</v>
      </c>
      <c r="H108">
        <v>1884</v>
      </c>
      <c r="I108" t="s">
        <v>15</v>
      </c>
      <c r="K108" s="1">
        <f t="shared" si="8"/>
        <v>45877</v>
      </c>
      <c r="L108" s="3">
        <f t="shared" si="9"/>
        <v>31.4</v>
      </c>
      <c r="M108" s="3">
        <f t="shared" si="10"/>
        <v>0.48333333333333334</v>
      </c>
      <c r="N108" t="str">
        <f t="shared" si="11"/>
        <v>Within SLA</v>
      </c>
      <c r="O108" t="str">
        <f t="shared" si="15"/>
        <v>No Rating</v>
      </c>
      <c r="P108" t="str">
        <f t="shared" si="12"/>
        <v>Resolved</v>
      </c>
      <c r="Q108" s="2" t="str">
        <f t="shared" si="13"/>
        <v>Aug-2025</v>
      </c>
      <c r="R108" s="2">
        <f t="shared" si="14"/>
        <v>45870</v>
      </c>
    </row>
    <row r="109" spans="1:18">
      <c r="A109" t="s">
        <v>246</v>
      </c>
      <c r="B109" s="2" t="s">
        <v>247</v>
      </c>
      <c r="C109">
        <v>1520</v>
      </c>
      <c r="D109" t="s">
        <v>26</v>
      </c>
      <c r="E109" t="s">
        <v>13</v>
      </c>
      <c r="F109" t="s">
        <v>64</v>
      </c>
      <c r="G109">
        <v>11</v>
      </c>
      <c r="H109">
        <v>268</v>
      </c>
      <c r="I109" t="s">
        <v>20</v>
      </c>
      <c r="K109" s="1">
        <f t="shared" si="8"/>
        <v>45878</v>
      </c>
      <c r="L109" s="3">
        <f t="shared" si="9"/>
        <v>4.4666666666666668</v>
      </c>
      <c r="M109" s="3">
        <f t="shared" si="10"/>
        <v>0.18333333333333332</v>
      </c>
      <c r="N109" t="str">
        <f t="shared" si="11"/>
        <v>Within SLA</v>
      </c>
      <c r="O109" t="str">
        <f t="shared" si="15"/>
        <v>No Rating</v>
      </c>
      <c r="P109" t="str">
        <f t="shared" si="12"/>
        <v>Resolved</v>
      </c>
      <c r="Q109" s="2" t="str">
        <f t="shared" si="13"/>
        <v>Aug-2025</v>
      </c>
      <c r="R109" s="2">
        <f t="shared" si="14"/>
        <v>45870</v>
      </c>
    </row>
    <row r="110" spans="1:18">
      <c r="A110" t="s">
        <v>248</v>
      </c>
      <c r="B110" s="2" t="s">
        <v>249</v>
      </c>
      <c r="C110">
        <v>1166</v>
      </c>
      <c r="D110" t="s">
        <v>18</v>
      </c>
      <c r="E110" t="s">
        <v>13</v>
      </c>
      <c r="F110" t="s">
        <v>43</v>
      </c>
      <c r="G110">
        <v>6</v>
      </c>
      <c r="H110">
        <v>234</v>
      </c>
      <c r="I110" t="s">
        <v>15</v>
      </c>
      <c r="K110" s="1">
        <f t="shared" si="8"/>
        <v>45878</v>
      </c>
      <c r="L110" s="3">
        <f t="shared" si="9"/>
        <v>3.9</v>
      </c>
      <c r="M110" s="3">
        <f t="shared" si="10"/>
        <v>0.1</v>
      </c>
      <c r="N110" t="str">
        <f t="shared" si="11"/>
        <v>Within SLA</v>
      </c>
      <c r="O110" t="str">
        <f t="shared" si="15"/>
        <v>No Rating</v>
      </c>
      <c r="P110" t="str">
        <f t="shared" si="12"/>
        <v>Resolved</v>
      </c>
      <c r="Q110" s="2" t="str">
        <f t="shared" si="13"/>
        <v>Aug-2025</v>
      </c>
      <c r="R110" s="2">
        <f t="shared" si="14"/>
        <v>45870</v>
      </c>
    </row>
    <row r="111" spans="1:18">
      <c r="A111" t="s">
        <v>250</v>
      </c>
      <c r="B111" s="2" t="s">
        <v>251</v>
      </c>
      <c r="C111">
        <v>1962</v>
      </c>
      <c r="D111" t="s">
        <v>18</v>
      </c>
      <c r="E111" t="s">
        <v>27</v>
      </c>
      <c r="F111" t="s">
        <v>23</v>
      </c>
      <c r="G111">
        <v>117</v>
      </c>
      <c r="H111">
        <v>1427</v>
      </c>
      <c r="I111" t="s">
        <v>20</v>
      </c>
      <c r="J111">
        <v>5</v>
      </c>
      <c r="K111" s="1">
        <f t="shared" si="8"/>
        <v>45878</v>
      </c>
      <c r="L111" s="3">
        <f t="shared" si="9"/>
        <v>23.783333333333335</v>
      </c>
      <c r="M111" s="3">
        <f t="shared" si="10"/>
        <v>1.95</v>
      </c>
      <c r="N111" t="str">
        <f t="shared" si="11"/>
        <v>Within SLA</v>
      </c>
      <c r="O111" t="str">
        <f t="shared" si="15"/>
        <v>Satisfied</v>
      </c>
      <c r="P111" t="str">
        <f t="shared" si="12"/>
        <v>Resolved</v>
      </c>
      <c r="Q111" s="2" t="str">
        <f t="shared" si="13"/>
        <v>Aug-2025</v>
      </c>
      <c r="R111" s="2">
        <f t="shared" si="14"/>
        <v>45870</v>
      </c>
    </row>
    <row r="112" spans="1:18">
      <c r="A112" t="s">
        <v>252</v>
      </c>
      <c r="B112" s="2" t="s">
        <v>253</v>
      </c>
      <c r="C112">
        <v>1349</v>
      </c>
      <c r="D112" t="s">
        <v>12</v>
      </c>
      <c r="E112" t="s">
        <v>27</v>
      </c>
      <c r="F112" t="s">
        <v>43</v>
      </c>
      <c r="G112">
        <v>44</v>
      </c>
      <c r="H112">
        <v>537</v>
      </c>
      <c r="I112" t="s">
        <v>15</v>
      </c>
      <c r="J112">
        <v>4</v>
      </c>
      <c r="K112" s="1">
        <f t="shared" si="8"/>
        <v>45879</v>
      </c>
      <c r="L112" s="3">
        <f t="shared" si="9"/>
        <v>8.9499999999999993</v>
      </c>
      <c r="M112" s="3">
        <f t="shared" si="10"/>
        <v>0.73333333333333328</v>
      </c>
      <c r="N112" t="str">
        <f t="shared" si="11"/>
        <v>Within SLA</v>
      </c>
      <c r="O112" t="str">
        <f t="shared" si="15"/>
        <v>Satisfied</v>
      </c>
      <c r="P112" t="str">
        <f t="shared" si="12"/>
        <v>Resolved</v>
      </c>
      <c r="Q112" s="2" t="str">
        <f t="shared" si="13"/>
        <v>Aug-2025</v>
      </c>
      <c r="R112" s="2">
        <f t="shared" si="14"/>
        <v>45870</v>
      </c>
    </row>
    <row r="113" spans="1:18">
      <c r="A113" t="s">
        <v>254</v>
      </c>
      <c r="B113" s="2" t="s">
        <v>255</v>
      </c>
      <c r="C113">
        <v>1289</v>
      </c>
      <c r="D113" t="s">
        <v>32</v>
      </c>
      <c r="E113" t="s">
        <v>33</v>
      </c>
      <c r="F113" t="s">
        <v>34</v>
      </c>
      <c r="G113">
        <v>448</v>
      </c>
      <c r="H113">
        <v>6622</v>
      </c>
      <c r="I113" t="s">
        <v>15</v>
      </c>
      <c r="J113">
        <v>2</v>
      </c>
      <c r="K113" s="1">
        <f t="shared" si="8"/>
        <v>45879</v>
      </c>
      <c r="L113" s="3">
        <f t="shared" si="9"/>
        <v>110.36666666666666</v>
      </c>
      <c r="M113" s="3">
        <f t="shared" si="10"/>
        <v>7.4666666666666668</v>
      </c>
      <c r="N113" t="str">
        <f t="shared" si="11"/>
        <v>Breached</v>
      </c>
      <c r="O113" t="str">
        <f t="shared" si="15"/>
        <v>Dissatisfied</v>
      </c>
      <c r="P113" t="str">
        <f t="shared" si="12"/>
        <v>Resolved</v>
      </c>
      <c r="Q113" s="2" t="str">
        <f t="shared" si="13"/>
        <v>Aug-2025</v>
      </c>
      <c r="R113" s="2">
        <f t="shared" si="14"/>
        <v>45870</v>
      </c>
    </row>
    <row r="114" spans="1:18">
      <c r="A114" t="s">
        <v>256</v>
      </c>
      <c r="B114" s="2" t="s">
        <v>257</v>
      </c>
      <c r="C114">
        <v>1175</v>
      </c>
      <c r="D114" t="s">
        <v>18</v>
      </c>
      <c r="E114" t="s">
        <v>27</v>
      </c>
      <c r="F114" t="s">
        <v>54</v>
      </c>
      <c r="G114">
        <v>165</v>
      </c>
      <c r="H114">
        <v>1120</v>
      </c>
      <c r="I114" t="s">
        <v>15</v>
      </c>
      <c r="K114" s="1">
        <f t="shared" si="8"/>
        <v>45879</v>
      </c>
      <c r="L114" s="3">
        <f t="shared" si="9"/>
        <v>18.666666666666668</v>
      </c>
      <c r="M114" s="3">
        <f t="shared" si="10"/>
        <v>2.75</v>
      </c>
      <c r="N114" t="str">
        <f t="shared" si="11"/>
        <v>Within SLA</v>
      </c>
      <c r="O114" t="str">
        <f t="shared" si="15"/>
        <v>No Rating</v>
      </c>
      <c r="P114" t="str">
        <f t="shared" si="12"/>
        <v>Resolved</v>
      </c>
      <c r="Q114" s="2" t="str">
        <f t="shared" si="13"/>
        <v>Aug-2025</v>
      </c>
      <c r="R114" s="2">
        <f t="shared" si="14"/>
        <v>45870</v>
      </c>
    </row>
    <row r="115" spans="1:18">
      <c r="A115" t="s">
        <v>258</v>
      </c>
      <c r="B115" s="2" t="s">
        <v>259</v>
      </c>
      <c r="C115">
        <v>1246</v>
      </c>
      <c r="D115" t="s">
        <v>12</v>
      </c>
      <c r="E115" t="s">
        <v>27</v>
      </c>
      <c r="F115" t="s">
        <v>28</v>
      </c>
      <c r="G115">
        <v>173</v>
      </c>
      <c r="H115">
        <v>2640</v>
      </c>
      <c r="I115" t="s">
        <v>15</v>
      </c>
      <c r="J115">
        <v>1</v>
      </c>
      <c r="K115" s="1">
        <f t="shared" si="8"/>
        <v>45880</v>
      </c>
      <c r="L115" s="3">
        <f t="shared" si="9"/>
        <v>44</v>
      </c>
      <c r="M115" s="3">
        <f t="shared" si="10"/>
        <v>2.8833333333333333</v>
      </c>
      <c r="N115" t="str">
        <f t="shared" si="11"/>
        <v>Within SLA</v>
      </c>
      <c r="O115" t="str">
        <f t="shared" si="15"/>
        <v>Dissatisfied</v>
      </c>
      <c r="P115" t="str">
        <f t="shared" si="12"/>
        <v>Resolved</v>
      </c>
      <c r="Q115" s="2" t="str">
        <f t="shared" si="13"/>
        <v>Aug-2025</v>
      </c>
      <c r="R115" s="2">
        <f t="shared" si="14"/>
        <v>45870</v>
      </c>
    </row>
    <row r="116" spans="1:18">
      <c r="A116" t="s">
        <v>260</v>
      </c>
      <c r="B116" s="2" t="s">
        <v>261</v>
      </c>
      <c r="C116">
        <v>1064</v>
      </c>
      <c r="D116" t="s">
        <v>32</v>
      </c>
      <c r="E116" t="s">
        <v>13</v>
      </c>
      <c r="F116" t="s">
        <v>54</v>
      </c>
      <c r="G116">
        <v>4</v>
      </c>
      <c r="I116" t="s">
        <v>44</v>
      </c>
      <c r="K116" s="1">
        <f t="shared" si="8"/>
        <v>45880</v>
      </c>
      <c r="L116" s="3" t="str">
        <f t="shared" si="9"/>
        <v/>
      </c>
      <c r="M116" s="3">
        <f t="shared" si="10"/>
        <v>6.6666666666666666E-2</v>
      </c>
      <c r="N116" t="str">
        <f t="shared" si="11"/>
        <v>Open</v>
      </c>
      <c r="O116" t="str">
        <f t="shared" si="15"/>
        <v>No Rating</v>
      </c>
      <c r="P116" t="str">
        <f t="shared" si="12"/>
        <v>Unresolved</v>
      </c>
      <c r="Q116" s="2" t="str">
        <f t="shared" si="13"/>
        <v>Aug-2025</v>
      </c>
      <c r="R116" s="2">
        <f t="shared" si="14"/>
        <v>45870</v>
      </c>
    </row>
    <row r="117" spans="1:18">
      <c r="A117" t="s">
        <v>262</v>
      </c>
      <c r="B117" s="2" t="s">
        <v>263</v>
      </c>
      <c r="C117">
        <v>1545</v>
      </c>
      <c r="D117" t="s">
        <v>18</v>
      </c>
      <c r="E117" t="s">
        <v>27</v>
      </c>
      <c r="F117" t="s">
        <v>59</v>
      </c>
      <c r="G117">
        <v>52</v>
      </c>
      <c r="H117">
        <v>2361</v>
      </c>
      <c r="I117" t="s">
        <v>20</v>
      </c>
      <c r="J117">
        <v>3</v>
      </c>
      <c r="K117" s="1">
        <f t="shared" si="8"/>
        <v>45880</v>
      </c>
      <c r="L117" s="3">
        <f t="shared" si="9"/>
        <v>39.35</v>
      </c>
      <c r="M117" s="3">
        <f t="shared" si="10"/>
        <v>0.8666666666666667</v>
      </c>
      <c r="N117" t="str">
        <f t="shared" si="11"/>
        <v>Within SLA</v>
      </c>
      <c r="O117" t="str">
        <f t="shared" si="15"/>
        <v>Neutral</v>
      </c>
      <c r="P117" t="str">
        <f t="shared" si="12"/>
        <v>Resolved</v>
      </c>
      <c r="Q117" s="2" t="str">
        <f t="shared" si="13"/>
        <v>Aug-2025</v>
      </c>
      <c r="R117" s="2">
        <f t="shared" si="14"/>
        <v>45870</v>
      </c>
    </row>
    <row r="118" spans="1:18">
      <c r="A118" t="s">
        <v>264</v>
      </c>
      <c r="B118" s="2" t="s">
        <v>265</v>
      </c>
      <c r="C118">
        <v>1775</v>
      </c>
      <c r="D118" t="s">
        <v>32</v>
      </c>
      <c r="E118" t="s">
        <v>13</v>
      </c>
      <c r="F118" t="s">
        <v>54</v>
      </c>
      <c r="G118">
        <v>9</v>
      </c>
      <c r="H118">
        <v>428</v>
      </c>
      <c r="I118" t="s">
        <v>15</v>
      </c>
      <c r="J118">
        <v>3</v>
      </c>
      <c r="K118" s="1">
        <f t="shared" si="8"/>
        <v>45881</v>
      </c>
      <c r="L118" s="3">
        <f t="shared" si="9"/>
        <v>7.1333333333333337</v>
      </c>
      <c r="M118" s="3">
        <f t="shared" si="10"/>
        <v>0.15</v>
      </c>
      <c r="N118" t="str">
        <f t="shared" si="11"/>
        <v>Within SLA</v>
      </c>
      <c r="O118" t="str">
        <f t="shared" si="15"/>
        <v>Neutral</v>
      </c>
      <c r="P118" t="str">
        <f t="shared" si="12"/>
        <v>Resolved</v>
      </c>
      <c r="Q118" s="2" t="str">
        <f t="shared" si="13"/>
        <v>Aug-2025</v>
      </c>
      <c r="R118" s="2">
        <f t="shared" si="14"/>
        <v>45870</v>
      </c>
    </row>
    <row r="119" spans="1:18">
      <c r="A119" t="s">
        <v>266</v>
      </c>
      <c r="B119" s="2" t="s">
        <v>267</v>
      </c>
      <c r="C119">
        <v>1188</v>
      </c>
      <c r="D119" t="s">
        <v>26</v>
      </c>
      <c r="E119" t="s">
        <v>27</v>
      </c>
      <c r="F119" t="s">
        <v>34</v>
      </c>
      <c r="G119">
        <v>163</v>
      </c>
      <c r="H119">
        <v>3541</v>
      </c>
      <c r="I119" t="s">
        <v>15</v>
      </c>
      <c r="J119">
        <v>3</v>
      </c>
      <c r="K119" s="1">
        <f t="shared" si="8"/>
        <v>45881</v>
      </c>
      <c r="L119" s="3">
        <f t="shared" si="9"/>
        <v>59.016666666666666</v>
      </c>
      <c r="M119" s="3">
        <f t="shared" si="10"/>
        <v>2.7166666666666668</v>
      </c>
      <c r="N119" t="str">
        <f t="shared" si="11"/>
        <v>Breached</v>
      </c>
      <c r="O119" t="str">
        <f t="shared" si="15"/>
        <v>Neutral</v>
      </c>
      <c r="P119" t="str">
        <f t="shared" si="12"/>
        <v>Resolved</v>
      </c>
      <c r="Q119" s="2" t="str">
        <f t="shared" si="13"/>
        <v>Aug-2025</v>
      </c>
      <c r="R119" s="2">
        <f t="shared" si="14"/>
        <v>45870</v>
      </c>
    </row>
    <row r="120" spans="1:18">
      <c r="A120" t="s">
        <v>268</v>
      </c>
      <c r="B120" s="2" t="s">
        <v>269</v>
      </c>
      <c r="C120">
        <v>1703</v>
      </c>
      <c r="D120" t="s">
        <v>18</v>
      </c>
      <c r="E120" t="s">
        <v>33</v>
      </c>
      <c r="F120" t="s">
        <v>28</v>
      </c>
      <c r="G120">
        <v>352</v>
      </c>
      <c r="H120">
        <v>8671</v>
      </c>
      <c r="I120" t="s">
        <v>15</v>
      </c>
      <c r="J120">
        <v>1</v>
      </c>
      <c r="K120" s="1">
        <f t="shared" si="8"/>
        <v>45882</v>
      </c>
      <c r="L120" s="3">
        <f t="shared" si="9"/>
        <v>144.51666666666668</v>
      </c>
      <c r="M120" s="3">
        <f t="shared" si="10"/>
        <v>5.8666666666666663</v>
      </c>
      <c r="N120" t="str">
        <f t="shared" si="11"/>
        <v>Breached</v>
      </c>
      <c r="O120" t="str">
        <f t="shared" si="15"/>
        <v>Dissatisfied</v>
      </c>
      <c r="P120" t="str">
        <f t="shared" si="12"/>
        <v>Resolved</v>
      </c>
      <c r="Q120" s="2" t="str">
        <f t="shared" si="13"/>
        <v>Aug-2025</v>
      </c>
      <c r="R120" s="2">
        <f t="shared" si="14"/>
        <v>45870</v>
      </c>
    </row>
    <row r="121" spans="1:18">
      <c r="A121" t="s">
        <v>270</v>
      </c>
      <c r="B121" s="2" t="s">
        <v>271</v>
      </c>
      <c r="C121">
        <v>1163</v>
      </c>
      <c r="D121" t="s">
        <v>26</v>
      </c>
      <c r="E121" t="s">
        <v>19</v>
      </c>
      <c r="F121" t="s">
        <v>54</v>
      </c>
      <c r="G121">
        <v>42</v>
      </c>
      <c r="H121">
        <v>520</v>
      </c>
      <c r="I121" t="s">
        <v>15</v>
      </c>
      <c r="J121">
        <v>5</v>
      </c>
      <c r="K121" s="1">
        <f t="shared" si="8"/>
        <v>45882</v>
      </c>
      <c r="L121" s="3">
        <f t="shared" si="9"/>
        <v>8.6666666666666661</v>
      </c>
      <c r="M121" s="3">
        <f t="shared" si="10"/>
        <v>0.7</v>
      </c>
      <c r="N121" t="str">
        <f t="shared" si="11"/>
        <v>Within SLA</v>
      </c>
      <c r="O121" t="str">
        <f t="shared" si="15"/>
        <v>Satisfied</v>
      </c>
      <c r="P121" t="str">
        <f t="shared" si="12"/>
        <v>Resolved</v>
      </c>
      <c r="Q121" s="2" t="str">
        <f t="shared" si="13"/>
        <v>Aug-2025</v>
      </c>
      <c r="R121" s="2">
        <f t="shared" si="14"/>
        <v>45870</v>
      </c>
    </row>
    <row r="122" spans="1:18">
      <c r="A122" t="s">
        <v>272</v>
      </c>
      <c r="B122" s="2" t="s">
        <v>273</v>
      </c>
      <c r="C122">
        <v>1301</v>
      </c>
      <c r="D122" t="s">
        <v>32</v>
      </c>
      <c r="E122" t="s">
        <v>19</v>
      </c>
      <c r="F122" t="s">
        <v>64</v>
      </c>
      <c r="G122">
        <v>21</v>
      </c>
      <c r="H122">
        <v>719</v>
      </c>
      <c r="I122" t="s">
        <v>15</v>
      </c>
      <c r="J122">
        <v>3</v>
      </c>
      <c r="K122" s="1">
        <f t="shared" si="8"/>
        <v>45882</v>
      </c>
      <c r="L122" s="3">
        <f t="shared" si="9"/>
        <v>11.983333333333333</v>
      </c>
      <c r="M122" s="3">
        <f t="shared" si="10"/>
        <v>0.35</v>
      </c>
      <c r="N122" t="str">
        <f t="shared" si="11"/>
        <v>Within SLA</v>
      </c>
      <c r="O122" t="str">
        <f t="shared" si="15"/>
        <v>Neutral</v>
      </c>
      <c r="P122" t="str">
        <f t="shared" si="12"/>
        <v>Resolved</v>
      </c>
      <c r="Q122" s="2" t="str">
        <f t="shared" si="13"/>
        <v>Aug-2025</v>
      </c>
      <c r="R122" s="2">
        <f t="shared" si="14"/>
        <v>45870</v>
      </c>
    </row>
    <row r="123" spans="1:18">
      <c r="A123" t="s">
        <v>274</v>
      </c>
      <c r="B123" s="2" t="s">
        <v>275</v>
      </c>
      <c r="C123">
        <v>1131</v>
      </c>
      <c r="D123" t="s">
        <v>32</v>
      </c>
      <c r="E123" t="s">
        <v>27</v>
      </c>
      <c r="F123" t="s">
        <v>28</v>
      </c>
      <c r="G123">
        <v>43</v>
      </c>
      <c r="H123">
        <v>2951</v>
      </c>
      <c r="I123" t="s">
        <v>15</v>
      </c>
      <c r="J123">
        <v>1</v>
      </c>
      <c r="K123" s="1">
        <f t="shared" si="8"/>
        <v>45883</v>
      </c>
      <c r="L123" s="3">
        <f t="shared" si="9"/>
        <v>49.18333333333333</v>
      </c>
      <c r="M123" s="3">
        <f t="shared" si="10"/>
        <v>0.71666666666666667</v>
      </c>
      <c r="N123" t="str">
        <f t="shared" si="11"/>
        <v>Breached</v>
      </c>
      <c r="O123" t="str">
        <f t="shared" si="15"/>
        <v>Dissatisfied</v>
      </c>
      <c r="P123" t="str">
        <f t="shared" si="12"/>
        <v>Resolved</v>
      </c>
      <c r="Q123" s="2" t="str">
        <f t="shared" si="13"/>
        <v>Aug-2025</v>
      </c>
      <c r="R123" s="2">
        <f t="shared" si="14"/>
        <v>45870</v>
      </c>
    </row>
    <row r="124" spans="1:18">
      <c r="A124" t="s">
        <v>276</v>
      </c>
      <c r="B124" s="2" t="s">
        <v>277</v>
      </c>
      <c r="C124">
        <v>1499</v>
      </c>
      <c r="D124" t="s">
        <v>18</v>
      </c>
      <c r="E124" t="s">
        <v>33</v>
      </c>
      <c r="F124" t="s">
        <v>23</v>
      </c>
      <c r="G124">
        <v>474</v>
      </c>
      <c r="H124">
        <v>7762</v>
      </c>
      <c r="I124" t="s">
        <v>20</v>
      </c>
      <c r="J124">
        <v>4</v>
      </c>
      <c r="K124" s="1">
        <f t="shared" si="8"/>
        <v>45883</v>
      </c>
      <c r="L124" s="3">
        <f t="shared" si="9"/>
        <v>129.36666666666667</v>
      </c>
      <c r="M124" s="3">
        <f t="shared" si="10"/>
        <v>7.9</v>
      </c>
      <c r="N124" t="str">
        <f t="shared" si="11"/>
        <v>Breached</v>
      </c>
      <c r="O124" t="str">
        <f t="shared" si="15"/>
        <v>Satisfied</v>
      </c>
      <c r="P124" t="str">
        <f t="shared" si="12"/>
        <v>Resolved</v>
      </c>
      <c r="Q124" s="2" t="str">
        <f t="shared" si="13"/>
        <v>Aug-2025</v>
      </c>
      <c r="R124" s="2">
        <f t="shared" si="14"/>
        <v>45870</v>
      </c>
    </row>
    <row r="125" spans="1:18">
      <c r="A125" t="s">
        <v>278</v>
      </c>
      <c r="B125" s="2" t="s">
        <v>279</v>
      </c>
      <c r="C125">
        <v>1990</v>
      </c>
      <c r="D125" t="s">
        <v>26</v>
      </c>
      <c r="E125" t="s">
        <v>13</v>
      </c>
      <c r="F125" t="s">
        <v>34</v>
      </c>
      <c r="G125">
        <v>3</v>
      </c>
      <c r="H125">
        <v>407</v>
      </c>
      <c r="I125" t="s">
        <v>15</v>
      </c>
      <c r="J125">
        <v>4</v>
      </c>
      <c r="K125" s="1">
        <f t="shared" si="8"/>
        <v>45883</v>
      </c>
      <c r="L125" s="3">
        <f t="shared" si="9"/>
        <v>6.7833333333333332</v>
      </c>
      <c r="M125" s="3">
        <f t="shared" si="10"/>
        <v>0.05</v>
      </c>
      <c r="N125" t="str">
        <f t="shared" si="11"/>
        <v>Within SLA</v>
      </c>
      <c r="O125" t="str">
        <f t="shared" si="15"/>
        <v>Satisfied</v>
      </c>
      <c r="P125" t="str">
        <f t="shared" si="12"/>
        <v>Resolved</v>
      </c>
      <c r="Q125" s="2" t="str">
        <f t="shared" si="13"/>
        <v>Aug-2025</v>
      </c>
      <c r="R125" s="2">
        <f t="shared" si="14"/>
        <v>45870</v>
      </c>
    </row>
    <row r="126" spans="1:18">
      <c r="A126" t="s">
        <v>280</v>
      </c>
      <c r="B126" s="2" t="s">
        <v>281</v>
      </c>
      <c r="C126">
        <v>1235</v>
      </c>
      <c r="D126" t="s">
        <v>12</v>
      </c>
      <c r="E126" t="s">
        <v>13</v>
      </c>
      <c r="F126" t="s">
        <v>59</v>
      </c>
      <c r="G126">
        <v>11</v>
      </c>
      <c r="I126" t="s">
        <v>44</v>
      </c>
      <c r="K126" s="1">
        <f t="shared" si="8"/>
        <v>45884</v>
      </c>
      <c r="L126" s="3" t="str">
        <f t="shared" si="9"/>
        <v/>
      </c>
      <c r="M126" s="3">
        <f t="shared" si="10"/>
        <v>0.18333333333333332</v>
      </c>
      <c r="N126" t="str">
        <f t="shared" si="11"/>
        <v>Open</v>
      </c>
      <c r="O126" t="str">
        <f t="shared" si="15"/>
        <v>No Rating</v>
      </c>
      <c r="P126" t="str">
        <f t="shared" si="12"/>
        <v>Unresolved</v>
      </c>
      <c r="Q126" s="2" t="str">
        <f t="shared" si="13"/>
        <v>Aug-2025</v>
      </c>
      <c r="R126" s="2">
        <f t="shared" si="14"/>
        <v>45870</v>
      </c>
    </row>
    <row r="127" spans="1:18">
      <c r="A127" t="s">
        <v>282</v>
      </c>
      <c r="B127" s="2" t="s">
        <v>283</v>
      </c>
      <c r="C127">
        <v>1898</v>
      </c>
      <c r="D127" t="s">
        <v>18</v>
      </c>
      <c r="E127" t="s">
        <v>33</v>
      </c>
      <c r="F127" t="s">
        <v>54</v>
      </c>
      <c r="G127">
        <v>132</v>
      </c>
      <c r="H127">
        <v>5609</v>
      </c>
      <c r="I127" t="s">
        <v>15</v>
      </c>
      <c r="J127">
        <v>5</v>
      </c>
      <c r="K127" s="1">
        <f t="shared" si="8"/>
        <v>45884</v>
      </c>
      <c r="L127" s="3">
        <f t="shared" si="9"/>
        <v>93.483333333333334</v>
      </c>
      <c r="M127" s="3">
        <f t="shared" si="10"/>
        <v>2.2000000000000002</v>
      </c>
      <c r="N127" t="str">
        <f t="shared" si="11"/>
        <v>Breached</v>
      </c>
      <c r="O127" t="str">
        <f t="shared" si="15"/>
        <v>Satisfied</v>
      </c>
      <c r="P127" t="str">
        <f t="shared" si="12"/>
        <v>Resolved</v>
      </c>
      <c r="Q127" s="2" t="str">
        <f t="shared" si="13"/>
        <v>Aug-2025</v>
      </c>
      <c r="R127" s="2">
        <f t="shared" si="14"/>
        <v>45870</v>
      </c>
    </row>
    <row r="128" spans="1:18">
      <c r="A128" t="s">
        <v>284</v>
      </c>
      <c r="B128" s="2" t="s">
        <v>285</v>
      </c>
      <c r="C128">
        <v>1843</v>
      </c>
      <c r="D128" t="s">
        <v>26</v>
      </c>
      <c r="E128" t="s">
        <v>19</v>
      </c>
      <c r="F128" t="s">
        <v>54</v>
      </c>
      <c r="G128">
        <v>44</v>
      </c>
      <c r="H128">
        <v>690</v>
      </c>
      <c r="I128" t="s">
        <v>15</v>
      </c>
      <c r="J128">
        <v>3</v>
      </c>
      <c r="K128" s="1">
        <f t="shared" si="8"/>
        <v>45884</v>
      </c>
      <c r="L128" s="3">
        <f t="shared" si="9"/>
        <v>11.5</v>
      </c>
      <c r="M128" s="3">
        <f t="shared" si="10"/>
        <v>0.73333333333333328</v>
      </c>
      <c r="N128" t="str">
        <f t="shared" si="11"/>
        <v>Within SLA</v>
      </c>
      <c r="O128" t="str">
        <f t="shared" si="15"/>
        <v>Neutral</v>
      </c>
      <c r="P128" t="str">
        <f t="shared" si="12"/>
        <v>Resolved</v>
      </c>
      <c r="Q128" s="2" t="str">
        <f t="shared" si="13"/>
        <v>Aug-2025</v>
      </c>
      <c r="R128" s="2">
        <f t="shared" si="14"/>
        <v>45870</v>
      </c>
    </row>
    <row r="129" spans="1:18">
      <c r="A129" t="s">
        <v>286</v>
      </c>
      <c r="B129" s="2" t="s">
        <v>287</v>
      </c>
      <c r="C129">
        <v>1876</v>
      </c>
      <c r="D129" t="s">
        <v>12</v>
      </c>
      <c r="E129" t="s">
        <v>13</v>
      </c>
      <c r="F129" t="s">
        <v>23</v>
      </c>
      <c r="G129">
        <v>7</v>
      </c>
      <c r="H129">
        <v>83</v>
      </c>
      <c r="I129" t="s">
        <v>15</v>
      </c>
      <c r="K129" s="1">
        <f t="shared" si="8"/>
        <v>45885</v>
      </c>
      <c r="L129" s="3">
        <f t="shared" si="9"/>
        <v>1.3833333333333333</v>
      </c>
      <c r="M129" s="3">
        <f t="shared" si="10"/>
        <v>0.11666666666666667</v>
      </c>
      <c r="N129" t="str">
        <f t="shared" si="11"/>
        <v>Within SLA</v>
      </c>
      <c r="O129" t="str">
        <f t="shared" si="15"/>
        <v>No Rating</v>
      </c>
      <c r="P129" t="str">
        <f t="shared" si="12"/>
        <v>Resolved</v>
      </c>
      <c r="Q129" s="2" t="str">
        <f t="shared" si="13"/>
        <v>Aug-2025</v>
      </c>
      <c r="R129" s="2">
        <f t="shared" si="14"/>
        <v>45870</v>
      </c>
    </row>
    <row r="130" spans="1:18">
      <c r="A130" t="s">
        <v>288</v>
      </c>
      <c r="B130" s="2" t="s">
        <v>289</v>
      </c>
      <c r="C130">
        <v>1172</v>
      </c>
      <c r="D130" t="s">
        <v>18</v>
      </c>
      <c r="E130" t="s">
        <v>13</v>
      </c>
      <c r="F130" t="s">
        <v>59</v>
      </c>
      <c r="G130">
        <v>6</v>
      </c>
      <c r="H130">
        <v>167</v>
      </c>
      <c r="I130" t="s">
        <v>15</v>
      </c>
      <c r="J130">
        <v>1</v>
      </c>
      <c r="K130" s="1">
        <f t="shared" si="8"/>
        <v>45885</v>
      </c>
      <c r="L130" s="3">
        <f t="shared" si="9"/>
        <v>2.7833333333333332</v>
      </c>
      <c r="M130" s="3">
        <f t="shared" si="10"/>
        <v>0.1</v>
      </c>
      <c r="N130" t="str">
        <f t="shared" si="11"/>
        <v>Within SLA</v>
      </c>
      <c r="O130" t="str">
        <f t="shared" si="15"/>
        <v>Dissatisfied</v>
      </c>
      <c r="P130" t="str">
        <f t="shared" si="12"/>
        <v>Resolved</v>
      </c>
      <c r="Q130" s="2" t="str">
        <f t="shared" si="13"/>
        <v>Aug-2025</v>
      </c>
      <c r="R130" s="2">
        <f t="shared" si="14"/>
        <v>45870</v>
      </c>
    </row>
    <row r="131" spans="1:18">
      <c r="A131" t="s">
        <v>290</v>
      </c>
      <c r="B131" s="2" t="s">
        <v>291</v>
      </c>
      <c r="C131">
        <v>1620</v>
      </c>
      <c r="D131" t="s">
        <v>12</v>
      </c>
      <c r="E131" t="s">
        <v>13</v>
      </c>
      <c r="F131" t="s">
        <v>23</v>
      </c>
      <c r="G131">
        <v>7</v>
      </c>
      <c r="H131">
        <v>74</v>
      </c>
      <c r="I131" t="s">
        <v>20</v>
      </c>
      <c r="J131">
        <v>1</v>
      </c>
      <c r="K131" s="1">
        <f t="shared" ref="K131:K194" si="16">IF(B131="","",DATEVALUE(LEFT(B131,10)))</f>
        <v>45886</v>
      </c>
      <c r="L131" s="3">
        <f t="shared" ref="L131:L194" si="17">IF(H131="","",H131/60)</f>
        <v>1.2333333333333334</v>
      </c>
      <c r="M131" s="3">
        <f t="shared" ref="M131:M194" si="18">IF(G131="","",G131/60)</f>
        <v>0.11666666666666667</v>
      </c>
      <c r="N131" t="str">
        <f t="shared" ref="N131:N194" si="19">IF(L131="","Open",IF(L131&lt;=IF(E131="Urgent",8,IF(E131="High",24,IF(E131="Normal",48,72))),"Within SLA","Breached"))</f>
        <v>Within SLA</v>
      </c>
      <c r="O131" t="str">
        <f t="shared" si="15"/>
        <v>Dissatisfied</v>
      </c>
      <c r="P131" t="str">
        <f t="shared" ref="P131:P194" si="20">IF(I131="Closed","Resolved",IF(I131="Resolved","Resolved","Unresolved"))</f>
        <v>Resolved</v>
      </c>
      <c r="Q131" s="2" t="str">
        <f t="shared" ref="Q131:Q194" si="21">IF(K131="","",TEXT(K131,"mmm-yyyy"))</f>
        <v>Aug-2025</v>
      </c>
      <c r="R131" s="2">
        <f t="shared" ref="R131:R194" si="22">IF(K131="","",DATE(YEAR(K131),MONTH(K131),1))</f>
        <v>45870</v>
      </c>
    </row>
    <row r="132" spans="1:18">
      <c r="A132" t="s">
        <v>292</v>
      </c>
      <c r="B132" s="2" t="s">
        <v>293</v>
      </c>
      <c r="C132">
        <v>1963</v>
      </c>
      <c r="D132" t="s">
        <v>12</v>
      </c>
      <c r="E132" t="s">
        <v>19</v>
      </c>
      <c r="F132" t="s">
        <v>43</v>
      </c>
      <c r="G132">
        <v>21</v>
      </c>
      <c r="H132">
        <v>209</v>
      </c>
      <c r="I132" t="s">
        <v>15</v>
      </c>
      <c r="J132">
        <v>1</v>
      </c>
      <c r="K132" s="1">
        <f t="shared" si="16"/>
        <v>45886</v>
      </c>
      <c r="L132" s="3">
        <f t="shared" si="17"/>
        <v>3.4833333333333334</v>
      </c>
      <c r="M132" s="3">
        <f t="shared" si="18"/>
        <v>0.35</v>
      </c>
      <c r="N132" t="str">
        <f t="shared" si="19"/>
        <v>Within SLA</v>
      </c>
      <c r="O132" t="str">
        <f t="shared" ref="O132:O195" si="23">IF(J132="","No Rating",IF(J132&gt;=4,"Satisfied",IF(J132=3,"Neutral","Dissatisfied")))</f>
        <v>Dissatisfied</v>
      </c>
      <c r="P132" t="str">
        <f t="shared" si="20"/>
        <v>Resolved</v>
      </c>
      <c r="Q132" s="2" t="str">
        <f t="shared" si="21"/>
        <v>Aug-2025</v>
      </c>
      <c r="R132" s="2">
        <f t="shared" si="22"/>
        <v>45870</v>
      </c>
    </row>
    <row r="133" spans="1:18">
      <c r="A133" t="s">
        <v>294</v>
      </c>
      <c r="B133" s="2" t="s">
        <v>295</v>
      </c>
      <c r="C133">
        <v>1178</v>
      </c>
      <c r="D133" t="s">
        <v>32</v>
      </c>
      <c r="E133" t="s">
        <v>33</v>
      </c>
      <c r="F133" t="s">
        <v>43</v>
      </c>
      <c r="G133">
        <v>360</v>
      </c>
      <c r="H133">
        <v>4951</v>
      </c>
      <c r="I133" t="s">
        <v>15</v>
      </c>
      <c r="K133" s="1">
        <f t="shared" si="16"/>
        <v>45886</v>
      </c>
      <c r="L133" s="3">
        <f t="shared" si="17"/>
        <v>82.516666666666666</v>
      </c>
      <c r="M133" s="3">
        <f t="shared" si="18"/>
        <v>6</v>
      </c>
      <c r="N133" t="str">
        <f t="shared" si="19"/>
        <v>Breached</v>
      </c>
      <c r="O133" t="str">
        <f t="shared" si="23"/>
        <v>No Rating</v>
      </c>
      <c r="P133" t="str">
        <f t="shared" si="20"/>
        <v>Resolved</v>
      </c>
      <c r="Q133" s="2" t="str">
        <f t="shared" si="21"/>
        <v>Aug-2025</v>
      </c>
      <c r="R133" s="2">
        <f t="shared" si="22"/>
        <v>45870</v>
      </c>
    </row>
    <row r="134" spans="1:18">
      <c r="A134" t="s">
        <v>296</v>
      </c>
      <c r="B134" s="2" t="s">
        <v>297</v>
      </c>
      <c r="C134">
        <v>1100</v>
      </c>
      <c r="D134" t="s">
        <v>18</v>
      </c>
      <c r="E134" t="s">
        <v>19</v>
      </c>
      <c r="F134" t="s">
        <v>34</v>
      </c>
      <c r="G134">
        <v>26</v>
      </c>
      <c r="H134">
        <v>1110</v>
      </c>
      <c r="I134" t="s">
        <v>15</v>
      </c>
      <c r="K134" s="1">
        <f t="shared" si="16"/>
        <v>45887</v>
      </c>
      <c r="L134" s="3">
        <f t="shared" si="17"/>
        <v>18.5</v>
      </c>
      <c r="M134" s="3">
        <f t="shared" si="18"/>
        <v>0.43333333333333335</v>
      </c>
      <c r="N134" t="str">
        <f t="shared" si="19"/>
        <v>Within SLA</v>
      </c>
      <c r="O134" t="str">
        <f t="shared" si="23"/>
        <v>No Rating</v>
      </c>
      <c r="P134" t="str">
        <f t="shared" si="20"/>
        <v>Resolved</v>
      </c>
      <c r="Q134" s="2" t="str">
        <f t="shared" si="21"/>
        <v>Aug-2025</v>
      </c>
      <c r="R134" s="2">
        <f t="shared" si="22"/>
        <v>45870</v>
      </c>
    </row>
    <row r="135" spans="1:18">
      <c r="A135" t="s">
        <v>298</v>
      </c>
      <c r="B135" s="2" t="s">
        <v>299</v>
      </c>
      <c r="C135">
        <v>1154</v>
      </c>
      <c r="D135" t="s">
        <v>26</v>
      </c>
      <c r="E135" t="s">
        <v>19</v>
      </c>
      <c r="F135" t="s">
        <v>23</v>
      </c>
      <c r="G135">
        <v>17</v>
      </c>
      <c r="H135">
        <v>651</v>
      </c>
      <c r="I135" t="s">
        <v>20</v>
      </c>
      <c r="J135">
        <v>3</v>
      </c>
      <c r="K135" s="1">
        <f t="shared" si="16"/>
        <v>45887</v>
      </c>
      <c r="L135" s="3">
        <f t="shared" si="17"/>
        <v>10.85</v>
      </c>
      <c r="M135" s="3">
        <f t="shared" si="18"/>
        <v>0.28333333333333333</v>
      </c>
      <c r="N135" t="str">
        <f t="shared" si="19"/>
        <v>Within SLA</v>
      </c>
      <c r="O135" t="str">
        <f t="shared" si="23"/>
        <v>Neutral</v>
      </c>
      <c r="P135" t="str">
        <f t="shared" si="20"/>
        <v>Resolved</v>
      </c>
      <c r="Q135" s="2" t="str">
        <f t="shared" si="21"/>
        <v>Aug-2025</v>
      </c>
      <c r="R135" s="2">
        <f t="shared" si="22"/>
        <v>45870</v>
      </c>
    </row>
    <row r="136" spans="1:18">
      <c r="A136" t="s">
        <v>300</v>
      </c>
      <c r="B136" s="2" t="s">
        <v>301</v>
      </c>
      <c r="C136">
        <v>1845</v>
      </c>
      <c r="D136" t="s">
        <v>12</v>
      </c>
      <c r="E136" t="s">
        <v>13</v>
      </c>
      <c r="F136" t="s">
        <v>28</v>
      </c>
      <c r="G136">
        <v>6</v>
      </c>
      <c r="H136">
        <v>207</v>
      </c>
      <c r="I136" t="s">
        <v>20</v>
      </c>
      <c r="J136">
        <v>5</v>
      </c>
      <c r="K136" s="1">
        <f t="shared" si="16"/>
        <v>45887</v>
      </c>
      <c r="L136" s="3">
        <f t="shared" si="17"/>
        <v>3.45</v>
      </c>
      <c r="M136" s="3">
        <f t="shared" si="18"/>
        <v>0.1</v>
      </c>
      <c r="N136" t="str">
        <f t="shared" si="19"/>
        <v>Within SLA</v>
      </c>
      <c r="O136" t="str">
        <f t="shared" si="23"/>
        <v>Satisfied</v>
      </c>
      <c r="P136" t="str">
        <f t="shared" si="20"/>
        <v>Resolved</v>
      </c>
      <c r="Q136" s="2" t="str">
        <f t="shared" si="21"/>
        <v>Aug-2025</v>
      </c>
      <c r="R136" s="2">
        <f t="shared" si="22"/>
        <v>45870</v>
      </c>
    </row>
    <row r="137" spans="1:18">
      <c r="A137" t="s">
        <v>302</v>
      </c>
      <c r="B137" s="2" t="s">
        <v>303</v>
      </c>
      <c r="C137">
        <v>1154</v>
      </c>
      <c r="D137" t="s">
        <v>12</v>
      </c>
      <c r="E137" t="s">
        <v>13</v>
      </c>
      <c r="F137" t="s">
        <v>64</v>
      </c>
      <c r="G137">
        <v>6</v>
      </c>
      <c r="H137">
        <v>230</v>
      </c>
      <c r="I137" t="s">
        <v>15</v>
      </c>
      <c r="K137" s="1">
        <f t="shared" si="16"/>
        <v>45888</v>
      </c>
      <c r="L137" s="3">
        <f t="shared" si="17"/>
        <v>3.8333333333333335</v>
      </c>
      <c r="M137" s="3">
        <f t="shared" si="18"/>
        <v>0.1</v>
      </c>
      <c r="N137" t="str">
        <f t="shared" si="19"/>
        <v>Within SLA</v>
      </c>
      <c r="O137" t="str">
        <f t="shared" si="23"/>
        <v>No Rating</v>
      </c>
      <c r="P137" t="str">
        <f t="shared" si="20"/>
        <v>Resolved</v>
      </c>
      <c r="Q137" s="2" t="str">
        <f t="shared" si="21"/>
        <v>Aug-2025</v>
      </c>
      <c r="R137" s="2">
        <f t="shared" si="22"/>
        <v>45870</v>
      </c>
    </row>
    <row r="138" spans="1:18">
      <c r="A138" t="s">
        <v>304</v>
      </c>
      <c r="B138" s="2" t="s">
        <v>305</v>
      </c>
      <c r="C138">
        <v>1269</v>
      </c>
      <c r="D138" t="s">
        <v>26</v>
      </c>
      <c r="E138" t="s">
        <v>27</v>
      </c>
      <c r="F138" t="s">
        <v>54</v>
      </c>
      <c r="G138">
        <v>88</v>
      </c>
      <c r="H138">
        <v>2568</v>
      </c>
      <c r="I138" t="s">
        <v>15</v>
      </c>
      <c r="K138" s="1">
        <f t="shared" si="16"/>
        <v>45888</v>
      </c>
      <c r="L138" s="3">
        <f t="shared" si="17"/>
        <v>42.8</v>
      </c>
      <c r="M138" s="3">
        <f t="shared" si="18"/>
        <v>1.4666666666666666</v>
      </c>
      <c r="N138" t="str">
        <f t="shared" si="19"/>
        <v>Within SLA</v>
      </c>
      <c r="O138" t="str">
        <f t="shared" si="23"/>
        <v>No Rating</v>
      </c>
      <c r="P138" t="str">
        <f t="shared" si="20"/>
        <v>Resolved</v>
      </c>
      <c r="Q138" s="2" t="str">
        <f t="shared" si="21"/>
        <v>Aug-2025</v>
      </c>
      <c r="R138" s="2">
        <f t="shared" si="22"/>
        <v>45870</v>
      </c>
    </row>
    <row r="139" spans="1:18">
      <c r="A139" t="s">
        <v>306</v>
      </c>
      <c r="B139" s="2" t="s">
        <v>307</v>
      </c>
      <c r="C139">
        <v>1391</v>
      </c>
      <c r="D139" t="s">
        <v>26</v>
      </c>
      <c r="E139" t="s">
        <v>27</v>
      </c>
      <c r="F139" t="s">
        <v>43</v>
      </c>
      <c r="G139">
        <v>35</v>
      </c>
      <c r="I139" t="s">
        <v>44</v>
      </c>
      <c r="K139" s="1">
        <f t="shared" si="16"/>
        <v>45889</v>
      </c>
      <c r="L139" s="3" t="str">
        <f t="shared" si="17"/>
        <v/>
      </c>
      <c r="M139" s="3">
        <f t="shared" si="18"/>
        <v>0.58333333333333337</v>
      </c>
      <c r="N139" t="str">
        <f t="shared" si="19"/>
        <v>Open</v>
      </c>
      <c r="O139" t="str">
        <f t="shared" si="23"/>
        <v>No Rating</v>
      </c>
      <c r="P139" t="str">
        <f t="shared" si="20"/>
        <v>Unresolved</v>
      </c>
      <c r="Q139" s="2" t="str">
        <f t="shared" si="21"/>
        <v>Aug-2025</v>
      </c>
      <c r="R139" s="2">
        <f t="shared" si="22"/>
        <v>45870</v>
      </c>
    </row>
    <row r="140" spans="1:18">
      <c r="A140" t="s">
        <v>308</v>
      </c>
      <c r="B140" s="2" t="s">
        <v>309</v>
      </c>
      <c r="C140">
        <v>1585</v>
      </c>
      <c r="D140" t="s">
        <v>32</v>
      </c>
      <c r="E140" t="s">
        <v>19</v>
      </c>
      <c r="F140" t="s">
        <v>28</v>
      </c>
      <c r="G140">
        <v>38</v>
      </c>
      <c r="H140">
        <v>283</v>
      </c>
      <c r="I140" t="s">
        <v>20</v>
      </c>
      <c r="J140">
        <v>5</v>
      </c>
      <c r="K140" s="1">
        <f t="shared" si="16"/>
        <v>45889</v>
      </c>
      <c r="L140" s="3">
        <f t="shared" si="17"/>
        <v>4.7166666666666668</v>
      </c>
      <c r="M140" s="3">
        <f t="shared" si="18"/>
        <v>0.6333333333333333</v>
      </c>
      <c r="N140" t="str">
        <f t="shared" si="19"/>
        <v>Within SLA</v>
      </c>
      <c r="O140" t="str">
        <f t="shared" si="23"/>
        <v>Satisfied</v>
      </c>
      <c r="P140" t="str">
        <f t="shared" si="20"/>
        <v>Resolved</v>
      </c>
      <c r="Q140" s="2" t="str">
        <f t="shared" si="21"/>
        <v>Aug-2025</v>
      </c>
      <c r="R140" s="2">
        <f t="shared" si="22"/>
        <v>45870</v>
      </c>
    </row>
    <row r="141" spans="1:18">
      <c r="A141" t="s">
        <v>310</v>
      </c>
      <c r="B141" s="2" t="s">
        <v>311</v>
      </c>
      <c r="C141">
        <v>1601</v>
      </c>
      <c r="D141" t="s">
        <v>12</v>
      </c>
      <c r="E141" t="s">
        <v>27</v>
      </c>
      <c r="F141" t="s">
        <v>64</v>
      </c>
      <c r="G141">
        <v>88</v>
      </c>
      <c r="H141">
        <v>448</v>
      </c>
      <c r="I141" t="s">
        <v>15</v>
      </c>
      <c r="J141">
        <v>3</v>
      </c>
      <c r="K141" s="1">
        <f t="shared" si="16"/>
        <v>45889</v>
      </c>
      <c r="L141" s="3">
        <f t="shared" si="17"/>
        <v>7.4666666666666668</v>
      </c>
      <c r="M141" s="3">
        <f t="shared" si="18"/>
        <v>1.4666666666666666</v>
      </c>
      <c r="N141" t="str">
        <f t="shared" si="19"/>
        <v>Within SLA</v>
      </c>
      <c r="O141" t="str">
        <f t="shared" si="23"/>
        <v>Neutral</v>
      </c>
      <c r="P141" t="str">
        <f t="shared" si="20"/>
        <v>Resolved</v>
      </c>
      <c r="Q141" s="2" t="str">
        <f t="shared" si="21"/>
        <v>Aug-2025</v>
      </c>
      <c r="R141" s="2">
        <f t="shared" si="22"/>
        <v>45870</v>
      </c>
    </row>
    <row r="142" spans="1:18">
      <c r="A142" t="s">
        <v>312</v>
      </c>
      <c r="B142" s="2" t="s">
        <v>313</v>
      </c>
      <c r="C142">
        <v>1074</v>
      </c>
      <c r="D142" t="s">
        <v>12</v>
      </c>
      <c r="E142" t="s">
        <v>19</v>
      </c>
      <c r="F142" t="s">
        <v>14</v>
      </c>
      <c r="G142">
        <v>17</v>
      </c>
      <c r="H142">
        <v>142</v>
      </c>
      <c r="I142" t="s">
        <v>20</v>
      </c>
      <c r="K142" s="1">
        <f t="shared" si="16"/>
        <v>45890</v>
      </c>
      <c r="L142" s="3">
        <f t="shared" si="17"/>
        <v>2.3666666666666667</v>
      </c>
      <c r="M142" s="3">
        <f t="shared" si="18"/>
        <v>0.28333333333333333</v>
      </c>
      <c r="N142" t="str">
        <f t="shared" si="19"/>
        <v>Within SLA</v>
      </c>
      <c r="O142" t="str">
        <f t="shared" si="23"/>
        <v>No Rating</v>
      </c>
      <c r="P142" t="str">
        <f t="shared" si="20"/>
        <v>Resolved</v>
      </c>
      <c r="Q142" s="2" t="str">
        <f t="shared" si="21"/>
        <v>Aug-2025</v>
      </c>
      <c r="R142" s="2">
        <f t="shared" si="22"/>
        <v>45870</v>
      </c>
    </row>
    <row r="143" spans="1:18">
      <c r="A143" t="s">
        <v>314</v>
      </c>
      <c r="B143" s="2" t="s">
        <v>315</v>
      </c>
      <c r="C143">
        <v>1105</v>
      </c>
      <c r="D143" t="s">
        <v>18</v>
      </c>
      <c r="E143" t="s">
        <v>27</v>
      </c>
      <c r="F143" t="s">
        <v>71</v>
      </c>
      <c r="G143">
        <v>112</v>
      </c>
      <c r="H143">
        <v>1235</v>
      </c>
      <c r="I143" t="s">
        <v>15</v>
      </c>
      <c r="K143" s="1">
        <f t="shared" si="16"/>
        <v>45890</v>
      </c>
      <c r="L143" s="3">
        <f t="shared" si="17"/>
        <v>20.583333333333332</v>
      </c>
      <c r="M143" s="3">
        <f t="shared" si="18"/>
        <v>1.8666666666666667</v>
      </c>
      <c r="N143" t="str">
        <f t="shared" si="19"/>
        <v>Within SLA</v>
      </c>
      <c r="O143" t="str">
        <f t="shared" si="23"/>
        <v>No Rating</v>
      </c>
      <c r="P143" t="str">
        <f t="shared" si="20"/>
        <v>Resolved</v>
      </c>
      <c r="Q143" s="2" t="str">
        <f t="shared" si="21"/>
        <v>Aug-2025</v>
      </c>
      <c r="R143" s="2">
        <f t="shared" si="22"/>
        <v>45870</v>
      </c>
    </row>
    <row r="144" spans="1:18">
      <c r="A144" t="s">
        <v>316</v>
      </c>
      <c r="B144" s="2" t="s">
        <v>317</v>
      </c>
      <c r="C144">
        <v>1793</v>
      </c>
      <c r="D144" t="s">
        <v>47</v>
      </c>
      <c r="E144" t="s">
        <v>33</v>
      </c>
      <c r="F144" t="s">
        <v>59</v>
      </c>
      <c r="G144">
        <v>363</v>
      </c>
      <c r="I144" t="s">
        <v>44</v>
      </c>
      <c r="K144" s="1">
        <f t="shared" si="16"/>
        <v>45890</v>
      </c>
      <c r="L144" s="3" t="str">
        <f t="shared" si="17"/>
        <v/>
      </c>
      <c r="M144" s="3">
        <f t="shared" si="18"/>
        <v>6.05</v>
      </c>
      <c r="N144" t="str">
        <f t="shared" si="19"/>
        <v>Open</v>
      </c>
      <c r="O144" t="str">
        <f t="shared" si="23"/>
        <v>No Rating</v>
      </c>
      <c r="P144" t="str">
        <f t="shared" si="20"/>
        <v>Unresolved</v>
      </c>
      <c r="Q144" s="2" t="str">
        <f t="shared" si="21"/>
        <v>Aug-2025</v>
      </c>
      <c r="R144" s="2">
        <f t="shared" si="22"/>
        <v>45870</v>
      </c>
    </row>
    <row r="145" spans="1:18">
      <c r="A145" t="s">
        <v>318</v>
      </c>
      <c r="B145" s="2" t="s">
        <v>319</v>
      </c>
      <c r="C145">
        <v>1587</v>
      </c>
      <c r="D145" t="s">
        <v>26</v>
      </c>
      <c r="E145" t="s">
        <v>13</v>
      </c>
      <c r="F145" t="s">
        <v>23</v>
      </c>
      <c r="G145">
        <v>11</v>
      </c>
      <c r="H145">
        <v>420</v>
      </c>
      <c r="I145" t="s">
        <v>15</v>
      </c>
      <c r="K145" s="1">
        <f t="shared" si="16"/>
        <v>45891</v>
      </c>
      <c r="L145" s="3">
        <f t="shared" si="17"/>
        <v>7</v>
      </c>
      <c r="M145" s="3">
        <f t="shared" si="18"/>
        <v>0.18333333333333332</v>
      </c>
      <c r="N145" t="str">
        <f t="shared" si="19"/>
        <v>Within SLA</v>
      </c>
      <c r="O145" t="str">
        <f t="shared" si="23"/>
        <v>No Rating</v>
      </c>
      <c r="P145" t="str">
        <f t="shared" si="20"/>
        <v>Resolved</v>
      </c>
      <c r="Q145" s="2" t="str">
        <f t="shared" si="21"/>
        <v>Aug-2025</v>
      </c>
      <c r="R145" s="2">
        <f t="shared" si="22"/>
        <v>45870</v>
      </c>
    </row>
    <row r="146" spans="1:18">
      <c r="A146" t="s">
        <v>320</v>
      </c>
      <c r="B146" s="2" t="s">
        <v>321</v>
      </c>
      <c r="C146">
        <v>1545</v>
      </c>
      <c r="D146" t="s">
        <v>32</v>
      </c>
      <c r="E146" t="s">
        <v>27</v>
      </c>
      <c r="F146" t="s">
        <v>43</v>
      </c>
      <c r="G146">
        <v>128</v>
      </c>
      <c r="H146">
        <v>670</v>
      </c>
      <c r="I146" t="s">
        <v>20</v>
      </c>
      <c r="J146">
        <v>1</v>
      </c>
      <c r="K146" s="1">
        <f t="shared" si="16"/>
        <v>45891</v>
      </c>
      <c r="L146" s="3">
        <f t="shared" si="17"/>
        <v>11.166666666666666</v>
      </c>
      <c r="M146" s="3">
        <f t="shared" si="18"/>
        <v>2.1333333333333333</v>
      </c>
      <c r="N146" t="str">
        <f t="shared" si="19"/>
        <v>Within SLA</v>
      </c>
      <c r="O146" t="str">
        <f t="shared" si="23"/>
        <v>Dissatisfied</v>
      </c>
      <c r="P146" t="str">
        <f t="shared" si="20"/>
        <v>Resolved</v>
      </c>
      <c r="Q146" s="2" t="str">
        <f t="shared" si="21"/>
        <v>Aug-2025</v>
      </c>
      <c r="R146" s="2">
        <f t="shared" si="22"/>
        <v>45870</v>
      </c>
    </row>
    <row r="147" spans="1:18">
      <c r="A147" t="s">
        <v>322</v>
      </c>
      <c r="B147" s="2" t="s">
        <v>323</v>
      </c>
      <c r="C147">
        <v>1743</v>
      </c>
      <c r="D147" t="s">
        <v>18</v>
      </c>
      <c r="E147" t="s">
        <v>33</v>
      </c>
      <c r="F147" t="s">
        <v>54</v>
      </c>
      <c r="G147">
        <v>402</v>
      </c>
      <c r="H147">
        <v>5495</v>
      </c>
      <c r="I147" t="s">
        <v>15</v>
      </c>
      <c r="J147">
        <v>4</v>
      </c>
      <c r="K147" s="1">
        <f t="shared" si="16"/>
        <v>45891</v>
      </c>
      <c r="L147" s="3">
        <f t="shared" si="17"/>
        <v>91.583333333333329</v>
      </c>
      <c r="M147" s="3">
        <f t="shared" si="18"/>
        <v>6.7</v>
      </c>
      <c r="N147" t="str">
        <f t="shared" si="19"/>
        <v>Breached</v>
      </c>
      <c r="O147" t="str">
        <f t="shared" si="23"/>
        <v>Satisfied</v>
      </c>
      <c r="P147" t="str">
        <f t="shared" si="20"/>
        <v>Resolved</v>
      </c>
      <c r="Q147" s="2" t="str">
        <f t="shared" si="21"/>
        <v>Aug-2025</v>
      </c>
      <c r="R147" s="2">
        <f t="shared" si="22"/>
        <v>45870</v>
      </c>
    </row>
    <row r="148" spans="1:18">
      <c r="A148" t="s">
        <v>324</v>
      </c>
      <c r="B148" s="2" t="s">
        <v>325</v>
      </c>
      <c r="C148">
        <v>1549</v>
      </c>
      <c r="D148" t="s">
        <v>12</v>
      </c>
      <c r="E148" t="s">
        <v>19</v>
      </c>
      <c r="F148" t="s">
        <v>28</v>
      </c>
      <c r="G148">
        <v>13</v>
      </c>
      <c r="H148">
        <v>1019</v>
      </c>
      <c r="I148" t="s">
        <v>15</v>
      </c>
      <c r="K148" s="1">
        <f t="shared" si="16"/>
        <v>45892</v>
      </c>
      <c r="L148" s="3">
        <f t="shared" si="17"/>
        <v>16.983333333333334</v>
      </c>
      <c r="M148" s="3">
        <f t="shared" si="18"/>
        <v>0.21666666666666667</v>
      </c>
      <c r="N148" t="str">
        <f t="shared" si="19"/>
        <v>Within SLA</v>
      </c>
      <c r="O148" t="str">
        <f t="shared" si="23"/>
        <v>No Rating</v>
      </c>
      <c r="P148" t="str">
        <f t="shared" si="20"/>
        <v>Resolved</v>
      </c>
      <c r="Q148" s="2" t="str">
        <f t="shared" si="21"/>
        <v>Aug-2025</v>
      </c>
      <c r="R148" s="2">
        <f t="shared" si="22"/>
        <v>45870</v>
      </c>
    </row>
    <row r="149" spans="1:18">
      <c r="A149" t="s">
        <v>326</v>
      </c>
      <c r="B149" s="2" t="s">
        <v>327</v>
      </c>
      <c r="C149">
        <v>1141</v>
      </c>
      <c r="D149" t="s">
        <v>26</v>
      </c>
      <c r="E149" t="s">
        <v>27</v>
      </c>
      <c r="F149" t="s">
        <v>54</v>
      </c>
      <c r="G149">
        <v>101</v>
      </c>
      <c r="H149">
        <v>2593</v>
      </c>
      <c r="I149" t="s">
        <v>15</v>
      </c>
      <c r="J149">
        <v>2</v>
      </c>
      <c r="K149" s="1">
        <f t="shared" si="16"/>
        <v>45892</v>
      </c>
      <c r="L149" s="3">
        <f t="shared" si="17"/>
        <v>43.216666666666669</v>
      </c>
      <c r="M149" s="3">
        <f t="shared" si="18"/>
        <v>1.6833333333333333</v>
      </c>
      <c r="N149" t="str">
        <f t="shared" si="19"/>
        <v>Within SLA</v>
      </c>
      <c r="O149" t="str">
        <f t="shared" si="23"/>
        <v>Dissatisfied</v>
      </c>
      <c r="P149" t="str">
        <f t="shared" si="20"/>
        <v>Resolved</v>
      </c>
      <c r="Q149" s="2" t="str">
        <f t="shared" si="21"/>
        <v>Aug-2025</v>
      </c>
      <c r="R149" s="2">
        <f t="shared" si="22"/>
        <v>45870</v>
      </c>
    </row>
    <row r="150" spans="1:18">
      <c r="A150" t="s">
        <v>328</v>
      </c>
      <c r="B150" s="2" t="s">
        <v>329</v>
      </c>
      <c r="C150">
        <v>1472</v>
      </c>
      <c r="D150" t="s">
        <v>18</v>
      </c>
      <c r="E150" t="s">
        <v>19</v>
      </c>
      <c r="F150" t="s">
        <v>59</v>
      </c>
      <c r="G150">
        <v>35</v>
      </c>
      <c r="H150">
        <v>688</v>
      </c>
      <c r="I150" t="s">
        <v>15</v>
      </c>
      <c r="K150" s="1">
        <f t="shared" si="16"/>
        <v>45893</v>
      </c>
      <c r="L150" s="3">
        <f t="shared" si="17"/>
        <v>11.466666666666667</v>
      </c>
      <c r="M150" s="3">
        <f t="shared" si="18"/>
        <v>0.58333333333333337</v>
      </c>
      <c r="N150" t="str">
        <f t="shared" si="19"/>
        <v>Within SLA</v>
      </c>
      <c r="O150" t="str">
        <f t="shared" si="23"/>
        <v>No Rating</v>
      </c>
      <c r="P150" t="str">
        <f t="shared" si="20"/>
        <v>Resolved</v>
      </c>
      <c r="Q150" s="2" t="str">
        <f t="shared" si="21"/>
        <v>Aug-2025</v>
      </c>
      <c r="R150" s="2">
        <f t="shared" si="22"/>
        <v>45870</v>
      </c>
    </row>
    <row r="151" spans="1:18">
      <c r="A151" t="s">
        <v>330</v>
      </c>
      <c r="B151" s="2" t="s">
        <v>331</v>
      </c>
      <c r="C151">
        <v>1918</v>
      </c>
      <c r="D151" t="s">
        <v>47</v>
      </c>
      <c r="E151" t="s">
        <v>27</v>
      </c>
      <c r="F151" t="s">
        <v>59</v>
      </c>
      <c r="G151">
        <v>128</v>
      </c>
      <c r="H151">
        <v>1600</v>
      </c>
      <c r="I151" t="s">
        <v>15</v>
      </c>
      <c r="J151">
        <v>5</v>
      </c>
      <c r="K151" s="1">
        <f t="shared" si="16"/>
        <v>45893</v>
      </c>
      <c r="L151" s="3">
        <f t="shared" si="17"/>
        <v>26.666666666666668</v>
      </c>
      <c r="M151" s="3">
        <f t="shared" si="18"/>
        <v>2.1333333333333333</v>
      </c>
      <c r="N151" t="str">
        <f t="shared" si="19"/>
        <v>Within SLA</v>
      </c>
      <c r="O151" t="str">
        <f t="shared" si="23"/>
        <v>Satisfied</v>
      </c>
      <c r="P151" t="str">
        <f t="shared" si="20"/>
        <v>Resolved</v>
      </c>
      <c r="Q151" s="2" t="str">
        <f t="shared" si="21"/>
        <v>Aug-2025</v>
      </c>
      <c r="R151" s="2">
        <f t="shared" si="22"/>
        <v>45870</v>
      </c>
    </row>
    <row r="152" spans="1:18">
      <c r="A152" t="s">
        <v>332</v>
      </c>
      <c r="B152" s="2" t="s">
        <v>333</v>
      </c>
      <c r="C152">
        <v>1584</v>
      </c>
      <c r="D152" t="s">
        <v>12</v>
      </c>
      <c r="E152" t="s">
        <v>13</v>
      </c>
      <c r="F152" t="s">
        <v>71</v>
      </c>
      <c r="G152">
        <v>9</v>
      </c>
      <c r="H152">
        <v>114</v>
      </c>
      <c r="I152" t="s">
        <v>20</v>
      </c>
      <c r="J152">
        <v>4</v>
      </c>
      <c r="K152" s="1">
        <f t="shared" si="16"/>
        <v>45893</v>
      </c>
      <c r="L152" s="3">
        <f t="shared" si="17"/>
        <v>1.9</v>
      </c>
      <c r="M152" s="3">
        <f t="shared" si="18"/>
        <v>0.15</v>
      </c>
      <c r="N152" t="str">
        <f t="shared" si="19"/>
        <v>Within SLA</v>
      </c>
      <c r="O152" t="str">
        <f t="shared" si="23"/>
        <v>Satisfied</v>
      </c>
      <c r="P152" t="str">
        <f t="shared" si="20"/>
        <v>Resolved</v>
      </c>
      <c r="Q152" s="2" t="str">
        <f t="shared" si="21"/>
        <v>Aug-2025</v>
      </c>
      <c r="R152" s="2">
        <f t="shared" si="22"/>
        <v>45870</v>
      </c>
    </row>
    <row r="153" spans="1:18">
      <c r="A153" t="s">
        <v>334</v>
      </c>
      <c r="B153" s="2" t="s">
        <v>335</v>
      </c>
      <c r="C153">
        <v>1715</v>
      </c>
      <c r="D153" t="s">
        <v>47</v>
      </c>
      <c r="E153" t="s">
        <v>13</v>
      </c>
      <c r="F153" t="s">
        <v>71</v>
      </c>
      <c r="G153">
        <v>5</v>
      </c>
      <c r="H153">
        <v>392</v>
      </c>
      <c r="I153" t="s">
        <v>15</v>
      </c>
      <c r="J153">
        <v>1</v>
      </c>
      <c r="K153" s="1">
        <f t="shared" si="16"/>
        <v>45894</v>
      </c>
      <c r="L153" s="3">
        <f t="shared" si="17"/>
        <v>6.5333333333333332</v>
      </c>
      <c r="M153" s="3">
        <f t="shared" si="18"/>
        <v>8.3333333333333329E-2</v>
      </c>
      <c r="N153" t="str">
        <f t="shared" si="19"/>
        <v>Within SLA</v>
      </c>
      <c r="O153" t="str">
        <f t="shared" si="23"/>
        <v>Dissatisfied</v>
      </c>
      <c r="P153" t="str">
        <f t="shared" si="20"/>
        <v>Resolved</v>
      </c>
      <c r="Q153" s="2" t="str">
        <f t="shared" si="21"/>
        <v>Aug-2025</v>
      </c>
      <c r="R153" s="2">
        <f t="shared" si="22"/>
        <v>45870</v>
      </c>
    </row>
    <row r="154" spans="1:18">
      <c r="A154" t="s">
        <v>336</v>
      </c>
      <c r="B154" s="2" t="s">
        <v>337</v>
      </c>
      <c r="C154">
        <v>1162</v>
      </c>
      <c r="D154" t="s">
        <v>18</v>
      </c>
      <c r="E154" t="s">
        <v>27</v>
      </c>
      <c r="F154" t="s">
        <v>59</v>
      </c>
      <c r="G154">
        <v>160</v>
      </c>
      <c r="H154">
        <v>2242</v>
      </c>
      <c r="I154" t="s">
        <v>20</v>
      </c>
      <c r="J154">
        <v>5</v>
      </c>
      <c r="K154" s="1">
        <f t="shared" si="16"/>
        <v>45894</v>
      </c>
      <c r="L154" s="3">
        <f t="shared" si="17"/>
        <v>37.366666666666667</v>
      </c>
      <c r="M154" s="3">
        <f t="shared" si="18"/>
        <v>2.6666666666666665</v>
      </c>
      <c r="N154" t="str">
        <f t="shared" si="19"/>
        <v>Within SLA</v>
      </c>
      <c r="O154" t="str">
        <f t="shared" si="23"/>
        <v>Satisfied</v>
      </c>
      <c r="P154" t="str">
        <f t="shared" si="20"/>
        <v>Resolved</v>
      </c>
      <c r="Q154" s="2" t="str">
        <f t="shared" si="21"/>
        <v>Aug-2025</v>
      </c>
      <c r="R154" s="2">
        <f t="shared" si="22"/>
        <v>45870</v>
      </c>
    </row>
    <row r="155" spans="1:18">
      <c r="A155" t="s">
        <v>338</v>
      </c>
      <c r="B155" s="2" t="s">
        <v>339</v>
      </c>
      <c r="C155">
        <v>1401</v>
      </c>
      <c r="D155" t="s">
        <v>26</v>
      </c>
      <c r="E155" t="s">
        <v>19</v>
      </c>
      <c r="F155" t="s">
        <v>71</v>
      </c>
      <c r="G155">
        <v>25</v>
      </c>
      <c r="H155">
        <v>852</v>
      </c>
      <c r="I155" t="s">
        <v>15</v>
      </c>
      <c r="J155">
        <v>3</v>
      </c>
      <c r="K155" s="1">
        <f t="shared" si="16"/>
        <v>45894</v>
      </c>
      <c r="L155" s="3">
        <f t="shared" si="17"/>
        <v>14.2</v>
      </c>
      <c r="M155" s="3">
        <f t="shared" si="18"/>
        <v>0.41666666666666669</v>
      </c>
      <c r="N155" t="str">
        <f t="shared" si="19"/>
        <v>Within SLA</v>
      </c>
      <c r="O155" t="str">
        <f t="shared" si="23"/>
        <v>Neutral</v>
      </c>
      <c r="P155" t="str">
        <f t="shared" si="20"/>
        <v>Resolved</v>
      </c>
      <c r="Q155" s="2" t="str">
        <f t="shared" si="21"/>
        <v>Aug-2025</v>
      </c>
      <c r="R155" s="2">
        <f t="shared" si="22"/>
        <v>45870</v>
      </c>
    </row>
    <row r="156" spans="1:18">
      <c r="A156" t="s">
        <v>340</v>
      </c>
      <c r="B156" s="2" t="s">
        <v>341</v>
      </c>
      <c r="C156">
        <v>1658</v>
      </c>
      <c r="D156" t="s">
        <v>12</v>
      </c>
      <c r="E156" t="s">
        <v>19</v>
      </c>
      <c r="F156" t="s">
        <v>54</v>
      </c>
      <c r="G156">
        <v>15</v>
      </c>
      <c r="I156" t="s">
        <v>44</v>
      </c>
      <c r="K156" s="1">
        <f t="shared" si="16"/>
        <v>45895</v>
      </c>
      <c r="L156" s="3" t="str">
        <f t="shared" si="17"/>
        <v/>
      </c>
      <c r="M156" s="3">
        <f t="shared" si="18"/>
        <v>0.25</v>
      </c>
      <c r="N156" t="str">
        <f t="shared" si="19"/>
        <v>Open</v>
      </c>
      <c r="O156" t="str">
        <f t="shared" si="23"/>
        <v>No Rating</v>
      </c>
      <c r="P156" t="str">
        <f t="shared" si="20"/>
        <v>Unresolved</v>
      </c>
      <c r="Q156" s="2" t="str">
        <f t="shared" si="21"/>
        <v>Aug-2025</v>
      </c>
      <c r="R156" s="2">
        <f t="shared" si="22"/>
        <v>45870</v>
      </c>
    </row>
    <row r="157" spans="1:18">
      <c r="A157" t="s">
        <v>342</v>
      </c>
      <c r="B157" s="2" t="s">
        <v>343</v>
      </c>
      <c r="C157">
        <v>1166</v>
      </c>
      <c r="D157" t="s">
        <v>32</v>
      </c>
      <c r="E157" t="s">
        <v>33</v>
      </c>
      <c r="F157" t="s">
        <v>14</v>
      </c>
      <c r="G157">
        <v>368</v>
      </c>
      <c r="H157">
        <v>2029</v>
      </c>
      <c r="I157" t="s">
        <v>15</v>
      </c>
      <c r="J157">
        <v>3</v>
      </c>
      <c r="K157" s="1">
        <f t="shared" si="16"/>
        <v>45895</v>
      </c>
      <c r="L157" s="3">
        <f t="shared" si="17"/>
        <v>33.81666666666667</v>
      </c>
      <c r="M157" s="3">
        <f t="shared" si="18"/>
        <v>6.1333333333333337</v>
      </c>
      <c r="N157" t="str">
        <f t="shared" si="19"/>
        <v>Within SLA</v>
      </c>
      <c r="O157" t="str">
        <f t="shared" si="23"/>
        <v>Neutral</v>
      </c>
      <c r="P157" t="str">
        <f t="shared" si="20"/>
        <v>Resolved</v>
      </c>
      <c r="Q157" s="2" t="str">
        <f t="shared" si="21"/>
        <v>Aug-2025</v>
      </c>
      <c r="R157" s="2">
        <f t="shared" si="22"/>
        <v>45870</v>
      </c>
    </row>
    <row r="158" spans="1:18">
      <c r="A158" t="s">
        <v>344</v>
      </c>
      <c r="B158" s="2" t="s">
        <v>345</v>
      </c>
      <c r="C158">
        <v>1847</v>
      </c>
      <c r="D158" t="s">
        <v>18</v>
      </c>
      <c r="E158" t="s">
        <v>27</v>
      </c>
      <c r="F158" t="s">
        <v>14</v>
      </c>
      <c r="G158">
        <v>54</v>
      </c>
      <c r="H158">
        <v>1096</v>
      </c>
      <c r="I158" t="s">
        <v>20</v>
      </c>
      <c r="K158" s="1">
        <f t="shared" si="16"/>
        <v>45895</v>
      </c>
      <c r="L158" s="3">
        <f t="shared" si="17"/>
        <v>18.266666666666666</v>
      </c>
      <c r="M158" s="3">
        <f t="shared" si="18"/>
        <v>0.9</v>
      </c>
      <c r="N158" t="str">
        <f t="shared" si="19"/>
        <v>Within SLA</v>
      </c>
      <c r="O158" t="str">
        <f t="shared" si="23"/>
        <v>No Rating</v>
      </c>
      <c r="P158" t="str">
        <f t="shared" si="20"/>
        <v>Resolved</v>
      </c>
      <c r="Q158" s="2" t="str">
        <f t="shared" si="21"/>
        <v>Aug-2025</v>
      </c>
      <c r="R158" s="2">
        <f t="shared" si="22"/>
        <v>45870</v>
      </c>
    </row>
    <row r="159" spans="1:18">
      <c r="A159" t="s">
        <v>346</v>
      </c>
      <c r="B159" s="2" t="s">
        <v>347</v>
      </c>
      <c r="C159">
        <v>1295</v>
      </c>
      <c r="D159" t="s">
        <v>32</v>
      </c>
      <c r="E159" t="s">
        <v>33</v>
      </c>
      <c r="F159" t="s">
        <v>59</v>
      </c>
      <c r="G159">
        <v>75</v>
      </c>
      <c r="I159" t="s">
        <v>44</v>
      </c>
      <c r="K159" s="1">
        <f t="shared" si="16"/>
        <v>45896</v>
      </c>
      <c r="L159" s="3" t="str">
        <f t="shared" si="17"/>
        <v/>
      </c>
      <c r="M159" s="3">
        <f t="shared" si="18"/>
        <v>1.25</v>
      </c>
      <c r="N159" t="str">
        <f t="shared" si="19"/>
        <v>Open</v>
      </c>
      <c r="O159" t="str">
        <f t="shared" si="23"/>
        <v>No Rating</v>
      </c>
      <c r="P159" t="str">
        <f t="shared" si="20"/>
        <v>Unresolved</v>
      </c>
      <c r="Q159" s="2" t="str">
        <f t="shared" si="21"/>
        <v>Aug-2025</v>
      </c>
      <c r="R159" s="2">
        <f t="shared" si="22"/>
        <v>45870</v>
      </c>
    </row>
    <row r="160" spans="1:18">
      <c r="A160" t="s">
        <v>348</v>
      </c>
      <c r="B160" s="2" t="s">
        <v>349</v>
      </c>
      <c r="C160">
        <v>1767</v>
      </c>
      <c r="D160" t="s">
        <v>18</v>
      </c>
      <c r="E160" t="s">
        <v>19</v>
      </c>
      <c r="F160" t="s">
        <v>54</v>
      </c>
      <c r="G160">
        <v>14</v>
      </c>
      <c r="H160">
        <v>804</v>
      </c>
      <c r="I160" t="s">
        <v>15</v>
      </c>
      <c r="K160" s="1">
        <f t="shared" si="16"/>
        <v>45896</v>
      </c>
      <c r="L160" s="3">
        <f t="shared" si="17"/>
        <v>13.4</v>
      </c>
      <c r="M160" s="3">
        <f t="shared" si="18"/>
        <v>0.23333333333333334</v>
      </c>
      <c r="N160" t="str">
        <f t="shared" si="19"/>
        <v>Within SLA</v>
      </c>
      <c r="O160" t="str">
        <f t="shared" si="23"/>
        <v>No Rating</v>
      </c>
      <c r="P160" t="str">
        <f t="shared" si="20"/>
        <v>Resolved</v>
      </c>
      <c r="Q160" s="2" t="str">
        <f t="shared" si="21"/>
        <v>Aug-2025</v>
      </c>
      <c r="R160" s="2">
        <f t="shared" si="22"/>
        <v>45870</v>
      </c>
    </row>
    <row r="161" spans="1:18">
      <c r="A161" t="s">
        <v>350</v>
      </c>
      <c r="B161" s="2" t="s">
        <v>351</v>
      </c>
      <c r="C161">
        <v>1184</v>
      </c>
      <c r="D161" t="s">
        <v>12</v>
      </c>
      <c r="E161" t="s">
        <v>27</v>
      </c>
      <c r="F161" t="s">
        <v>59</v>
      </c>
      <c r="G161">
        <v>70</v>
      </c>
      <c r="H161">
        <v>2718</v>
      </c>
      <c r="I161" t="s">
        <v>15</v>
      </c>
      <c r="J161">
        <v>1</v>
      </c>
      <c r="K161" s="1">
        <f t="shared" si="16"/>
        <v>45897</v>
      </c>
      <c r="L161" s="3">
        <f t="shared" si="17"/>
        <v>45.3</v>
      </c>
      <c r="M161" s="3">
        <f t="shared" si="18"/>
        <v>1.1666666666666667</v>
      </c>
      <c r="N161" t="str">
        <f t="shared" si="19"/>
        <v>Within SLA</v>
      </c>
      <c r="O161" t="str">
        <f t="shared" si="23"/>
        <v>Dissatisfied</v>
      </c>
      <c r="P161" t="str">
        <f t="shared" si="20"/>
        <v>Resolved</v>
      </c>
      <c r="Q161" s="2" t="str">
        <f t="shared" si="21"/>
        <v>Aug-2025</v>
      </c>
      <c r="R161" s="2">
        <f t="shared" si="22"/>
        <v>45870</v>
      </c>
    </row>
    <row r="162" spans="1:18">
      <c r="A162" t="s">
        <v>352</v>
      </c>
      <c r="B162" s="2" t="s">
        <v>353</v>
      </c>
      <c r="C162">
        <v>1368</v>
      </c>
      <c r="D162" t="s">
        <v>26</v>
      </c>
      <c r="E162" t="s">
        <v>33</v>
      </c>
      <c r="F162" t="s">
        <v>64</v>
      </c>
      <c r="G162">
        <v>270</v>
      </c>
      <c r="H162">
        <v>5143</v>
      </c>
      <c r="I162" t="s">
        <v>15</v>
      </c>
      <c r="K162" s="1">
        <f t="shared" si="16"/>
        <v>45897</v>
      </c>
      <c r="L162" s="3">
        <f t="shared" si="17"/>
        <v>85.716666666666669</v>
      </c>
      <c r="M162" s="3">
        <f t="shared" si="18"/>
        <v>4.5</v>
      </c>
      <c r="N162" t="str">
        <f t="shared" si="19"/>
        <v>Breached</v>
      </c>
      <c r="O162" t="str">
        <f t="shared" si="23"/>
        <v>No Rating</v>
      </c>
      <c r="P162" t="str">
        <f t="shared" si="20"/>
        <v>Resolved</v>
      </c>
      <c r="Q162" s="2" t="str">
        <f t="shared" si="21"/>
        <v>Aug-2025</v>
      </c>
      <c r="R162" s="2">
        <f t="shared" si="22"/>
        <v>45870</v>
      </c>
    </row>
    <row r="163" spans="1:18">
      <c r="A163" t="s">
        <v>354</v>
      </c>
      <c r="B163" s="2" t="s">
        <v>355</v>
      </c>
      <c r="C163">
        <v>1307</v>
      </c>
      <c r="D163" t="s">
        <v>32</v>
      </c>
      <c r="E163" t="s">
        <v>33</v>
      </c>
      <c r="F163" t="s">
        <v>23</v>
      </c>
      <c r="G163">
        <v>77</v>
      </c>
      <c r="H163">
        <v>2380</v>
      </c>
      <c r="I163" t="s">
        <v>20</v>
      </c>
      <c r="J163">
        <v>1</v>
      </c>
      <c r="K163" s="1">
        <f t="shared" si="16"/>
        <v>45897</v>
      </c>
      <c r="L163" s="3">
        <f t="shared" si="17"/>
        <v>39.666666666666664</v>
      </c>
      <c r="M163" s="3">
        <f t="shared" si="18"/>
        <v>1.2833333333333334</v>
      </c>
      <c r="N163" t="str">
        <f t="shared" si="19"/>
        <v>Within SLA</v>
      </c>
      <c r="O163" t="str">
        <f t="shared" si="23"/>
        <v>Dissatisfied</v>
      </c>
      <c r="P163" t="str">
        <f t="shared" si="20"/>
        <v>Resolved</v>
      </c>
      <c r="Q163" s="2" t="str">
        <f t="shared" si="21"/>
        <v>Aug-2025</v>
      </c>
      <c r="R163" s="2">
        <f t="shared" si="22"/>
        <v>45870</v>
      </c>
    </row>
    <row r="164" spans="1:18">
      <c r="A164" t="s">
        <v>356</v>
      </c>
      <c r="B164" s="2" t="s">
        <v>357</v>
      </c>
      <c r="C164">
        <v>1289</v>
      </c>
      <c r="D164" t="s">
        <v>18</v>
      </c>
      <c r="E164" t="s">
        <v>27</v>
      </c>
      <c r="F164" t="s">
        <v>64</v>
      </c>
      <c r="G164">
        <v>90</v>
      </c>
      <c r="H164">
        <v>1537</v>
      </c>
      <c r="I164" t="s">
        <v>15</v>
      </c>
      <c r="J164">
        <v>3</v>
      </c>
      <c r="K164" s="1">
        <f t="shared" si="16"/>
        <v>45898</v>
      </c>
      <c r="L164" s="3">
        <f t="shared" si="17"/>
        <v>25.616666666666667</v>
      </c>
      <c r="M164" s="3">
        <f t="shared" si="18"/>
        <v>1.5</v>
      </c>
      <c r="N164" t="str">
        <f t="shared" si="19"/>
        <v>Within SLA</v>
      </c>
      <c r="O164" t="str">
        <f t="shared" si="23"/>
        <v>Neutral</v>
      </c>
      <c r="P164" t="str">
        <f t="shared" si="20"/>
        <v>Resolved</v>
      </c>
      <c r="Q164" s="2" t="str">
        <f t="shared" si="21"/>
        <v>Aug-2025</v>
      </c>
      <c r="R164" s="2">
        <f t="shared" si="22"/>
        <v>45870</v>
      </c>
    </row>
    <row r="165" spans="1:18">
      <c r="A165" t="s">
        <v>358</v>
      </c>
      <c r="B165" s="2" t="s">
        <v>359</v>
      </c>
      <c r="C165">
        <v>1578</v>
      </c>
      <c r="D165" t="s">
        <v>18</v>
      </c>
      <c r="E165" t="s">
        <v>13</v>
      </c>
      <c r="F165" t="s">
        <v>43</v>
      </c>
      <c r="G165">
        <v>8</v>
      </c>
      <c r="H165">
        <v>94</v>
      </c>
      <c r="I165" t="s">
        <v>20</v>
      </c>
      <c r="K165" s="1">
        <f t="shared" si="16"/>
        <v>45898</v>
      </c>
      <c r="L165" s="3">
        <f t="shared" si="17"/>
        <v>1.5666666666666667</v>
      </c>
      <c r="M165" s="3">
        <f t="shared" si="18"/>
        <v>0.13333333333333333</v>
      </c>
      <c r="N165" t="str">
        <f t="shared" si="19"/>
        <v>Within SLA</v>
      </c>
      <c r="O165" t="str">
        <f t="shared" si="23"/>
        <v>No Rating</v>
      </c>
      <c r="P165" t="str">
        <f t="shared" si="20"/>
        <v>Resolved</v>
      </c>
      <c r="Q165" s="2" t="str">
        <f t="shared" si="21"/>
        <v>Aug-2025</v>
      </c>
      <c r="R165" s="2">
        <f t="shared" si="22"/>
        <v>45870</v>
      </c>
    </row>
    <row r="166" spans="1:18">
      <c r="A166" t="s">
        <v>360</v>
      </c>
      <c r="B166" s="2" t="s">
        <v>361</v>
      </c>
      <c r="C166">
        <v>1250</v>
      </c>
      <c r="D166" t="s">
        <v>32</v>
      </c>
      <c r="E166" t="s">
        <v>27</v>
      </c>
      <c r="F166" t="s">
        <v>23</v>
      </c>
      <c r="G166">
        <v>45</v>
      </c>
      <c r="H166">
        <v>2199</v>
      </c>
      <c r="I166" t="s">
        <v>15</v>
      </c>
      <c r="K166" s="1">
        <f t="shared" si="16"/>
        <v>45898</v>
      </c>
      <c r="L166" s="3">
        <f t="shared" si="17"/>
        <v>36.65</v>
      </c>
      <c r="M166" s="3">
        <f t="shared" si="18"/>
        <v>0.75</v>
      </c>
      <c r="N166" t="str">
        <f t="shared" si="19"/>
        <v>Within SLA</v>
      </c>
      <c r="O166" t="str">
        <f t="shared" si="23"/>
        <v>No Rating</v>
      </c>
      <c r="P166" t="str">
        <f t="shared" si="20"/>
        <v>Resolved</v>
      </c>
      <c r="Q166" s="2" t="str">
        <f t="shared" si="21"/>
        <v>Aug-2025</v>
      </c>
      <c r="R166" s="2">
        <f t="shared" si="22"/>
        <v>45870</v>
      </c>
    </row>
    <row r="167" spans="1:18">
      <c r="A167" t="s">
        <v>362</v>
      </c>
      <c r="B167" s="2" t="s">
        <v>363</v>
      </c>
      <c r="C167">
        <v>1438</v>
      </c>
      <c r="D167" t="s">
        <v>18</v>
      </c>
      <c r="E167" t="s">
        <v>13</v>
      </c>
      <c r="F167" t="s">
        <v>28</v>
      </c>
      <c r="G167">
        <v>12</v>
      </c>
      <c r="H167">
        <v>419</v>
      </c>
      <c r="I167" t="s">
        <v>15</v>
      </c>
      <c r="K167" s="1">
        <f t="shared" si="16"/>
        <v>45899</v>
      </c>
      <c r="L167" s="3">
        <f t="shared" si="17"/>
        <v>6.9833333333333334</v>
      </c>
      <c r="M167" s="3">
        <f t="shared" si="18"/>
        <v>0.2</v>
      </c>
      <c r="N167" t="str">
        <f t="shared" si="19"/>
        <v>Within SLA</v>
      </c>
      <c r="O167" t="str">
        <f t="shared" si="23"/>
        <v>No Rating</v>
      </c>
      <c r="P167" t="str">
        <f t="shared" si="20"/>
        <v>Resolved</v>
      </c>
      <c r="Q167" s="2" t="str">
        <f t="shared" si="21"/>
        <v>Aug-2025</v>
      </c>
      <c r="R167" s="2">
        <f t="shared" si="22"/>
        <v>45870</v>
      </c>
    </row>
    <row r="168" spans="1:18">
      <c r="A168" t="s">
        <v>364</v>
      </c>
      <c r="B168" s="2" t="s">
        <v>365</v>
      </c>
      <c r="C168">
        <v>1715</v>
      </c>
      <c r="D168" t="s">
        <v>18</v>
      </c>
      <c r="E168" t="s">
        <v>13</v>
      </c>
      <c r="F168" t="s">
        <v>59</v>
      </c>
      <c r="G168">
        <v>8</v>
      </c>
      <c r="H168">
        <v>197</v>
      </c>
      <c r="I168" t="s">
        <v>15</v>
      </c>
      <c r="K168" s="1">
        <f t="shared" si="16"/>
        <v>45899</v>
      </c>
      <c r="L168" s="3">
        <f t="shared" si="17"/>
        <v>3.2833333333333332</v>
      </c>
      <c r="M168" s="3">
        <f t="shared" si="18"/>
        <v>0.13333333333333333</v>
      </c>
      <c r="N168" t="str">
        <f t="shared" si="19"/>
        <v>Within SLA</v>
      </c>
      <c r="O168" t="str">
        <f t="shared" si="23"/>
        <v>No Rating</v>
      </c>
      <c r="P168" t="str">
        <f t="shared" si="20"/>
        <v>Resolved</v>
      </c>
      <c r="Q168" s="2" t="str">
        <f t="shared" si="21"/>
        <v>Aug-2025</v>
      </c>
      <c r="R168" s="2">
        <f t="shared" si="22"/>
        <v>45870</v>
      </c>
    </row>
    <row r="169" spans="1:18">
      <c r="A169" t="s">
        <v>366</v>
      </c>
      <c r="B169" s="2" t="s">
        <v>367</v>
      </c>
      <c r="C169">
        <v>1694</v>
      </c>
      <c r="D169" t="s">
        <v>18</v>
      </c>
      <c r="E169" t="s">
        <v>27</v>
      </c>
      <c r="F169" t="s">
        <v>28</v>
      </c>
      <c r="G169">
        <v>31</v>
      </c>
      <c r="H169">
        <v>604</v>
      </c>
      <c r="I169" t="s">
        <v>15</v>
      </c>
      <c r="K169" s="1">
        <f t="shared" si="16"/>
        <v>45899</v>
      </c>
      <c r="L169" s="3">
        <f t="shared" si="17"/>
        <v>10.066666666666666</v>
      </c>
      <c r="M169" s="3">
        <f t="shared" si="18"/>
        <v>0.51666666666666672</v>
      </c>
      <c r="N169" t="str">
        <f t="shared" si="19"/>
        <v>Within SLA</v>
      </c>
      <c r="O169" t="str">
        <f t="shared" si="23"/>
        <v>No Rating</v>
      </c>
      <c r="P169" t="str">
        <f t="shared" si="20"/>
        <v>Resolved</v>
      </c>
      <c r="Q169" s="2" t="str">
        <f t="shared" si="21"/>
        <v>Aug-2025</v>
      </c>
      <c r="R169" s="2">
        <f t="shared" si="22"/>
        <v>45870</v>
      </c>
    </row>
    <row r="170" spans="1:18">
      <c r="A170" t="s">
        <v>368</v>
      </c>
      <c r="B170" s="2" t="s">
        <v>369</v>
      </c>
      <c r="C170">
        <v>1485</v>
      </c>
      <c r="D170" t="s">
        <v>26</v>
      </c>
      <c r="E170" t="s">
        <v>27</v>
      </c>
      <c r="F170" t="s">
        <v>28</v>
      </c>
      <c r="G170">
        <v>98</v>
      </c>
      <c r="H170">
        <v>490</v>
      </c>
      <c r="I170" t="s">
        <v>20</v>
      </c>
      <c r="K170" s="1">
        <f t="shared" si="16"/>
        <v>45900</v>
      </c>
      <c r="L170" s="3">
        <f t="shared" si="17"/>
        <v>8.1666666666666661</v>
      </c>
      <c r="M170" s="3">
        <f t="shared" si="18"/>
        <v>1.6333333333333333</v>
      </c>
      <c r="N170" t="str">
        <f t="shared" si="19"/>
        <v>Within SLA</v>
      </c>
      <c r="O170" t="str">
        <f t="shared" si="23"/>
        <v>No Rating</v>
      </c>
      <c r="P170" t="str">
        <f t="shared" si="20"/>
        <v>Resolved</v>
      </c>
      <c r="Q170" s="2" t="str">
        <f t="shared" si="21"/>
        <v>Aug-2025</v>
      </c>
      <c r="R170" s="2">
        <f t="shared" si="22"/>
        <v>45870</v>
      </c>
    </row>
    <row r="171" spans="1:18">
      <c r="A171" t="s">
        <v>370</v>
      </c>
      <c r="B171" s="2" t="s">
        <v>371</v>
      </c>
      <c r="C171">
        <v>1089</v>
      </c>
      <c r="D171" t="s">
        <v>18</v>
      </c>
      <c r="E171" t="s">
        <v>27</v>
      </c>
      <c r="F171" t="s">
        <v>14</v>
      </c>
      <c r="G171">
        <v>124</v>
      </c>
      <c r="H171">
        <v>3369</v>
      </c>
      <c r="I171" t="s">
        <v>15</v>
      </c>
      <c r="J171">
        <v>1</v>
      </c>
      <c r="K171" s="1">
        <f t="shared" si="16"/>
        <v>45900</v>
      </c>
      <c r="L171" s="3">
        <f t="shared" si="17"/>
        <v>56.15</v>
      </c>
      <c r="M171" s="3">
        <f t="shared" si="18"/>
        <v>2.0666666666666669</v>
      </c>
      <c r="N171" t="str">
        <f t="shared" si="19"/>
        <v>Breached</v>
      </c>
      <c r="O171" t="str">
        <f t="shared" si="23"/>
        <v>Dissatisfied</v>
      </c>
      <c r="P171" t="str">
        <f t="shared" si="20"/>
        <v>Resolved</v>
      </c>
      <c r="Q171" s="2" t="str">
        <f t="shared" si="21"/>
        <v>Aug-2025</v>
      </c>
      <c r="R171" s="2">
        <f t="shared" si="22"/>
        <v>45870</v>
      </c>
    </row>
    <row r="172" spans="1:18">
      <c r="A172" t="s">
        <v>372</v>
      </c>
      <c r="B172" s="2" t="s">
        <v>373</v>
      </c>
      <c r="C172">
        <v>1782</v>
      </c>
      <c r="D172" t="s">
        <v>18</v>
      </c>
      <c r="E172" t="s">
        <v>27</v>
      </c>
      <c r="F172" t="s">
        <v>34</v>
      </c>
      <c r="G172">
        <v>169</v>
      </c>
      <c r="H172">
        <v>3156</v>
      </c>
      <c r="I172" t="s">
        <v>15</v>
      </c>
      <c r="J172">
        <v>5</v>
      </c>
      <c r="K172" s="1">
        <f t="shared" si="16"/>
        <v>45901</v>
      </c>
      <c r="L172" s="3">
        <f t="shared" si="17"/>
        <v>52.6</v>
      </c>
      <c r="M172" s="3">
        <f t="shared" si="18"/>
        <v>2.8166666666666669</v>
      </c>
      <c r="N172" t="str">
        <f t="shared" si="19"/>
        <v>Breached</v>
      </c>
      <c r="O172" t="str">
        <f t="shared" si="23"/>
        <v>Satisfied</v>
      </c>
      <c r="P172" t="str">
        <f t="shared" si="20"/>
        <v>Resolved</v>
      </c>
      <c r="Q172" s="2" t="str">
        <f t="shared" si="21"/>
        <v>Sep-2025</v>
      </c>
      <c r="R172" s="2">
        <f t="shared" si="22"/>
        <v>45901</v>
      </c>
    </row>
    <row r="173" spans="1:18">
      <c r="A173" t="s">
        <v>374</v>
      </c>
      <c r="B173" s="2" t="s">
        <v>375</v>
      </c>
      <c r="C173">
        <v>1379</v>
      </c>
      <c r="D173" t="s">
        <v>32</v>
      </c>
      <c r="E173" t="s">
        <v>33</v>
      </c>
      <c r="F173" t="s">
        <v>28</v>
      </c>
      <c r="G173">
        <v>146</v>
      </c>
      <c r="H173">
        <v>3956</v>
      </c>
      <c r="I173" t="s">
        <v>15</v>
      </c>
      <c r="K173" s="1">
        <f t="shared" si="16"/>
        <v>45901</v>
      </c>
      <c r="L173" s="3">
        <f t="shared" si="17"/>
        <v>65.933333333333337</v>
      </c>
      <c r="M173" s="3">
        <f t="shared" si="18"/>
        <v>2.4333333333333331</v>
      </c>
      <c r="N173" t="str">
        <f t="shared" si="19"/>
        <v>Within SLA</v>
      </c>
      <c r="O173" t="str">
        <f t="shared" si="23"/>
        <v>No Rating</v>
      </c>
      <c r="P173" t="str">
        <f t="shared" si="20"/>
        <v>Resolved</v>
      </c>
      <c r="Q173" s="2" t="str">
        <f t="shared" si="21"/>
        <v>Sep-2025</v>
      </c>
      <c r="R173" s="2">
        <f t="shared" si="22"/>
        <v>45901</v>
      </c>
    </row>
    <row r="174" spans="1:18">
      <c r="A174" t="s">
        <v>376</v>
      </c>
      <c r="B174" s="2" t="s">
        <v>377</v>
      </c>
      <c r="C174">
        <v>1812</v>
      </c>
      <c r="D174" t="s">
        <v>26</v>
      </c>
      <c r="E174" t="s">
        <v>33</v>
      </c>
      <c r="F174" t="s">
        <v>59</v>
      </c>
      <c r="G174">
        <v>267</v>
      </c>
      <c r="H174">
        <v>1309</v>
      </c>
      <c r="I174" t="s">
        <v>20</v>
      </c>
      <c r="J174">
        <v>3</v>
      </c>
      <c r="K174" s="1">
        <f t="shared" si="16"/>
        <v>45901</v>
      </c>
      <c r="L174" s="3">
        <f t="shared" si="17"/>
        <v>21.816666666666666</v>
      </c>
      <c r="M174" s="3">
        <f t="shared" si="18"/>
        <v>4.45</v>
      </c>
      <c r="N174" t="str">
        <f t="shared" si="19"/>
        <v>Within SLA</v>
      </c>
      <c r="O174" t="str">
        <f t="shared" si="23"/>
        <v>Neutral</v>
      </c>
      <c r="P174" t="str">
        <f t="shared" si="20"/>
        <v>Resolved</v>
      </c>
      <c r="Q174" s="2" t="str">
        <f t="shared" si="21"/>
        <v>Sep-2025</v>
      </c>
      <c r="R174" s="2">
        <f t="shared" si="22"/>
        <v>45901</v>
      </c>
    </row>
    <row r="175" spans="1:18">
      <c r="A175" t="s">
        <v>378</v>
      </c>
      <c r="B175" s="2" t="s">
        <v>379</v>
      </c>
      <c r="C175">
        <v>1275</v>
      </c>
      <c r="D175" t="s">
        <v>32</v>
      </c>
      <c r="E175" t="s">
        <v>27</v>
      </c>
      <c r="F175" t="s">
        <v>34</v>
      </c>
      <c r="G175">
        <v>175</v>
      </c>
      <c r="H175">
        <v>3427</v>
      </c>
      <c r="I175" t="s">
        <v>15</v>
      </c>
      <c r="J175">
        <v>5</v>
      </c>
      <c r="K175" s="1">
        <f t="shared" si="16"/>
        <v>45902</v>
      </c>
      <c r="L175" s="3">
        <f t="shared" si="17"/>
        <v>57.116666666666667</v>
      </c>
      <c r="M175" s="3">
        <f t="shared" si="18"/>
        <v>2.9166666666666665</v>
      </c>
      <c r="N175" t="str">
        <f t="shared" si="19"/>
        <v>Breached</v>
      </c>
      <c r="O175" t="str">
        <f t="shared" si="23"/>
        <v>Satisfied</v>
      </c>
      <c r="P175" t="str">
        <f t="shared" si="20"/>
        <v>Resolved</v>
      </c>
      <c r="Q175" s="2" t="str">
        <f t="shared" si="21"/>
        <v>Sep-2025</v>
      </c>
      <c r="R175" s="2">
        <f t="shared" si="22"/>
        <v>45901</v>
      </c>
    </row>
    <row r="176" spans="1:18">
      <c r="A176" t="s">
        <v>380</v>
      </c>
      <c r="B176" s="2" t="s">
        <v>381</v>
      </c>
      <c r="C176">
        <v>1550</v>
      </c>
      <c r="D176" t="s">
        <v>12</v>
      </c>
      <c r="E176" t="s">
        <v>13</v>
      </c>
      <c r="F176" t="s">
        <v>71</v>
      </c>
      <c r="G176">
        <v>5</v>
      </c>
      <c r="H176">
        <v>281</v>
      </c>
      <c r="I176" t="s">
        <v>15</v>
      </c>
      <c r="K176" s="1">
        <f t="shared" si="16"/>
        <v>45902</v>
      </c>
      <c r="L176" s="3">
        <f t="shared" si="17"/>
        <v>4.6833333333333336</v>
      </c>
      <c r="M176" s="3">
        <f t="shared" si="18"/>
        <v>8.3333333333333329E-2</v>
      </c>
      <c r="N176" t="str">
        <f t="shared" si="19"/>
        <v>Within SLA</v>
      </c>
      <c r="O176" t="str">
        <f t="shared" si="23"/>
        <v>No Rating</v>
      </c>
      <c r="P176" t="str">
        <f t="shared" si="20"/>
        <v>Resolved</v>
      </c>
      <c r="Q176" s="2" t="str">
        <f t="shared" si="21"/>
        <v>Sep-2025</v>
      </c>
      <c r="R176" s="2">
        <f t="shared" si="22"/>
        <v>45901</v>
      </c>
    </row>
    <row r="177" spans="1:18">
      <c r="A177" t="s">
        <v>382</v>
      </c>
      <c r="B177" s="2" t="s">
        <v>383</v>
      </c>
      <c r="C177">
        <v>1296</v>
      </c>
      <c r="D177" t="s">
        <v>32</v>
      </c>
      <c r="E177" t="s">
        <v>33</v>
      </c>
      <c r="F177" t="s">
        <v>64</v>
      </c>
      <c r="G177">
        <v>295</v>
      </c>
      <c r="H177">
        <v>4077</v>
      </c>
      <c r="I177" t="s">
        <v>15</v>
      </c>
      <c r="J177">
        <v>4</v>
      </c>
      <c r="K177" s="1">
        <f t="shared" si="16"/>
        <v>45902</v>
      </c>
      <c r="L177" s="3">
        <f t="shared" si="17"/>
        <v>67.95</v>
      </c>
      <c r="M177" s="3">
        <f t="shared" si="18"/>
        <v>4.916666666666667</v>
      </c>
      <c r="N177" t="str">
        <f t="shared" si="19"/>
        <v>Within SLA</v>
      </c>
      <c r="O177" t="str">
        <f t="shared" si="23"/>
        <v>Satisfied</v>
      </c>
      <c r="P177" t="str">
        <f t="shared" si="20"/>
        <v>Resolved</v>
      </c>
      <c r="Q177" s="2" t="str">
        <f t="shared" si="21"/>
        <v>Sep-2025</v>
      </c>
      <c r="R177" s="2">
        <f t="shared" si="22"/>
        <v>45901</v>
      </c>
    </row>
    <row r="178" spans="1:18">
      <c r="A178" t="s">
        <v>384</v>
      </c>
      <c r="B178" s="2" t="s">
        <v>385</v>
      </c>
      <c r="C178">
        <v>1640</v>
      </c>
      <c r="D178" t="s">
        <v>18</v>
      </c>
      <c r="E178" t="s">
        <v>19</v>
      </c>
      <c r="F178" t="s">
        <v>64</v>
      </c>
      <c r="G178">
        <v>13</v>
      </c>
      <c r="H178">
        <v>1051</v>
      </c>
      <c r="I178" t="s">
        <v>15</v>
      </c>
      <c r="J178">
        <v>3</v>
      </c>
      <c r="K178" s="1">
        <f t="shared" si="16"/>
        <v>45903</v>
      </c>
      <c r="L178" s="3">
        <f t="shared" si="17"/>
        <v>17.516666666666666</v>
      </c>
      <c r="M178" s="3">
        <f t="shared" si="18"/>
        <v>0.21666666666666667</v>
      </c>
      <c r="N178" t="str">
        <f t="shared" si="19"/>
        <v>Within SLA</v>
      </c>
      <c r="O178" t="str">
        <f t="shared" si="23"/>
        <v>Neutral</v>
      </c>
      <c r="P178" t="str">
        <f t="shared" si="20"/>
        <v>Resolved</v>
      </c>
      <c r="Q178" s="2" t="str">
        <f t="shared" si="21"/>
        <v>Sep-2025</v>
      </c>
      <c r="R178" s="2">
        <f t="shared" si="22"/>
        <v>45901</v>
      </c>
    </row>
    <row r="179" spans="1:18">
      <c r="A179" t="s">
        <v>386</v>
      </c>
      <c r="B179" s="2" t="s">
        <v>387</v>
      </c>
      <c r="C179">
        <v>1365</v>
      </c>
      <c r="D179" t="s">
        <v>26</v>
      </c>
      <c r="E179" t="s">
        <v>27</v>
      </c>
      <c r="F179" t="s">
        <v>54</v>
      </c>
      <c r="G179">
        <v>150</v>
      </c>
      <c r="H179">
        <v>1870</v>
      </c>
      <c r="I179" t="s">
        <v>15</v>
      </c>
      <c r="J179">
        <v>2</v>
      </c>
      <c r="K179" s="1">
        <f t="shared" si="16"/>
        <v>45903</v>
      </c>
      <c r="L179" s="3">
        <f t="shared" si="17"/>
        <v>31.166666666666668</v>
      </c>
      <c r="M179" s="3">
        <f t="shared" si="18"/>
        <v>2.5</v>
      </c>
      <c r="N179" t="str">
        <f t="shared" si="19"/>
        <v>Within SLA</v>
      </c>
      <c r="O179" t="str">
        <f t="shared" si="23"/>
        <v>Dissatisfied</v>
      </c>
      <c r="P179" t="str">
        <f t="shared" si="20"/>
        <v>Resolved</v>
      </c>
      <c r="Q179" s="2" t="str">
        <f t="shared" si="21"/>
        <v>Sep-2025</v>
      </c>
      <c r="R179" s="2">
        <f t="shared" si="22"/>
        <v>45901</v>
      </c>
    </row>
    <row r="180" spans="1:18">
      <c r="A180" t="s">
        <v>388</v>
      </c>
      <c r="B180" s="2" t="s">
        <v>389</v>
      </c>
      <c r="C180">
        <v>1240</v>
      </c>
      <c r="D180" t="s">
        <v>12</v>
      </c>
      <c r="E180" t="s">
        <v>27</v>
      </c>
      <c r="F180" t="s">
        <v>23</v>
      </c>
      <c r="G180">
        <v>121</v>
      </c>
      <c r="I180" t="s">
        <v>44</v>
      </c>
      <c r="K180" s="1">
        <f t="shared" si="16"/>
        <v>45903</v>
      </c>
      <c r="L180" s="3" t="str">
        <f t="shared" si="17"/>
        <v/>
      </c>
      <c r="M180" s="3">
        <f t="shared" si="18"/>
        <v>2.0166666666666666</v>
      </c>
      <c r="N180" t="str">
        <f t="shared" si="19"/>
        <v>Open</v>
      </c>
      <c r="O180" t="str">
        <f t="shared" si="23"/>
        <v>No Rating</v>
      </c>
      <c r="P180" t="str">
        <f t="shared" si="20"/>
        <v>Unresolved</v>
      </c>
      <c r="Q180" s="2" t="str">
        <f t="shared" si="21"/>
        <v>Sep-2025</v>
      </c>
      <c r="R180" s="2">
        <f t="shared" si="22"/>
        <v>45901</v>
      </c>
    </row>
    <row r="181" spans="1:18">
      <c r="A181" t="s">
        <v>390</v>
      </c>
      <c r="B181" s="2" t="s">
        <v>391</v>
      </c>
      <c r="C181">
        <v>1362</v>
      </c>
      <c r="D181" t="s">
        <v>18</v>
      </c>
      <c r="E181" t="s">
        <v>19</v>
      </c>
      <c r="F181" t="s">
        <v>54</v>
      </c>
      <c r="G181">
        <v>40</v>
      </c>
      <c r="H181">
        <v>1239</v>
      </c>
      <c r="I181" t="s">
        <v>15</v>
      </c>
      <c r="J181">
        <v>2</v>
      </c>
      <c r="K181" s="1">
        <f t="shared" si="16"/>
        <v>45904</v>
      </c>
      <c r="L181" s="3">
        <f t="shared" si="17"/>
        <v>20.65</v>
      </c>
      <c r="M181" s="3">
        <f t="shared" si="18"/>
        <v>0.66666666666666663</v>
      </c>
      <c r="N181" t="str">
        <f t="shared" si="19"/>
        <v>Within SLA</v>
      </c>
      <c r="O181" t="str">
        <f t="shared" si="23"/>
        <v>Dissatisfied</v>
      </c>
      <c r="P181" t="str">
        <f t="shared" si="20"/>
        <v>Resolved</v>
      </c>
      <c r="Q181" s="2" t="str">
        <f t="shared" si="21"/>
        <v>Sep-2025</v>
      </c>
      <c r="R181" s="2">
        <f t="shared" si="22"/>
        <v>45901</v>
      </c>
    </row>
    <row r="182" spans="1:18">
      <c r="A182" t="s">
        <v>392</v>
      </c>
      <c r="B182" s="2" t="s">
        <v>393</v>
      </c>
      <c r="C182">
        <v>1205</v>
      </c>
      <c r="D182" t="s">
        <v>26</v>
      </c>
      <c r="E182" t="s">
        <v>27</v>
      </c>
      <c r="F182" t="s">
        <v>28</v>
      </c>
      <c r="G182">
        <v>47</v>
      </c>
      <c r="H182">
        <v>2804</v>
      </c>
      <c r="I182" t="s">
        <v>15</v>
      </c>
      <c r="J182">
        <v>5</v>
      </c>
      <c r="K182" s="1">
        <f t="shared" si="16"/>
        <v>45904</v>
      </c>
      <c r="L182" s="3">
        <f t="shared" si="17"/>
        <v>46.733333333333334</v>
      </c>
      <c r="M182" s="3">
        <f t="shared" si="18"/>
        <v>0.78333333333333333</v>
      </c>
      <c r="N182" t="str">
        <f t="shared" si="19"/>
        <v>Within SLA</v>
      </c>
      <c r="O182" t="str">
        <f t="shared" si="23"/>
        <v>Satisfied</v>
      </c>
      <c r="P182" t="str">
        <f t="shared" si="20"/>
        <v>Resolved</v>
      </c>
      <c r="Q182" s="2" t="str">
        <f t="shared" si="21"/>
        <v>Sep-2025</v>
      </c>
      <c r="R182" s="2">
        <f t="shared" si="22"/>
        <v>45901</v>
      </c>
    </row>
    <row r="183" spans="1:18">
      <c r="A183" t="s">
        <v>394</v>
      </c>
      <c r="B183" s="2" t="s">
        <v>395</v>
      </c>
      <c r="C183">
        <v>1217</v>
      </c>
      <c r="D183" t="s">
        <v>32</v>
      </c>
      <c r="E183" t="s">
        <v>33</v>
      </c>
      <c r="F183" t="s">
        <v>71</v>
      </c>
      <c r="G183">
        <v>73</v>
      </c>
      <c r="H183">
        <v>6965</v>
      </c>
      <c r="I183" t="s">
        <v>15</v>
      </c>
      <c r="K183" s="1">
        <f t="shared" si="16"/>
        <v>45905</v>
      </c>
      <c r="L183" s="3">
        <f t="shared" si="17"/>
        <v>116.08333333333333</v>
      </c>
      <c r="M183" s="3">
        <f t="shared" si="18"/>
        <v>1.2166666666666666</v>
      </c>
      <c r="N183" t="str">
        <f t="shared" si="19"/>
        <v>Breached</v>
      </c>
      <c r="O183" t="str">
        <f t="shared" si="23"/>
        <v>No Rating</v>
      </c>
      <c r="P183" t="str">
        <f t="shared" si="20"/>
        <v>Resolved</v>
      </c>
      <c r="Q183" s="2" t="str">
        <f t="shared" si="21"/>
        <v>Sep-2025</v>
      </c>
      <c r="R183" s="2">
        <f t="shared" si="22"/>
        <v>45901</v>
      </c>
    </row>
    <row r="184" spans="1:18">
      <c r="A184" t="s">
        <v>396</v>
      </c>
      <c r="B184" s="2" t="s">
        <v>397</v>
      </c>
      <c r="C184">
        <v>1770</v>
      </c>
      <c r="D184" t="s">
        <v>32</v>
      </c>
      <c r="E184" t="s">
        <v>33</v>
      </c>
      <c r="F184" t="s">
        <v>64</v>
      </c>
      <c r="G184">
        <v>269</v>
      </c>
      <c r="H184">
        <v>8621</v>
      </c>
      <c r="I184" t="s">
        <v>15</v>
      </c>
      <c r="K184" s="1">
        <f t="shared" si="16"/>
        <v>45905</v>
      </c>
      <c r="L184" s="3">
        <f t="shared" si="17"/>
        <v>143.68333333333334</v>
      </c>
      <c r="M184" s="3">
        <f t="shared" si="18"/>
        <v>4.4833333333333334</v>
      </c>
      <c r="N184" t="str">
        <f t="shared" si="19"/>
        <v>Breached</v>
      </c>
      <c r="O184" t="str">
        <f t="shared" si="23"/>
        <v>No Rating</v>
      </c>
      <c r="P184" t="str">
        <f t="shared" si="20"/>
        <v>Resolved</v>
      </c>
      <c r="Q184" s="2" t="str">
        <f t="shared" si="21"/>
        <v>Sep-2025</v>
      </c>
      <c r="R184" s="2">
        <f t="shared" si="22"/>
        <v>45901</v>
      </c>
    </row>
    <row r="185" spans="1:18">
      <c r="A185" t="s">
        <v>398</v>
      </c>
      <c r="B185" s="2" t="s">
        <v>399</v>
      </c>
      <c r="C185">
        <v>1629</v>
      </c>
      <c r="D185" t="s">
        <v>47</v>
      </c>
      <c r="E185" t="s">
        <v>27</v>
      </c>
      <c r="F185" t="s">
        <v>34</v>
      </c>
      <c r="G185">
        <v>130</v>
      </c>
      <c r="I185" t="s">
        <v>44</v>
      </c>
      <c r="K185" s="1">
        <f t="shared" si="16"/>
        <v>45905</v>
      </c>
      <c r="L185" s="3" t="str">
        <f t="shared" si="17"/>
        <v/>
      </c>
      <c r="M185" s="3">
        <f t="shared" si="18"/>
        <v>2.1666666666666665</v>
      </c>
      <c r="N185" t="str">
        <f t="shared" si="19"/>
        <v>Open</v>
      </c>
      <c r="O185" t="str">
        <f t="shared" si="23"/>
        <v>No Rating</v>
      </c>
      <c r="P185" t="str">
        <f t="shared" si="20"/>
        <v>Unresolved</v>
      </c>
      <c r="Q185" s="2" t="str">
        <f t="shared" si="21"/>
        <v>Sep-2025</v>
      </c>
      <c r="R185" s="2">
        <f t="shared" si="22"/>
        <v>45901</v>
      </c>
    </row>
    <row r="186" spans="1:18">
      <c r="A186" t="s">
        <v>400</v>
      </c>
      <c r="B186" s="2" t="s">
        <v>401</v>
      </c>
      <c r="C186">
        <v>1027</v>
      </c>
      <c r="D186" t="s">
        <v>18</v>
      </c>
      <c r="E186" t="s">
        <v>19</v>
      </c>
      <c r="F186" t="s">
        <v>14</v>
      </c>
      <c r="G186">
        <v>9</v>
      </c>
      <c r="H186">
        <v>1073</v>
      </c>
      <c r="I186" t="s">
        <v>15</v>
      </c>
      <c r="K186" s="1">
        <f t="shared" si="16"/>
        <v>45906</v>
      </c>
      <c r="L186" s="3">
        <f t="shared" si="17"/>
        <v>17.883333333333333</v>
      </c>
      <c r="M186" s="3">
        <f t="shared" si="18"/>
        <v>0.15</v>
      </c>
      <c r="N186" t="str">
        <f t="shared" si="19"/>
        <v>Within SLA</v>
      </c>
      <c r="O186" t="str">
        <f t="shared" si="23"/>
        <v>No Rating</v>
      </c>
      <c r="P186" t="str">
        <f t="shared" si="20"/>
        <v>Resolved</v>
      </c>
      <c r="Q186" s="2" t="str">
        <f t="shared" si="21"/>
        <v>Sep-2025</v>
      </c>
      <c r="R186" s="2">
        <f t="shared" si="22"/>
        <v>45901</v>
      </c>
    </row>
    <row r="187" spans="1:18">
      <c r="A187" t="s">
        <v>402</v>
      </c>
      <c r="B187" s="2" t="s">
        <v>403</v>
      </c>
      <c r="C187">
        <v>1506</v>
      </c>
      <c r="D187" t="s">
        <v>26</v>
      </c>
      <c r="E187" t="s">
        <v>33</v>
      </c>
      <c r="F187" t="s">
        <v>34</v>
      </c>
      <c r="G187">
        <v>252</v>
      </c>
      <c r="H187">
        <v>1481</v>
      </c>
      <c r="I187" t="s">
        <v>15</v>
      </c>
      <c r="J187">
        <v>5</v>
      </c>
      <c r="K187" s="1">
        <f t="shared" si="16"/>
        <v>45906</v>
      </c>
      <c r="L187" s="3">
        <f t="shared" si="17"/>
        <v>24.683333333333334</v>
      </c>
      <c r="M187" s="3">
        <f t="shared" si="18"/>
        <v>4.2</v>
      </c>
      <c r="N187" t="str">
        <f t="shared" si="19"/>
        <v>Within SLA</v>
      </c>
      <c r="O187" t="str">
        <f t="shared" si="23"/>
        <v>Satisfied</v>
      </c>
      <c r="P187" t="str">
        <f t="shared" si="20"/>
        <v>Resolved</v>
      </c>
      <c r="Q187" s="2" t="str">
        <f t="shared" si="21"/>
        <v>Sep-2025</v>
      </c>
      <c r="R187" s="2">
        <f t="shared" si="22"/>
        <v>45901</v>
      </c>
    </row>
    <row r="188" spans="1:18">
      <c r="A188" t="s">
        <v>404</v>
      </c>
      <c r="B188" s="2" t="s">
        <v>405</v>
      </c>
      <c r="C188">
        <v>1112</v>
      </c>
      <c r="D188" t="s">
        <v>47</v>
      </c>
      <c r="E188" t="s">
        <v>19</v>
      </c>
      <c r="F188" t="s">
        <v>23</v>
      </c>
      <c r="G188">
        <v>24</v>
      </c>
      <c r="H188">
        <v>150</v>
      </c>
      <c r="I188" t="s">
        <v>15</v>
      </c>
      <c r="J188">
        <v>1</v>
      </c>
      <c r="K188" s="1">
        <f t="shared" si="16"/>
        <v>45906</v>
      </c>
      <c r="L188" s="3">
        <f t="shared" si="17"/>
        <v>2.5</v>
      </c>
      <c r="M188" s="3">
        <f t="shared" si="18"/>
        <v>0.4</v>
      </c>
      <c r="N188" t="str">
        <f t="shared" si="19"/>
        <v>Within SLA</v>
      </c>
      <c r="O188" t="str">
        <f t="shared" si="23"/>
        <v>Dissatisfied</v>
      </c>
      <c r="P188" t="str">
        <f t="shared" si="20"/>
        <v>Resolved</v>
      </c>
      <c r="Q188" s="2" t="str">
        <f t="shared" si="21"/>
        <v>Sep-2025</v>
      </c>
      <c r="R188" s="2">
        <f t="shared" si="22"/>
        <v>45901</v>
      </c>
    </row>
    <row r="189" spans="1:18">
      <c r="A189" t="s">
        <v>406</v>
      </c>
      <c r="B189" s="2" t="s">
        <v>407</v>
      </c>
      <c r="C189">
        <v>1361</v>
      </c>
      <c r="D189" t="s">
        <v>26</v>
      </c>
      <c r="E189" t="s">
        <v>13</v>
      </c>
      <c r="F189" t="s">
        <v>59</v>
      </c>
      <c r="G189">
        <v>6</v>
      </c>
      <c r="H189">
        <v>176</v>
      </c>
      <c r="I189" t="s">
        <v>15</v>
      </c>
      <c r="J189">
        <v>4</v>
      </c>
      <c r="K189" s="1">
        <f t="shared" si="16"/>
        <v>45907</v>
      </c>
      <c r="L189" s="3">
        <f t="shared" si="17"/>
        <v>2.9333333333333331</v>
      </c>
      <c r="M189" s="3">
        <f t="shared" si="18"/>
        <v>0.1</v>
      </c>
      <c r="N189" t="str">
        <f t="shared" si="19"/>
        <v>Within SLA</v>
      </c>
      <c r="O189" t="str">
        <f t="shared" si="23"/>
        <v>Satisfied</v>
      </c>
      <c r="P189" t="str">
        <f t="shared" si="20"/>
        <v>Resolved</v>
      </c>
      <c r="Q189" s="2" t="str">
        <f t="shared" si="21"/>
        <v>Sep-2025</v>
      </c>
      <c r="R189" s="2">
        <f t="shared" si="22"/>
        <v>45901</v>
      </c>
    </row>
    <row r="190" spans="1:18">
      <c r="A190" t="s">
        <v>408</v>
      </c>
      <c r="B190" s="2" t="s">
        <v>409</v>
      </c>
      <c r="C190">
        <v>1643</v>
      </c>
      <c r="D190" t="s">
        <v>12</v>
      </c>
      <c r="E190" t="s">
        <v>33</v>
      </c>
      <c r="F190" t="s">
        <v>71</v>
      </c>
      <c r="G190">
        <v>460</v>
      </c>
      <c r="H190">
        <v>1604</v>
      </c>
      <c r="I190" t="s">
        <v>15</v>
      </c>
      <c r="J190">
        <v>4</v>
      </c>
      <c r="K190" s="1">
        <f t="shared" si="16"/>
        <v>45907</v>
      </c>
      <c r="L190" s="3">
        <f t="shared" si="17"/>
        <v>26.733333333333334</v>
      </c>
      <c r="M190" s="3">
        <f t="shared" si="18"/>
        <v>7.666666666666667</v>
      </c>
      <c r="N190" t="str">
        <f t="shared" si="19"/>
        <v>Within SLA</v>
      </c>
      <c r="O190" t="str">
        <f t="shared" si="23"/>
        <v>Satisfied</v>
      </c>
      <c r="P190" t="str">
        <f t="shared" si="20"/>
        <v>Resolved</v>
      </c>
      <c r="Q190" s="2" t="str">
        <f t="shared" si="21"/>
        <v>Sep-2025</v>
      </c>
      <c r="R190" s="2">
        <f t="shared" si="22"/>
        <v>45901</v>
      </c>
    </row>
    <row r="191" spans="1:18">
      <c r="A191" t="s">
        <v>410</v>
      </c>
      <c r="B191" s="2" t="s">
        <v>411</v>
      </c>
      <c r="C191">
        <v>1478</v>
      </c>
      <c r="D191" t="s">
        <v>12</v>
      </c>
      <c r="E191" t="s">
        <v>13</v>
      </c>
      <c r="F191" t="s">
        <v>54</v>
      </c>
      <c r="G191">
        <v>9</v>
      </c>
      <c r="I191" t="s">
        <v>44</v>
      </c>
      <c r="K191" s="1">
        <f t="shared" si="16"/>
        <v>45907</v>
      </c>
      <c r="L191" s="3" t="str">
        <f t="shared" si="17"/>
        <v/>
      </c>
      <c r="M191" s="3">
        <f t="shared" si="18"/>
        <v>0.15</v>
      </c>
      <c r="N191" t="str">
        <f t="shared" si="19"/>
        <v>Open</v>
      </c>
      <c r="O191" t="str">
        <f t="shared" si="23"/>
        <v>No Rating</v>
      </c>
      <c r="P191" t="str">
        <f t="shared" si="20"/>
        <v>Unresolved</v>
      </c>
      <c r="Q191" s="2" t="str">
        <f t="shared" si="21"/>
        <v>Sep-2025</v>
      </c>
      <c r="R191" s="2">
        <f t="shared" si="22"/>
        <v>45901</v>
      </c>
    </row>
    <row r="192" spans="1:18">
      <c r="A192" t="s">
        <v>412</v>
      </c>
      <c r="B192" s="2" t="s">
        <v>413</v>
      </c>
      <c r="C192">
        <v>1866</v>
      </c>
      <c r="D192" t="s">
        <v>32</v>
      </c>
      <c r="E192" t="s">
        <v>27</v>
      </c>
      <c r="F192" t="s">
        <v>54</v>
      </c>
      <c r="G192">
        <v>176</v>
      </c>
      <c r="I192" t="s">
        <v>44</v>
      </c>
      <c r="K192" s="1">
        <f t="shared" si="16"/>
        <v>45908</v>
      </c>
      <c r="L192" s="3" t="str">
        <f t="shared" si="17"/>
        <v/>
      </c>
      <c r="M192" s="3">
        <f t="shared" si="18"/>
        <v>2.9333333333333331</v>
      </c>
      <c r="N192" t="str">
        <f t="shared" si="19"/>
        <v>Open</v>
      </c>
      <c r="O192" t="str">
        <f t="shared" si="23"/>
        <v>No Rating</v>
      </c>
      <c r="P192" t="str">
        <f t="shared" si="20"/>
        <v>Unresolved</v>
      </c>
      <c r="Q192" s="2" t="str">
        <f t="shared" si="21"/>
        <v>Sep-2025</v>
      </c>
      <c r="R192" s="2">
        <f t="shared" si="22"/>
        <v>45901</v>
      </c>
    </row>
    <row r="193" spans="1:18">
      <c r="A193" t="s">
        <v>414</v>
      </c>
      <c r="B193" s="2" t="s">
        <v>415</v>
      </c>
      <c r="C193">
        <v>1505</v>
      </c>
      <c r="D193" t="s">
        <v>18</v>
      </c>
      <c r="E193" t="s">
        <v>13</v>
      </c>
      <c r="F193" t="s">
        <v>54</v>
      </c>
      <c r="G193">
        <v>3</v>
      </c>
      <c r="H193">
        <v>94</v>
      </c>
      <c r="I193" t="s">
        <v>15</v>
      </c>
      <c r="K193" s="1">
        <f t="shared" si="16"/>
        <v>45908</v>
      </c>
      <c r="L193" s="3">
        <f t="shared" si="17"/>
        <v>1.5666666666666667</v>
      </c>
      <c r="M193" s="3">
        <f t="shared" si="18"/>
        <v>0.05</v>
      </c>
      <c r="N193" t="str">
        <f t="shared" si="19"/>
        <v>Within SLA</v>
      </c>
      <c r="O193" t="str">
        <f t="shared" si="23"/>
        <v>No Rating</v>
      </c>
      <c r="P193" t="str">
        <f t="shared" si="20"/>
        <v>Resolved</v>
      </c>
      <c r="Q193" s="2" t="str">
        <f t="shared" si="21"/>
        <v>Sep-2025</v>
      </c>
      <c r="R193" s="2">
        <f t="shared" si="22"/>
        <v>45901</v>
      </c>
    </row>
    <row r="194" spans="1:18">
      <c r="A194" t="s">
        <v>416</v>
      </c>
      <c r="B194" s="2" t="s">
        <v>417</v>
      </c>
      <c r="C194">
        <v>1413</v>
      </c>
      <c r="D194" t="s">
        <v>26</v>
      </c>
      <c r="E194" t="s">
        <v>19</v>
      </c>
      <c r="F194" t="s">
        <v>59</v>
      </c>
      <c r="G194">
        <v>32</v>
      </c>
      <c r="H194">
        <v>926</v>
      </c>
      <c r="I194" t="s">
        <v>15</v>
      </c>
      <c r="J194">
        <v>5</v>
      </c>
      <c r="K194" s="1">
        <f t="shared" si="16"/>
        <v>45909</v>
      </c>
      <c r="L194" s="3">
        <f t="shared" si="17"/>
        <v>15.433333333333334</v>
      </c>
      <c r="M194" s="3">
        <f t="shared" si="18"/>
        <v>0.53333333333333333</v>
      </c>
      <c r="N194" t="str">
        <f t="shared" si="19"/>
        <v>Within SLA</v>
      </c>
      <c r="O194" t="str">
        <f t="shared" si="23"/>
        <v>Satisfied</v>
      </c>
      <c r="P194" t="str">
        <f t="shared" si="20"/>
        <v>Resolved</v>
      </c>
      <c r="Q194" s="2" t="str">
        <f t="shared" si="21"/>
        <v>Sep-2025</v>
      </c>
      <c r="R194" s="2">
        <f t="shared" si="22"/>
        <v>45901</v>
      </c>
    </row>
    <row r="195" spans="1:18">
      <c r="A195" t="s">
        <v>418</v>
      </c>
      <c r="B195" s="2" t="s">
        <v>419</v>
      </c>
      <c r="C195">
        <v>1855</v>
      </c>
      <c r="D195" t="s">
        <v>26</v>
      </c>
      <c r="E195" t="s">
        <v>33</v>
      </c>
      <c r="F195" t="s">
        <v>64</v>
      </c>
      <c r="G195">
        <v>373</v>
      </c>
      <c r="H195">
        <v>6244</v>
      </c>
      <c r="I195" t="s">
        <v>20</v>
      </c>
      <c r="J195">
        <v>5</v>
      </c>
      <c r="K195" s="1">
        <f t="shared" ref="K195:K258" si="24">IF(B195="","",DATEVALUE(LEFT(B195,10)))</f>
        <v>45909</v>
      </c>
      <c r="L195" s="3">
        <f t="shared" ref="L195:L258" si="25">IF(H195="","",H195/60)</f>
        <v>104.06666666666666</v>
      </c>
      <c r="M195" s="3">
        <f t="shared" ref="M195:M258" si="26">IF(G195="","",G195/60)</f>
        <v>6.2166666666666668</v>
      </c>
      <c r="N195" t="str">
        <f t="shared" ref="N195:N258" si="27">IF(L195="","Open",IF(L195&lt;=IF(E195="Urgent",8,IF(E195="High",24,IF(E195="Normal",48,72))),"Within SLA","Breached"))</f>
        <v>Breached</v>
      </c>
      <c r="O195" t="str">
        <f t="shared" si="23"/>
        <v>Satisfied</v>
      </c>
      <c r="P195" t="str">
        <f t="shared" ref="P195:P258" si="28">IF(I195="Closed","Resolved",IF(I195="Resolved","Resolved","Unresolved"))</f>
        <v>Resolved</v>
      </c>
      <c r="Q195" s="2" t="str">
        <f t="shared" ref="Q195:Q258" si="29">IF(K195="","",TEXT(K195,"mmm-yyyy"))</f>
        <v>Sep-2025</v>
      </c>
      <c r="R195" s="2">
        <f t="shared" ref="R195:R258" si="30">IF(K195="","",DATE(YEAR(K195),MONTH(K195),1))</f>
        <v>45901</v>
      </c>
    </row>
    <row r="196" spans="1:18">
      <c r="A196" t="s">
        <v>420</v>
      </c>
      <c r="B196" s="2" t="s">
        <v>421</v>
      </c>
      <c r="C196">
        <v>1066</v>
      </c>
      <c r="D196" t="s">
        <v>12</v>
      </c>
      <c r="E196" t="s">
        <v>19</v>
      </c>
      <c r="F196" t="s">
        <v>34</v>
      </c>
      <c r="G196">
        <v>45</v>
      </c>
      <c r="H196">
        <v>651</v>
      </c>
      <c r="I196" t="s">
        <v>20</v>
      </c>
      <c r="K196" s="1">
        <f t="shared" si="24"/>
        <v>45909</v>
      </c>
      <c r="L196" s="3">
        <f t="shared" si="25"/>
        <v>10.85</v>
      </c>
      <c r="M196" s="3">
        <f t="shared" si="26"/>
        <v>0.75</v>
      </c>
      <c r="N196" t="str">
        <f t="shared" si="27"/>
        <v>Within SLA</v>
      </c>
      <c r="O196" t="str">
        <f t="shared" ref="O196:O259" si="31">IF(J196="","No Rating",IF(J196&gt;=4,"Satisfied",IF(J196=3,"Neutral","Dissatisfied")))</f>
        <v>No Rating</v>
      </c>
      <c r="P196" t="str">
        <f t="shared" si="28"/>
        <v>Resolved</v>
      </c>
      <c r="Q196" s="2" t="str">
        <f t="shared" si="29"/>
        <v>Sep-2025</v>
      </c>
      <c r="R196" s="2">
        <f t="shared" si="30"/>
        <v>45901</v>
      </c>
    </row>
    <row r="197" spans="1:18">
      <c r="A197" t="s">
        <v>422</v>
      </c>
      <c r="B197" s="2" t="s">
        <v>423</v>
      </c>
      <c r="C197">
        <v>1252</v>
      </c>
      <c r="D197" t="s">
        <v>26</v>
      </c>
      <c r="E197" t="s">
        <v>33</v>
      </c>
      <c r="F197" t="s">
        <v>28</v>
      </c>
      <c r="G197">
        <v>332</v>
      </c>
      <c r="H197">
        <v>2889</v>
      </c>
      <c r="I197" t="s">
        <v>15</v>
      </c>
      <c r="J197">
        <v>2</v>
      </c>
      <c r="K197" s="1">
        <f t="shared" si="24"/>
        <v>45910</v>
      </c>
      <c r="L197" s="3">
        <f t="shared" si="25"/>
        <v>48.15</v>
      </c>
      <c r="M197" s="3">
        <f t="shared" si="26"/>
        <v>5.5333333333333332</v>
      </c>
      <c r="N197" t="str">
        <f t="shared" si="27"/>
        <v>Within SLA</v>
      </c>
      <c r="O197" t="str">
        <f t="shared" si="31"/>
        <v>Dissatisfied</v>
      </c>
      <c r="P197" t="str">
        <f t="shared" si="28"/>
        <v>Resolved</v>
      </c>
      <c r="Q197" s="2" t="str">
        <f t="shared" si="29"/>
        <v>Sep-2025</v>
      </c>
      <c r="R197" s="2">
        <f t="shared" si="30"/>
        <v>45901</v>
      </c>
    </row>
    <row r="198" spans="1:18">
      <c r="A198" t="s">
        <v>424</v>
      </c>
      <c r="B198" s="2" t="s">
        <v>425</v>
      </c>
      <c r="C198">
        <v>1015</v>
      </c>
      <c r="D198" t="s">
        <v>47</v>
      </c>
      <c r="E198" t="s">
        <v>19</v>
      </c>
      <c r="F198" t="s">
        <v>64</v>
      </c>
      <c r="G198">
        <v>17</v>
      </c>
      <c r="I198" t="s">
        <v>44</v>
      </c>
      <c r="K198" s="1">
        <f t="shared" si="24"/>
        <v>45910</v>
      </c>
      <c r="L198" s="3" t="str">
        <f t="shared" si="25"/>
        <v/>
      </c>
      <c r="M198" s="3">
        <f t="shared" si="26"/>
        <v>0.28333333333333333</v>
      </c>
      <c r="N198" t="str">
        <f t="shared" si="27"/>
        <v>Open</v>
      </c>
      <c r="O198" t="str">
        <f t="shared" si="31"/>
        <v>No Rating</v>
      </c>
      <c r="P198" t="str">
        <f t="shared" si="28"/>
        <v>Unresolved</v>
      </c>
      <c r="Q198" s="2" t="str">
        <f t="shared" si="29"/>
        <v>Sep-2025</v>
      </c>
      <c r="R198" s="2">
        <f t="shared" si="30"/>
        <v>45901</v>
      </c>
    </row>
    <row r="199" spans="1:18">
      <c r="A199" t="s">
        <v>426</v>
      </c>
      <c r="B199" s="2" t="s">
        <v>427</v>
      </c>
      <c r="C199">
        <v>1415</v>
      </c>
      <c r="D199" t="s">
        <v>32</v>
      </c>
      <c r="E199" t="s">
        <v>33</v>
      </c>
      <c r="F199" t="s">
        <v>64</v>
      </c>
      <c r="G199">
        <v>259</v>
      </c>
      <c r="I199" t="s">
        <v>44</v>
      </c>
      <c r="K199" s="1">
        <f t="shared" si="24"/>
        <v>45910</v>
      </c>
      <c r="L199" s="3" t="str">
        <f t="shared" si="25"/>
        <v/>
      </c>
      <c r="M199" s="3">
        <f t="shared" si="26"/>
        <v>4.3166666666666664</v>
      </c>
      <c r="N199" t="str">
        <f t="shared" si="27"/>
        <v>Open</v>
      </c>
      <c r="O199" t="str">
        <f t="shared" si="31"/>
        <v>No Rating</v>
      </c>
      <c r="P199" t="str">
        <f t="shared" si="28"/>
        <v>Unresolved</v>
      </c>
      <c r="Q199" s="2" t="str">
        <f t="shared" si="29"/>
        <v>Sep-2025</v>
      </c>
      <c r="R199" s="2">
        <f t="shared" si="30"/>
        <v>45901</v>
      </c>
    </row>
    <row r="200" spans="1:18">
      <c r="A200" t="s">
        <v>428</v>
      </c>
      <c r="B200" s="2" t="s">
        <v>429</v>
      </c>
      <c r="C200">
        <v>1978</v>
      </c>
      <c r="D200" t="s">
        <v>47</v>
      </c>
      <c r="E200" t="s">
        <v>19</v>
      </c>
      <c r="F200" t="s">
        <v>14</v>
      </c>
      <c r="G200">
        <v>28</v>
      </c>
      <c r="H200">
        <v>246</v>
      </c>
      <c r="I200" t="s">
        <v>15</v>
      </c>
      <c r="J200">
        <v>4</v>
      </c>
      <c r="K200" s="1">
        <f t="shared" si="24"/>
        <v>45911</v>
      </c>
      <c r="L200" s="3">
        <f t="shared" si="25"/>
        <v>4.0999999999999996</v>
      </c>
      <c r="M200" s="3">
        <f t="shared" si="26"/>
        <v>0.46666666666666667</v>
      </c>
      <c r="N200" t="str">
        <f t="shared" si="27"/>
        <v>Within SLA</v>
      </c>
      <c r="O200" t="str">
        <f t="shared" si="31"/>
        <v>Satisfied</v>
      </c>
      <c r="P200" t="str">
        <f t="shared" si="28"/>
        <v>Resolved</v>
      </c>
      <c r="Q200" s="2" t="str">
        <f t="shared" si="29"/>
        <v>Sep-2025</v>
      </c>
      <c r="R200" s="2">
        <f t="shared" si="30"/>
        <v>45901</v>
      </c>
    </row>
    <row r="201" spans="1:18">
      <c r="A201" t="s">
        <v>430</v>
      </c>
      <c r="B201" s="2" t="s">
        <v>431</v>
      </c>
      <c r="C201">
        <v>1061</v>
      </c>
      <c r="D201" t="s">
        <v>18</v>
      </c>
      <c r="E201" t="s">
        <v>13</v>
      </c>
      <c r="F201" t="s">
        <v>64</v>
      </c>
      <c r="G201">
        <v>3</v>
      </c>
      <c r="I201" t="s">
        <v>44</v>
      </c>
      <c r="K201" s="1">
        <f t="shared" si="24"/>
        <v>45911</v>
      </c>
      <c r="L201" s="3" t="str">
        <f t="shared" si="25"/>
        <v/>
      </c>
      <c r="M201" s="3">
        <f t="shared" si="26"/>
        <v>0.05</v>
      </c>
      <c r="N201" t="str">
        <f t="shared" si="27"/>
        <v>Open</v>
      </c>
      <c r="O201" t="str">
        <f t="shared" si="31"/>
        <v>No Rating</v>
      </c>
      <c r="P201" t="str">
        <f t="shared" si="28"/>
        <v>Unresolved</v>
      </c>
      <c r="Q201" s="2" t="str">
        <f t="shared" si="29"/>
        <v>Sep-2025</v>
      </c>
      <c r="R201" s="2">
        <f t="shared" si="30"/>
        <v>45901</v>
      </c>
    </row>
    <row r="202" spans="1:18">
      <c r="A202" t="s">
        <v>432</v>
      </c>
      <c r="B202" s="2" t="s">
        <v>433</v>
      </c>
      <c r="C202">
        <v>1214</v>
      </c>
      <c r="D202" t="s">
        <v>26</v>
      </c>
      <c r="E202" t="s">
        <v>27</v>
      </c>
      <c r="F202" t="s">
        <v>54</v>
      </c>
      <c r="G202">
        <v>72</v>
      </c>
      <c r="H202">
        <v>2342</v>
      </c>
      <c r="I202" t="s">
        <v>15</v>
      </c>
      <c r="J202">
        <v>2</v>
      </c>
      <c r="K202" s="1">
        <f t="shared" si="24"/>
        <v>45912</v>
      </c>
      <c r="L202" s="3">
        <f t="shared" si="25"/>
        <v>39.033333333333331</v>
      </c>
      <c r="M202" s="3">
        <f t="shared" si="26"/>
        <v>1.2</v>
      </c>
      <c r="N202" t="str">
        <f t="shared" si="27"/>
        <v>Within SLA</v>
      </c>
      <c r="O202" t="str">
        <f t="shared" si="31"/>
        <v>Dissatisfied</v>
      </c>
      <c r="P202" t="str">
        <f t="shared" si="28"/>
        <v>Resolved</v>
      </c>
      <c r="Q202" s="2" t="str">
        <f t="shared" si="29"/>
        <v>Sep-2025</v>
      </c>
      <c r="R202" s="2">
        <f t="shared" si="30"/>
        <v>45901</v>
      </c>
    </row>
    <row r="203" spans="1:18">
      <c r="A203" t="s">
        <v>434</v>
      </c>
      <c r="B203" s="2" t="s">
        <v>435</v>
      </c>
      <c r="C203">
        <v>1997</v>
      </c>
      <c r="D203" t="s">
        <v>47</v>
      </c>
      <c r="E203" t="s">
        <v>27</v>
      </c>
      <c r="F203" t="s">
        <v>54</v>
      </c>
      <c r="G203">
        <v>54</v>
      </c>
      <c r="H203">
        <v>1956</v>
      </c>
      <c r="I203" t="s">
        <v>15</v>
      </c>
      <c r="J203">
        <v>3</v>
      </c>
      <c r="K203" s="1">
        <f t="shared" si="24"/>
        <v>45912</v>
      </c>
      <c r="L203" s="3">
        <f t="shared" si="25"/>
        <v>32.6</v>
      </c>
      <c r="M203" s="3">
        <f t="shared" si="26"/>
        <v>0.9</v>
      </c>
      <c r="N203" t="str">
        <f t="shared" si="27"/>
        <v>Within SLA</v>
      </c>
      <c r="O203" t="str">
        <f t="shared" si="31"/>
        <v>Neutral</v>
      </c>
      <c r="P203" t="str">
        <f t="shared" si="28"/>
        <v>Resolved</v>
      </c>
      <c r="Q203" s="2" t="str">
        <f t="shared" si="29"/>
        <v>Sep-2025</v>
      </c>
      <c r="R203" s="2">
        <f t="shared" si="30"/>
        <v>45901</v>
      </c>
    </row>
    <row r="204" spans="1:18">
      <c r="A204" t="s">
        <v>436</v>
      </c>
      <c r="B204" s="2" t="s">
        <v>437</v>
      </c>
      <c r="C204">
        <v>1605</v>
      </c>
      <c r="D204" t="s">
        <v>47</v>
      </c>
      <c r="E204" t="s">
        <v>27</v>
      </c>
      <c r="F204" t="s">
        <v>59</v>
      </c>
      <c r="G204">
        <v>49</v>
      </c>
      <c r="H204">
        <v>2629</v>
      </c>
      <c r="I204" t="s">
        <v>15</v>
      </c>
      <c r="K204" s="1">
        <f t="shared" si="24"/>
        <v>45912</v>
      </c>
      <c r="L204" s="3">
        <f t="shared" si="25"/>
        <v>43.81666666666667</v>
      </c>
      <c r="M204" s="3">
        <f t="shared" si="26"/>
        <v>0.81666666666666665</v>
      </c>
      <c r="N204" t="str">
        <f t="shared" si="27"/>
        <v>Within SLA</v>
      </c>
      <c r="O204" t="str">
        <f t="shared" si="31"/>
        <v>No Rating</v>
      </c>
      <c r="P204" t="str">
        <f t="shared" si="28"/>
        <v>Resolved</v>
      </c>
      <c r="Q204" s="2" t="str">
        <f t="shared" si="29"/>
        <v>Sep-2025</v>
      </c>
      <c r="R204" s="2">
        <f t="shared" si="30"/>
        <v>45901</v>
      </c>
    </row>
    <row r="205" spans="1:18">
      <c r="A205" t="s">
        <v>438</v>
      </c>
      <c r="B205" s="2" t="s">
        <v>439</v>
      </c>
      <c r="C205">
        <v>1622</v>
      </c>
      <c r="D205" t="s">
        <v>47</v>
      </c>
      <c r="E205" t="s">
        <v>27</v>
      </c>
      <c r="F205" t="s">
        <v>23</v>
      </c>
      <c r="G205">
        <v>49</v>
      </c>
      <c r="H205">
        <v>1901</v>
      </c>
      <c r="I205" t="s">
        <v>15</v>
      </c>
      <c r="J205">
        <v>3</v>
      </c>
      <c r="K205" s="1">
        <f t="shared" si="24"/>
        <v>45913</v>
      </c>
      <c r="L205" s="3">
        <f t="shared" si="25"/>
        <v>31.683333333333334</v>
      </c>
      <c r="M205" s="3">
        <f t="shared" si="26"/>
        <v>0.81666666666666665</v>
      </c>
      <c r="N205" t="str">
        <f t="shared" si="27"/>
        <v>Within SLA</v>
      </c>
      <c r="O205" t="str">
        <f t="shared" si="31"/>
        <v>Neutral</v>
      </c>
      <c r="P205" t="str">
        <f t="shared" si="28"/>
        <v>Resolved</v>
      </c>
      <c r="Q205" s="2" t="str">
        <f t="shared" si="29"/>
        <v>Sep-2025</v>
      </c>
      <c r="R205" s="2">
        <f t="shared" si="30"/>
        <v>45901</v>
      </c>
    </row>
    <row r="206" spans="1:18">
      <c r="A206" t="s">
        <v>440</v>
      </c>
      <c r="B206" s="2" t="s">
        <v>441</v>
      </c>
      <c r="C206">
        <v>1882</v>
      </c>
      <c r="D206" t="s">
        <v>32</v>
      </c>
      <c r="E206" t="s">
        <v>27</v>
      </c>
      <c r="F206" t="s">
        <v>64</v>
      </c>
      <c r="G206">
        <v>42</v>
      </c>
      <c r="H206">
        <v>1487</v>
      </c>
      <c r="I206" t="s">
        <v>15</v>
      </c>
      <c r="J206">
        <v>5</v>
      </c>
      <c r="K206" s="1">
        <f t="shared" si="24"/>
        <v>45913</v>
      </c>
      <c r="L206" s="3">
        <f t="shared" si="25"/>
        <v>24.783333333333335</v>
      </c>
      <c r="M206" s="3">
        <f t="shared" si="26"/>
        <v>0.7</v>
      </c>
      <c r="N206" t="str">
        <f t="shared" si="27"/>
        <v>Within SLA</v>
      </c>
      <c r="O206" t="str">
        <f t="shared" si="31"/>
        <v>Satisfied</v>
      </c>
      <c r="P206" t="str">
        <f t="shared" si="28"/>
        <v>Resolved</v>
      </c>
      <c r="Q206" s="2" t="str">
        <f t="shared" si="29"/>
        <v>Sep-2025</v>
      </c>
      <c r="R206" s="2">
        <f t="shared" si="30"/>
        <v>45901</v>
      </c>
    </row>
    <row r="207" spans="1:18">
      <c r="A207" t="s">
        <v>442</v>
      </c>
      <c r="B207" s="2" t="s">
        <v>443</v>
      </c>
      <c r="C207">
        <v>1169</v>
      </c>
      <c r="D207" t="s">
        <v>18</v>
      </c>
      <c r="E207" t="s">
        <v>13</v>
      </c>
      <c r="F207" t="s">
        <v>23</v>
      </c>
      <c r="G207">
        <v>7</v>
      </c>
      <c r="H207">
        <v>194</v>
      </c>
      <c r="I207" t="s">
        <v>15</v>
      </c>
      <c r="J207">
        <v>5</v>
      </c>
      <c r="K207" s="1">
        <f t="shared" si="24"/>
        <v>45913</v>
      </c>
      <c r="L207" s="3">
        <f t="shared" si="25"/>
        <v>3.2333333333333334</v>
      </c>
      <c r="M207" s="3">
        <f t="shared" si="26"/>
        <v>0.11666666666666667</v>
      </c>
      <c r="N207" t="str">
        <f t="shared" si="27"/>
        <v>Within SLA</v>
      </c>
      <c r="O207" t="str">
        <f t="shared" si="31"/>
        <v>Satisfied</v>
      </c>
      <c r="P207" t="str">
        <f t="shared" si="28"/>
        <v>Resolved</v>
      </c>
      <c r="Q207" s="2" t="str">
        <f t="shared" si="29"/>
        <v>Sep-2025</v>
      </c>
      <c r="R207" s="2">
        <f t="shared" si="30"/>
        <v>45901</v>
      </c>
    </row>
    <row r="208" spans="1:18">
      <c r="A208" t="s">
        <v>444</v>
      </c>
      <c r="B208" s="2" t="s">
        <v>445</v>
      </c>
      <c r="C208">
        <v>1631</v>
      </c>
      <c r="D208" t="s">
        <v>26</v>
      </c>
      <c r="E208" t="s">
        <v>13</v>
      </c>
      <c r="F208" t="s">
        <v>71</v>
      </c>
      <c r="G208">
        <v>10</v>
      </c>
      <c r="H208">
        <v>111</v>
      </c>
      <c r="I208" t="s">
        <v>20</v>
      </c>
      <c r="J208">
        <v>1</v>
      </c>
      <c r="K208" s="1">
        <f t="shared" si="24"/>
        <v>45914</v>
      </c>
      <c r="L208" s="3">
        <f t="shared" si="25"/>
        <v>1.85</v>
      </c>
      <c r="M208" s="3">
        <f t="shared" si="26"/>
        <v>0.16666666666666666</v>
      </c>
      <c r="N208" t="str">
        <f t="shared" si="27"/>
        <v>Within SLA</v>
      </c>
      <c r="O208" t="str">
        <f t="shared" si="31"/>
        <v>Dissatisfied</v>
      </c>
      <c r="P208" t="str">
        <f t="shared" si="28"/>
        <v>Resolved</v>
      </c>
      <c r="Q208" s="2" t="str">
        <f t="shared" si="29"/>
        <v>Sep-2025</v>
      </c>
      <c r="R208" s="2">
        <f t="shared" si="30"/>
        <v>45901</v>
      </c>
    </row>
    <row r="209" spans="1:18">
      <c r="A209" t="s">
        <v>446</v>
      </c>
      <c r="B209" s="2" t="s">
        <v>447</v>
      </c>
      <c r="C209">
        <v>1233</v>
      </c>
      <c r="D209" t="s">
        <v>18</v>
      </c>
      <c r="E209" t="s">
        <v>27</v>
      </c>
      <c r="F209" t="s">
        <v>71</v>
      </c>
      <c r="G209">
        <v>133</v>
      </c>
      <c r="H209">
        <v>3342</v>
      </c>
      <c r="I209" t="s">
        <v>15</v>
      </c>
      <c r="K209" s="1">
        <f t="shared" si="24"/>
        <v>45914</v>
      </c>
      <c r="L209" s="3">
        <f t="shared" si="25"/>
        <v>55.7</v>
      </c>
      <c r="M209" s="3">
        <f t="shared" si="26"/>
        <v>2.2166666666666668</v>
      </c>
      <c r="N209" t="str">
        <f t="shared" si="27"/>
        <v>Breached</v>
      </c>
      <c r="O209" t="str">
        <f t="shared" si="31"/>
        <v>No Rating</v>
      </c>
      <c r="P209" t="str">
        <f t="shared" si="28"/>
        <v>Resolved</v>
      </c>
      <c r="Q209" s="2" t="str">
        <f t="shared" si="29"/>
        <v>Sep-2025</v>
      </c>
      <c r="R209" s="2">
        <f t="shared" si="30"/>
        <v>45901</v>
      </c>
    </row>
    <row r="210" spans="1:18">
      <c r="A210" t="s">
        <v>448</v>
      </c>
      <c r="B210" s="2" t="s">
        <v>449</v>
      </c>
      <c r="C210">
        <v>1520</v>
      </c>
      <c r="D210" t="s">
        <v>26</v>
      </c>
      <c r="E210" t="s">
        <v>13</v>
      </c>
      <c r="F210" t="s">
        <v>23</v>
      </c>
      <c r="G210">
        <v>3</v>
      </c>
      <c r="H210">
        <v>199</v>
      </c>
      <c r="I210" t="s">
        <v>15</v>
      </c>
      <c r="K210" s="1">
        <f t="shared" si="24"/>
        <v>45914</v>
      </c>
      <c r="L210" s="3">
        <f t="shared" si="25"/>
        <v>3.3166666666666669</v>
      </c>
      <c r="M210" s="3">
        <f t="shared" si="26"/>
        <v>0.05</v>
      </c>
      <c r="N210" t="str">
        <f t="shared" si="27"/>
        <v>Within SLA</v>
      </c>
      <c r="O210" t="str">
        <f t="shared" si="31"/>
        <v>No Rating</v>
      </c>
      <c r="P210" t="str">
        <f t="shared" si="28"/>
        <v>Resolved</v>
      </c>
      <c r="Q210" s="2" t="str">
        <f t="shared" si="29"/>
        <v>Sep-2025</v>
      </c>
      <c r="R210" s="2">
        <f t="shared" si="30"/>
        <v>45901</v>
      </c>
    </row>
    <row r="211" spans="1:18">
      <c r="A211" t="s">
        <v>450</v>
      </c>
      <c r="B211" s="2" t="s">
        <v>451</v>
      </c>
      <c r="C211">
        <v>1820</v>
      </c>
      <c r="D211" t="s">
        <v>47</v>
      </c>
      <c r="E211" t="s">
        <v>27</v>
      </c>
      <c r="F211" t="s">
        <v>64</v>
      </c>
      <c r="G211">
        <v>77</v>
      </c>
      <c r="I211" t="s">
        <v>44</v>
      </c>
      <c r="K211" s="1">
        <f t="shared" si="24"/>
        <v>45915</v>
      </c>
      <c r="L211" s="3" t="str">
        <f t="shared" si="25"/>
        <v/>
      </c>
      <c r="M211" s="3">
        <f t="shared" si="26"/>
        <v>1.2833333333333334</v>
      </c>
      <c r="N211" t="str">
        <f t="shared" si="27"/>
        <v>Open</v>
      </c>
      <c r="O211" t="str">
        <f t="shared" si="31"/>
        <v>No Rating</v>
      </c>
      <c r="P211" t="str">
        <f t="shared" si="28"/>
        <v>Unresolved</v>
      </c>
      <c r="Q211" s="2" t="str">
        <f t="shared" si="29"/>
        <v>Sep-2025</v>
      </c>
      <c r="R211" s="2">
        <f t="shared" si="30"/>
        <v>45901</v>
      </c>
    </row>
    <row r="212" spans="1:18">
      <c r="A212" t="s">
        <v>452</v>
      </c>
      <c r="B212" s="2" t="s">
        <v>453</v>
      </c>
      <c r="C212">
        <v>1235</v>
      </c>
      <c r="D212" t="s">
        <v>12</v>
      </c>
      <c r="E212" t="s">
        <v>33</v>
      </c>
      <c r="F212" t="s">
        <v>59</v>
      </c>
      <c r="G212">
        <v>132</v>
      </c>
      <c r="H212">
        <v>6767</v>
      </c>
      <c r="I212" t="s">
        <v>15</v>
      </c>
      <c r="K212" s="1">
        <f t="shared" si="24"/>
        <v>45915</v>
      </c>
      <c r="L212" s="3">
        <f t="shared" si="25"/>
        <v>112.78333333333333</v>
      </c>
      <c r="M212" s="3">
        <f t="shared" si="26"/>
        <v>2.2000000000000002</v>
      </c>
      <c r="N212" t="str">
        <f t="shared" si="27"/>
        <v>Breached</v>
      </c>
      <c r="O212" t="str">
        <f t="shared" si="31"/>
        <v>No Rating</v>
      </c>
      <c r="P212" t="str">
        <f t="shared" si="28"/>
        <v>Resolved</v>
      </c>
      <c r="Q212" s="2" t="str">
        <f t="shared" si="29"/>
        <v>Sep-2025</v>
      </c>
      <c r="R212" s="2">
        <f t="shared" si="30"/>
        <v>45901</v>
      </c>
    </row>
    <row r="213" spans="1:18">
      <c r="A213" t="s">
        <v>454</v>
      </c>
      <c r="B213" s="2" t="s">
        <v>455</v>
      </c>
      <c r="C213">
        <v>1352</v>
      </c>
      <c r="D213" t="s">
        <v>12</v>
      </c>
      <c r="E213" t="s">
        <v>33</v>
      </c>
      <c r="F213" t="s">
        <v>54</v>
      </c>
      <c r="G213">
        <v>323</v>
      </c>
      <c r="H213">
        <v>2923</v>
      </c>
      <c r="I213" t="s">
        <v>15</v>
      </c>
      <c r="K213" s="1">
        <f t="shared" si="24"/>
        <v>45916</v>
      </c>
      <c r="L213" s="3">
        <f t="shared" si="25"/>
        <v>48.716666666666669</v>
      </c>
      <c r="M213" s="3">
        <f t="shared" si="26"/>
        <v>5.3833333333333337</v>
      </c>
      <c r="N213" t="str">
        <f t="shared" si="27"/>
        <v>Within SLA</v>
      </c>
      <c r="O213" t="str">
        <f t="shared" si="31"/>
        <v>No Rating</v>
      </c>
      <c r="P213" t="str">
        <f t="shared" si="28"/>
        <v>Resolved</v>
      </c>
      <c r="Q213" s="2" t="str">
        <f t="shared" si="29"/>
        <v>Sep-2025</v>
      </c>
      <c r="R213" s="2">
        <f t="shared" si="30"/>
        <v>45901</v>
      </c>
    </row>
    <row r="214" spans="1:18">
      <c r="A214" t="s">
        <v>456</v>
      </c>
      <c r="B214" s="2" t="s">
        <v>457</v>
      </c>
      <c r="C214">
        <v>1209</v>
      </c>
      <c r="D214" t="s">
        <v>12</v>
      </c>
      <c r="E214" t="s">
        <v>27</v>
      </c>
      <c r="F214" t="s">
        <v>43</v>
      </c>
      <c r="G214">
        <v>150</v>
      </c>
      <c r="H214">
        <v>3371</v>
      </c>
      <c r="I214" t="s">
        <v>15</v>
      </c>
      <c r="J214">
        <v>2</v>
      </c>
      <c r="K214" s="1">
        <f t="shared" si="24"/>
        <v>45916</v>
      </c>
      <c r="L214" s="3">
        <f t="shared" si="25"/>
        <v>56.18333333333333</v>
      </c>
      <c r="M214" s="3">
        <f t="shared" si="26"/>
        <v>2.5</v>
      </c>
      <c r="N214" t="str">
        <f t="shared" si="27"/>
        <v>Breached</v>
      </c>
      <c r="O214" t="str">
        <f t="shared" si="31"/>
        <v>Dissatisfied</v>
      </c>
      <c r="P214" t="str">
        <f t="shared" si="28"/>
        <v>Resolved</v>
      </c>
      <c r="Q214" s="2" t="str">
        <f t="shared" si="29"/>
        <v>Sep-2025</v>
      </c>
      <c r="R214" s="2">
        <f t="shared" si="30"/>
        <v>45901</v>
      </c>
    </row>
    <row r="215" spans="1:18">
      <c r="A215" t="s">
        <v>458</v>
      </c>
      <c r="B215" s="2" t="s">
        <v>459</v>
      </c>
      <c r="C215">
        <v>1568</v>
      </c>
      <c r="D215" t="s">
        <v>32</v>
      </c>
      <c r="E215" t="s">
        <v>19</v>
      </c>
      <c r="F215" t="s">
        <v>54</v>
      </c>
      <c r="G215">
        <v>43</v>
      </c>
      <c r="H215">
        <v>785</v>
      </c>
      <c r="I215" t="s">
        <v>20</v>
      </c>
      <c r="J215">
        <v>3</v>
      </c>
      <c r="K215" s="1">
        <f t="shared" si="24"/>
        <v>45916</v>
      </c>
      <c r="L215" s="3">
        <f t="shared" si="25"/>
        <v>13.083333333333334</v>
      </c>
      <c r="M215" s="3">
        <f t="shared" si="26"/>
        <v>0.71666666666666667</v>
      </c>
      <c r="N215" t="str">
        <f t="shared" si="27"/>
        <v>Within SLA</v>
      </c>
      <c r="O215" t="str">
        <f t="shared" si="31"/>
        <v>Neutral</v>
      </c>
      <c r="P215" t="str">
        <f t="shared" si="28"/>
        <v>Resolved</v>
      </c>
      <c r="Q215" s="2" t="str">
        <f t="shared" si="29"/>
        <v>Sep-2025</v>
      </c>
      <c r="R215" s="2">
        <f t="shared" si="30"/>
        <v>45901</v>
      </c>
    </row>
    <row r="216" spans="1:18">
      <c r="A216" t="s">
        <v>460</v>
      </c>
      <c r="B216" s="2" t="s">
        <v>461</v>
      </c>
      <c r="C216">
        <v>1478</v>
      </c>
      <c r="D216" t="s">
        <v>12</v>
      </c>
      <c r="E216" t="s">
        <v>27</v>
      </c>
      <c r="F216" t="s">
        <v>59</v>
      </c>
      <c r="G216">
        <v>148</v>
      </c>
      <c r="I216" t="s">
        <v>29</v>
      </c>
      <c r="K216" s="1">
        <f t="shared" si="24"/>
        <v>45917</v>
      </c>
      <c r="L216" s="3" t="str">
        <f t="shared" si="25"/>
        <v/>
      </c>
      <c r="M216" s="3">
        <f t="shared" si="26"/>
        <v>2.4666666666666668</v>
      </c>
      <c r="N216" t="str">
        <f t="shared" si="27"/>
        <v>Open</v>
      </c>
      <c r="O216" t="str">
        <f t="shared" si="31"/>
        <v>No Rating</v>
      </c>
      <c r="P216" t="str">
        <f t="shared" si="28"/>
        <v>Unresolved</v>
      </c>
      <c r="Q216" s="2" t="str">
        <f t="shared" si="29"/>
        <v>Sep-2025</v>
      </c>
      <c r="R216" s="2">
        <f t="shared" si="30"/>
        <v>45901</v>
      </c>
    </row>
    <row r="217" spans="1:18">
      <c r="A217" t="s">
        <v>462</v>
      </c>
      <c r="B217" s="2" t="s">
        <v>463</v>
      </c>
      <c r="C217">
        <v>1647</v>
      </c>
      <c r="D217" t="s">
        <v>18</v>
      </c>
      <c r="E217" t="s">
        <v>33</v>
      </c>
      <c r="F217" t="s">
        <v>71</v>
      </c>
      <c r="G217">
        <v>357</v>
      </c>
      <c r="H217">
        <v>2446</v>
      </c>
      <c r="I217" t="s">
        <v>15</v>
      </c>
      <c r="J217">
        <v>2</v>
      </c>
      <c r="K217" s="1">
        <f t="shared" si="24"/>
        <v>45917</v>
      </c>
      <c r="L217" s="3">
        <f t="shared" si="25"/>
        <v>40.766666666666666</v>
      </c>
      <c r="M217" s="3">
        <f t="shared" si="26"/>
        <v>5.95</v>
      </c>
      <c r="N217" t="str">
        <f t="shared" si="27"/>
        <v>Within SLA</v>
      </c>
      <c r="O217" t="str">
        <f t="shared" si="31"/>
        <v>Dissatisfied</v>
      </c>
      <c r="P217" t="str">
        <f t="shared" si="28"/>
        <v>Resolved</v>
      </c>
      <c r="Q217" s="2" t="str">
        <f t="shared" si="29"/>
        <v>Sep-2025</v>
      </c>
      <c r="R217" s="2">
        <f t="shared" si="30"/>
        <v>45901</v>
      </c>
    </row>
    <row r="218" spans="1:18">
      <c r="A218" t="s">
        <v>464</v>
      </c>
      <c r="B218" s="2" t="s">
        <v>465</v>
      </c>
      <c r="C218">
        <v>1521</v>
      </c>
      <c r="D218" t="s">
        <v>32</v>
      </c>
      <c r="E218" t="s">
        <v>13</v>
      </c>
      <c r="F218" t="s">
        <v>71</v>
      </c>
      <c r="G218">
        <v>2</v>
      </c>
      <c r="H218">
        <v>365</v>
      </c>
      <c r="I218" t="s">
        <v>15</v>
      </c>
      <c r="K218" s="1">
        <f t="shared" si="24"/>
        <v>45917</v>
      </c>
      <c r="L218" s="3">
        <f t="shared" si="25"/>
        <v>6.083333333333333</v>
      </c>
      <c r="M218" s="3">
        <f t="shared" si="26"/>
        <v>3.3333333333333333E-2</v>
      </c>
      <c r="N218" t="str">
        <f t="shared" si="27"/>
        <v>Within SLA</v>
      </c>
      <c r="O218" t="str">
        <f t="shared" si="31"/>
        <v>No Rating</v>
      </c>
      <c r="P218" t="str">
        <f t="shared" si="28"/>
        <v>Resolved</v>
      </c>
      <c r="Q218" s="2" t="str">
        <f t="shared" si="29"/>
        <v>Sep-2025</v>
      </c>
      <c r="R218" s="2">
        <f t="shared" si="30"/>
        <v>45901</v>
      </c>
    </row>
    <row r="219" spans="1:18">
      <c r="A219" t="s">
        <v>466</v>
      </c>
      <c r="B219" s="2" t="s">
        <v>467</v>
      </c>
      <c r="C219">
        <v>1700</v>
      </c>
      <c r="D219" t="s">
        <v>26</v>
      </c>
      <c r="E219" t="s">
        <v>27</v>
      </c>
      <c r="F219" t="s">
        <v>59</v>
      </c>
      <c r="G219">
        <v>128</v>
      </c>
      <c r="H219">
        <v>3163</v>
      </c>
      <c r="I219" t="s">
        <v>15</v>
      </c>
      <c r="J219">
        <v>2</v>
      </c>
      <c r="K219" s="1">
        <f t="shared" si="24"/>
        <v>45918</v>
      </c>
      <c r="L219" s="3">
        <f t="shared" si="25"/>
        <v>52.716666666666669</v>
      </c>
      <c r="M219" s="3">
        <f t="shared" si="26"/>
        <v>2.1333333333333333</v>
      </c>
      <c r="N219" t="str">
        <f t="shared" si="27"/>
        <v>Breached</v>
      </c>
      <c r="O219" t="str">
        <f t="shared" si="31"/>
        <v>Dissatisfied</v>
      </c>
      <c r="P219" t="str">
        <f t="shared" si="28"/>
        <v>Resolved</v>
      </c>
      <c r="Q219" s="2" t="str">
        <f t="shared" si="29"/>
        <v>Sep-2025</v>
      </c>
      <c r="R219" s="2">
        <f t="shared" si="30"/>
        <v>45901</v>
      </c>
    </row>
    <row r="220" spans="1:18">
      <c r="A220" t="s">
        <v>468</v>
      </c>
      <c r="B220" s="2" t="s">
        <v>469</v>
      </c>
      <c r="C220">
        <v>1532</v>
      </c>
      <c r="D220" t="s">
        <v>47</v>
      </c>
      <c r="E220" t="s">
        <v>27</v>
      </c>
      <c r="F220" t="s">
        <v>14</v>
      </c>
      <c r="G220">
        <v>38</v>
      </c>
      <c r="H220">
        <v>1032</v>
      </c>
      <c r="I220" t="s">
        <v>15</v>
      </c>
      <c r="J220">
        <v>2</v>
      </c>
      <c r="K220" s="1">
        <f t="shared" si="24"/>
        <v>45918</v>
      </c>
      <c r="L220" s="3">
        <f t="shared" si="25"/>
        <v>17.2</v>
      </c>
      <c r="M220" s="3">
        <f t="shared" si="26"/>
        <v>0.6333333333333333</v>
      </c>
      <c r="N220" t="str">
        <f t="shared" si="27"/>
        <v>Within SLA</v>
      </c>
      <c r="O220" t="str">
        <f t="shared" si="31"/>
        <v>Dissatisfied</v>
      </c>
      <c r="P220" t="str">
        <f t="shared" si="28"/>
        <v>Resolved</v>
      </c>
      <c r="Q220" s="2" t="str">
        <f t="shared" si="29"/>
        <v>Sep-2025</v>
      </c>
      <c r="R220" s="2">
        <f t="shared" si="30"/>
        <v>45901</v>
      </c>
    </row>
    <row r="221" spans="1:18">
      <c r="A221" t="s">
        <v>470</v>
      </c>
      <c r="B221" s="2" t="s">
        <v>471</v>
      </c>
      <c r="C221">
        <v>1379</v>
      </c>
      <c r="D221" t="s">
        <v>18</v>
      </c>
      <c r="E221" t="s">
        <v>33</v>
      </c>
      <c r="F221" t="s">
        <v>59</v>
      </c>
      <c r="G221">
        <v>149</v>
      </c>
      <c r="H221">
        <v>5140</v>
      </c>
      <c r="I221" t="s">
        <v>20</v>
      </c>
      <c r="J221">
        <v>3</v>
      </c>
      <c r="K221" s="1">
        <f t="shared" si="24"/>
        <v>45918</v>
      </c>
      <c r="L221" s="3">
        <f t="shared" si="25"/>
        <v>85.666666666666671</v>
      </c>
      <c r="M221" s="3">
        <f t="shared" si="26"/>
        <v>2.4833333333333334</v>
      </c>
      <c r="N221" t="str">
        <f t="shared" si="27"/>
        <v>Breached</v>
      </c>
      <c r="O221" t="str">
        <f t="shared" si="31"/>
        <v>Neutral</v>
      </c>
      <c r="P221" t="str">
        <f t="shared" si="28"/>
        <v>Resolved</v>
      </c>
      <c r="Q221" s="2" t="str">
        <f t="shared" si="29"/>
        <v>Sep-2025</v>
      </c>
      <c r="R221" s="2">
        <f t="shared" si="30"/>
        <v>45901</v>
      </c>
    </row>
    <row r="222" spans="1:18">
      <c r="A222" t="s">
        <v>472</v>
      </c>
      <c r="B222" s="2" t="s">
        <v>473</v>
      </c>
      <c r="C222">
        <v>1385</v>
      </c>
      <c r="D222" t="s">
        <v>32</v>
      </c>
      <c r="E222" t="s">
        <v>13</v>
      </c>
      <c r="F222" t="s">
        <v>28</v>
      </c>
      <c r="G222">
        <v>10</v>
      </c>
      <c r="H222">
        <v>381</v>
      </c>
      <c r="I222" t="s">
        <v>20</v>
      </c>
      <c r="J222">
        <v>3</v>
      </c>
      <c r="K222" s="1">
        <f t="shared" si="24"/>
        <v>45919</v>
      </c>
      <c r="L222" s="3">
        <f t="shared" si="25"/>
        <v>6.35</v>
      </c>
      <c r="M222" s="3">
        <f t="shared" si="26"/>
        <v>0.16666666666666666</v>
      </c>
      <c r="N222" t="str">
        <f t="shared" si="27"/>
        <v>Within SLA</v>
      </c>
      <c r="O222" t="str">
        <f t="shared" si="31"/>
        <v>Neutral</v>
      </c>
      <c r="P222" t="str">
        <f t="shared" si="28"/>
        <v>Resolved</v>
      </c>
      <c r="Q222" s="2" t="str">
        <f t="shared" si="29"/>
        <v>Sep-2025</v>
      </c>
      <c r="R222" s="2">
        <f t="shared" si="30"/>
        <v>45901</v>
      </c>
    </row>
    <row r="223" spans="1:18">
      <c r="A223" t="s">
        <v>474</v>
      </c>
      <c r="B223" s="2" t="s">
        <v>475</v>
      </c>
      <c r="C223">
        <v>1779</v>
      </c>
      <c r="D223" t="s">
        <v>26</v>
      </c>
      <c r="E223" t="s">
        <v>27</v>
      </c>
      <c r="F223" t="s">
        <v>71</v>
      </c>
      <c r="G223">
        <v>101</v>
      </c>
      <c r="I223" t="s">
        <v>29</v>
      </c>
      <c r="K223" s="1">
        <f t="shared" si="24"/>
        <v>45919</v>
      </c>
      <c r="L223" s="3" t="str">
        <f t="shared" si="25"/>
        <v/>
      </c>
      <c r="M223" s="3">
        <f t="shared" si="26"/>
        <v>1.6833333333333333</v>
      </c>
      <c r="N223" t="str">
        <f t="shared" si="27"/>
        <v>Open</v>
      </c>
      <c r="O223" t="str">
        <f t="shared" si="31"/>
        <v>No Rating</v>
      </c>
      <c r="P223" t="str">
        <f t="shared" si="28"/>
        <v>Unresolved</v>
      </c>
      <c r="Q223" s="2" t="str">
        <f t="shared" si="29"/>
        <v>Sep-2025</v>
      </c>
      <c r="R223" s="2">
        <f t="shared" si="30"/>
        <v>45901</v>
      </c>
    </row>
    <row r="224" spans="1:18">
      <c r="A224" t="s">
        <v>476</v>
      </c>
      <c r="B224" s="2" t="s">
        <v>477</v>
      </c>
      <c r="C224">
        <v>1123</v>
      </c>
      <c r="D224" t="s">
        <v>47</v>
      </c>
      <c r="E224" t="s">
        <v>19</v>
      </c>
      <c r="F224" t="s">
        <v>28</v>
      </c>
      <c r="G224">
        <v>16</v>
      </c>
      <c r="H224">
        <v>168</v>
      </c>
      <c r="I224" t="s">
        <v>15</v>
      </c>
      <c r="J224">
        <v>2</v>
      </c>
      <c r="K224" s="1">
        <f t="shared" si="24"/>
        <v>45920</v>
      </c>
      <c r="L224" s="3">
        <f t="shared" si="25"/>
        <v>2.8</v>
      </c>
      <c r="M224" s="3">
        <f t="shared" si="26"/>
        <v>0.26666666666666666</v>
      </c>
      <c r="N224" t="str">
        <f t="shared" si="27"/>
        <v>Within SLA</v>
      </c>
      <c r="O224" t="str">
        <f t="shared" si="31"/>
        <v>Dissatisfied</v>
      </c>
      <c r="P224" t="str">
        <f t="shared" si="28"/>
        <v>Resolved</v>
      </c>
      <c r="Q224" s="2" t="str">
        <f t="shared" si="29"/>
        <v>Sep-2025</v>
      </c>
      <c r="R224" s="2">
        <f t="shared" si="30"/>
        <v>45901</v>
      </c>
    </row>
    <row r="225" spans="1:18">
      <c r="A225" t="s">
        <v>478</v>
      </c>
      <c r="B225" s="2" t="s">
        <v>479</v>
      </c>
      <c r="C225">
        <v>1587</v>
      </c>
      <c r="D225" t="s">
        <v>26</v>
      </c>
      <c r="E225" t="s">
        <v>19</v>
      </c>
      <c r="F225" t="s">
        <v>71</v>
      </c>
      <c r="G225">
        <v>45</v>
      </c>
      <c r="H225">
        <v>910</v>
      </c>
      <c r="I225" t="s">
        <v>15</v>
      </c>
      <c r="K225" s="1">
        <f t="shared" si="24"/>
        <v>45920</v>
      </c>
      <c r="L225" s="3">
        <f t="shared" si="25"/>
        <v>15.166666666666666</v>
      </c>
      <c r="M225" s="3">
        <f t="shared" si="26"/>
        <v>0.75</v>
      </c>
      <c r="N225" t="str">
        <f t="shared" si="27"/>
        <v>Within SLA</v>
      </c>
      <c r="O225" t="str">
        <f t="shared" si="31"/>
        <v>No Rating</v>
      </c>
      <c r="P225" t="str">
        <f t="shared" si="28"/>
        <v>Resolved</v>
      </c>
      <c r="Q225" s="2" t="str">
        <f t="shared" si="29"/>
        <v>Sep-2025</v>
      </c>
      <c r="R225" s="2">
        <f t="shared" si="30"/>
        <v>45901</v>
      </c>
    </row>
    <row r="226" spans="1:18">
      <c r="A226" t="s">
        <v>480</v>
      </c>
      <c r="B226" s="2" t="s">
        <v>481</v>
      </c>
      <c r="C226">
        <v>1884</v>
      </c>
      <c r="D226" t="s">
        <v>12</v>
      </c>
      <c r="E226" t="s">
        <v>33</v>
      </c>
      <c r="F226" t="s">
        <v>23</v>
      </c>
      <c r="G226">
        <v>187</v>
      </c>
      <c r="H226">
        <v>6532</v>
      </c>
      <c r="I226" t="s">
        <v>20</v>
      </c>
      <c r="J226">
        <v>4</v>
      </c>
      <c r="K226" s="1">
        <f t="shared" si="24"/>
        <v>45920</v>
      </c>
      <c r="L226" s="3">
        <f t="shared" si="25"/>
        <v>108.86666666666666</v>
      </c>
      <c r="M226" s="3">
        <f t="shared" si="26"/>
        <v>3.1166666666666667</v>
      </c>
      <c r="N226" t="str">
        <f t="shared" si="27"/>
        <v>Breached</v>
      </c>
      <c r="O226" t="str">
        <f t="shared" si="31"/>
        <v>Satisfied</v>
      </c>
      <c r="P226" t="str">
        <f t="shared" si="28"/>
        <v>Resolved</v>
      </c>
      <c r="Q226" s="2" t="str">
        <f t="shared" si="29"/>
        <v>Sep-2025</v>
      </c>
      <c r="R226" s="2">
        <f t="shared" si="30"/>
        <v>45901</v>
      </c>
    </row>
    <row r="227" spans="1:18">
      <c r="A227" t="s">
        <v>482</v>
      </c>
      <c r="B227" s="2" t="s">
        <v>483</v>
      </c>
      <c r="C227">
        <v>1706</v>
      </c>
      <c r="D227" t="s">
        <v>47</v>
      </c>
      <c r="E227" t="s">
        <v>19</v>
      </c>
      <c r="F227" t="s">
        <v>34</v>
      </c>
      <c r="G227">
        <v>19</v>
      </c>
      <c r="H227">
        <v>346</v>
      </c>
      <c r="I227" t="s">
        <v>20</v>
      </c>
      <c r="K227" s="1">
        <f t="shared" si="24"/>
        <v>45921</v>
      </c>
      <c r="L227" s="3">
        <f t="shared" si="25"/>
        <v>5.7666666666666666</v>
      </c>
      <c r="M227" s="3">
        <f t="shared" si="26"/>
        <v>0.31666666666666665</v>
      </c>
      <c r="N227" t="str">
        <f t="shared" si="27"/>
        <v>Within SLA</v>
      </c>
      <c r="O227" t="str">
        <f t="shared" si="31"/>
        <v>No Rating</v>
      </c>
      <c r="P227" t="str">
        <f t="shared" si="28"/>
        <v>Resolved</v>
      </c>
      <c r="Q227" s="2" t="str">
        <f t="shared" si="29"/>
        <v>Sep-2025</v>
      </c>
      <c r="R227" s="2">
        <f t="shared" si="30"/>
        <v>45901</v>
      </c>
    </row>
    <row r="228" spans="1:18">
      <c r="A228" t="s">
        <v>484</v>
      </c>
      <c r="B228" s="2" t="s">
        <v>485</v>
      </c>
      <c r="C228">
        <v>1923</v>
      </c>
      <c r="D228" t="s">
        <v>32</v>
      </c>
      <c r="E228" t="s">
        <v>27</v>
      </c>
      <c r="F228" t="s">
        <v>59</v>
      </c>
      <c r="G228">
        <v>75</v>
      </c>
      <c r="I228" t="s">
        <v>29</v>
      </c>
      <c r="K228" s="1">
        <f t="shared" si="24"/>
        <v>45921</v>
      </c>
      <c r="L228" s="3" t="str">
        <f t="shared" si="25"/>
        <v/>
      </c>
      <c r="M228" s="3">
        <f t="shared" si="26"/>
        <v>1.25</v>
      </c>
      <c r="N228" t="str">
        <f t="shared" si="27"/>
        <v>Open</v>
      </c>
      <c r="O228" t="str">
        <f t="shared" si="31"/>
        <v>No Rating</v>
      </c>
      <c r="P228" t="str">
        <f t="shared" si="28"/>
        <v>Unresolved</v>
      </c>
      <c r="Q228" s="2" t="str">
        <f t="shared" si="29"/>
        <v>Sep-2025</v>
      </c>
      <c r="R228" s="2">
        <f t="shared" si="30"/>
        <v>45901</v>
      </c>
    </row>
    <row r="229" spans="1:18">
      <c r="A229" t="s">
        <v>486</v>
      </c>
      <c r="B229" s="2" t="s">
        <v>487</v>
      </c>
      <c r="C229">
        <v>1830</v>
      </c>
      <c r="D229" t="s">
        <v>26</v>
      </c>
      <c r="E229" t="s">
        <v>27</v>
      </c>
      <c r="F229" t="s">
        <v>54</v>
      </c>
      <c r="G229">
        <v>138</v>
      </c>
      <c r="H229">
        <v>3297</v>
      </c>
      <c r="I229" t="s">
        <v>15</v>
      </c>
      <c r="J229">
        <v>1</v>
      </c>
      <c r="K229" s="1">
        <f t="shared" si="24"/>
        <v>45921</v>
      </c>
      <c r="L229" s="3">
        <f t="shared" si="25"/>
        <v>54.95</v>
      </c>
      <c r="M229" s="3">
        <f t="shared" si="26"/>
        <v>2.2999999999999998</v>
      </c>
      <c r="N229" t="str">
        <f t="shared" si="27"/>
        <v>Breached</v>
      </c>
      <c r="O229" t="str">
        <f t="shared" si="31"/>
        <v>Dissatisfied</v>
      </c>
      <c r="P229" t="str">
        <f t="shared" si="28"/>
        <v>Resolved</v>
      </c>
      <c r="Q229" s="2" t="str">
        <f t="shared" si="29"/>
        <v>Sep-2025</v>
      </c>
      <c r="R229" s="2">
        <f t="shared" si="30"/>
        <v>45901</v>
      </c>
    </row>
    <row r="230" spans="1:18">
      <c r="A230" t="s">
        <v>488</v>
      </c>
      <c r="B230" s="2" t="s">
        <v>489</v>
      </c>
      <c r="C230">
        <v>1766</v>
      </c>
      <c r="D230" t="s">
        <v>12</v>
      </c>
      <c r="E230" t="s">
        <v>27</v>
      </c>
      <c r="F230" t="s">
        <v>28</v>
      </c>
      <c r="G230">
        <v>158</v>
      </c>
      <c r="H230">
        <v>1335</v>
      </c>
      <c r="I230" t="s">
        <v>15</v>
      </c>
      <c r="J230">
        <v>1</v>
      </c>
      <c r="K230" s="1">
        <f t="shared" si="24"/>
        <v>45922</v>
      </c>
      <c r="L230" s="3">
        <f t="shared" si="25"/>
        <v>22.25</v>
      </c>
      <c r="M230" s="3">
        <f t="shared" si="26"/>
        <v>2.6333333333333333</v>
      </c>
      <c r="N230" t="str">
        <f t="shared" si="27"/>
        <v>Within SLA</v>
      </c>
      <c r="O230" t="str">
        <f t="shared" si="31"/>
        <v>Dissatisfied</v>
      </c>
      <c r="P230" t="str">
        <f t="shared" si="28"/>
        <v>Resolved</v>
      </c>
      <c r="Q230" s="2" t="str">
        <f t="shared" si="29"/>
        <v>Sep-2025</v>
      </c>
      <c r="R230" s="2">
        <f t="shared" si="30"/>
        <v>45901</v>
      </c>
    </row>
    <row r="231" spans="1:18">
      <c r="A231" t="s">
        <v>490</v>
      </c>
      <c r="B231" s="2" t="s">
        <v>491</v>
      </c>
      <c r="C231">
        <v>1858</v>
      </c>
      <c r="D231" t="s">
        <v>18</v>
      </c>
      <c r="E231" t="s">
        <v>33</v>
      </c>
      <c r="F231" t="s">
        <v>34</v>
      </c>
      <c r="G231">
        <v>244</v>
      </c>
      <c r="H231">
        <v>6732</v>
      </c>
      <c r="I231" t="s">
        <v>15</v>
      </c>
      <c r="J231">
        <v>2</v>
      </c>
      <c r="K231" s="1">
        <f t="shared" si="24"/>
        <v>45922</v>
      </c>
      <c r="L231" s="3">
        <f t="shared" si="25"/>
        <v>112.2</v>
      </c>
      <c r="M231" s="3">
        <f t="shared" si="26"/>
        <v>4.0666666666666664</v>
      </c>
      <c r="N231" t="str">
        <f t="shared" si="27"/>
        <v>Breached</v>
      </c>
      <c r="O231" t="str">
        <f t="shared" si="31"/>
        <v>Dissatisfied</v>
      </c>
      <c r="P231" t="str">
        <f t="shared" si="28"/>
        <v>Resolved</v>
      </c>
      <c r="Q231" s="2" t="str">
        <f t="shared" si="29"/>
        <v>Sep-2025</v>
      </c>
      <c r="R231" s="2">
        <f t="shared" si="30"/>
        <v>45901</v>
      </c>
    </row>
    <row r="232" spans="1:18">
      <c r="A232" t="s">
        <v>492</v>
      </c>
      <c r="B232" s="2" t="s">
        <v>493</v>
      </c>
      <c r="C232">
        <v>1337</v>
      </c>
      <c r="D232" t="s">
        <v>18</v>
      </c>
      <c r="E232" t="s">
        <v>27</v>
      </c>
      <c r="F232" t="s">
        <v>54</v>
      </c>
      <c r="G232">
        <v>57</v>
      </c>
      <c r="H232">
        <v>2322</v>
      </c>
      <c r="I232" t="s">
        <v>20</v>
      </c>
      <c r="K232" s="1">
        <f t="shared" si="24"/>
        <v>45922</v>
      </c>
      <c r="L232" s="3">
        <f t="shared" si="25"/>
        <v>38.700000000000003</v>
      </c>
      <c r="M232" s="3">
        <f t="shared" si="26"/>
        <v>0.95</v>
      </c>
      <c r="N232" t="str">
        <f t="shared" si="27"/>
        <v>Within SLA</v>
      </c>
      <c r="O232" t="str">
        <f t="shared" si="31"/>
        <v>No Rating</v>
      </c>
      <c r="P232" t="str">
        <f t="shared" si="28"/>
        <v>Resolved</v>
      </c>
      <c r="Q232" s="2" t="str">
        <f t="shared" si="29"/>
        <v>Sep-2025</v>
      </c>
      <c r="R232" s="2">
        <f t="shared" si="30"/>
        <v>45901</v>
      </c>
    </row>
    <row r="233" spans="1:18">
      <c r="A233" t="s">
        <v>494</v>
      </c>
      <c r="B233" s="2" t="s">
        <v>495</v>
      </c>
      <c r="C233">
        <v>1058</v>
      </c>
      <c r="D233" t="s">
        <v>12</v>
      </c>
      <c r="E233" t="s">
        <v>27</v>
      </c>
      <c r="F233" t="s">
        <v>23</v>
      </c>
      <c r="G233">
        <v>55</v>
      </c>
      <c r="I233" t="s">
        <v>29</v>
      </c>
      <c r="K233" s="1">
        <f t="shared" si="24"/>
        <v>45923</v>
      </c>
      <c r="L233" s="3" t="str">
        <f t="shared" si="25"/>
        <v/>
      </c>
      <c r="M233" s="3">
        <f t="shared" si="26"/>
        <v>0.91666666666666663</v>
      </c>
      <c r="N233" t="str">
        <f t="shared" si="27"/>
        <v>Open</v>
      </c>
      <c r="O233" t="str">
        <f t="shared" si="31"/>
        <v>No Rating</v>
      </c>
      <c r="P233" t="str">
        <f t="shared" si="28"/>
        <v>Unresolved</v>
      </c>
      <c r="Q233" s="2" t="str">
        <f t="shared" si="29"/>
        <v>Sep-2025</v>
      </c>
      <c r="R233" s="2">
        <f t="shared" si="30"/>
        <v>45901</v>
      </c>
    </row>
    <row r="234" spans="1:18">
      <c r="A234" t="s">
        <v>496</v>
      </c>
      <c r="B234" s="2" t="s">
        <v>497</v>
      </c>
      <c r="C234">
        <v>1166</v>
      </c>
      <c r="D234" t="s">
        <v>18</v>
      </c>
      <c r="E234" t="s">
        <v>27</v>
      </c>
      <c r="F234" t="s">
        <v>54</v>
      </c>
      <c r="G234">
        <v>129</v>
      </c>
      <c r="H234">
        <v>1091</v>
      </c>
      <c r="I234" t="s">
        <v>15</v>
      </c>
      <c r="J234">
        <v>3</v>
      </c>
      <c r="K234" s="1">
        <f t="shared" si="24"/>
        <v>45923</v>
      </c>
      <c r="L234" s="3">
        <f t="shared" si="25"/>
        <v>18.183333333333334</v>
      </c>
      <c r="M234" s="3">
        <f t="shared" si="26"/>
        <v>2.15</v>
      </c>
      <c r="N234" t="str">
        <f t="shared" si="27"/>
        <v>Within SLA</v>
      </c>
      <c r="O234" t="str">
        <f t="shared" si="31"/>
        <v>Neutral</v>
      </c>
      <c r="P234" t="str">
        <f t="shared" si="28"/>
        <v>Resolved</v>
      </c>
      <c r="Q234" s="2" t="str">
        <f t="shared" si="29"/>
        <v>Sep-2025</v>
      </c>
      <c r="R234" s="2">
        <f t="shared" si="30"/>
        <v>45901</v>
      </c>
    </row>
    <row r="235" spans="1:18">
      <c r="A235" t="s">
        <v>498</v>
      </c>
      <c r="B235" s="2" t="s">
        <v>499</v>
      </c>
      <c r="C235">
        <v>1150</v>
      </c>
      <c r="D235" t="s">
        <v>18</v>
      </c>
      <c r="E235" t="s">
        <v>13</v>
      </c>
      <c r="F235" t="s">
        <v>28</v>
      </c>
      <c r="G235">
        <v>4</v>
      </c>
      <c r="H235">
        <v>354</v>
      </c>
      <c r="I235" t="s">
        <v>15</v>
      </c>
      <c r="K235" s="1">
        <f t="shared" si="24"/>
        <v>45924</v>
      </c>
      <c r="L235" s="3">
        <f t="shared" si="25"/>
        <v>5.9</v>
      </c>
      <c r="M235" s="3">
        <f t="shared" si="26"/>
        <v>6.6666666666666666E-2</v>
      </c>
      <c r="N235" t="str">
        <f t="shared" si="27"/>
        <v>Within SLA</v>
      </c>
      <c r="O235" t="str">
        <f t="shared" si="31"/>
        <v>No Rating</v>
      </c>
      <c r="P235" t="str">
        <f t="shared" si="28"/>
        <v>Resolved</v>
      </c>
      <c r="Q235" s="2" t="str">
        <f t="shared" si="29"/>
        <v>Sep-2025</v>
      </c>
      <c r="R235" s="2">
        <f t="shared" si="30"/>
        <v>45901</v>
      </c>
    </row>
    <row r="236" spans="1:18">
      <c r="A236" t="s">
        <v>500</v>
      </c>
      <c r="B236" s="2" t="s">
        <v>501</v>
      </c>
      <c r="C236">
        <v>1254</v>
      </c>
      <c r="D236" t="s">
        <v>12</v>
      </c>
      <c r="E236" t="s">
        <v>33</v>
      </c>
      <c r="F236" t="s">
        <v>64</v>
      </c>
      <c r="G236">
        <v>277</v>
      </c>
      <c r="I236" t="s">
        <v>29</v>
      </c>
      <c r="K236" s="1">
        <f t="shared" si="24"/>
        <v>45924</v>
      </c>
      <c r="L236" s="3" t="str">
        <f t="shared" si="25"/>
        <v/>
      </c>
      <c r="M236" s="3">
        <f t="shared" si="26"/>
        <v>4.6166666666666663</v>
      </c>
      <c r="N236" t="str">
        <f t="shared" si="27"/>
        <v>Open</v>
      </c>
      <c r="O236" t="str">
        <f t="shared" si="31"/>
        <v>No Rating</v>
      </c>
      <c r="P236" t="str">
        <f t="shared" si="28"/>
        <v>Unresolved</v>
      </c>
      <c r="Q236" s="2" t="str">
        <f t="shared" si="29"/>
        <v>Sep-2025</v>
      </c>
      <c r="R236" s="2">
        <f t="shared" si="30"/>
        <v>45901</v>
      </c>
    </row>
    <row r="237" spans="1:18">
      <c r="A237" t="s">
        <v>502</v>
      </c>
      <c r="B237" s="2" t="s">
        <v>503</v>
      </c>
      <c r="C237">
        <v>1135</v>
      </c>
      <c r="D237" t="s">
        <v>26</v>
      </c>
      <c r="E237" t="s">
        <v>27</v>
      </c>
      <c r="F237" t="s">
        <v>23</v>
      </c>
      <c r="G237">
        <v>74</v>
      </c>
      <c r="H237">
        <v>2470</v>
      </c>
      <c r="I237" t="s">
        <v>15</v>
      </c>
      <c r="J237">
        <v>3</v>
      </c>
      <c r="K237" s="1">
        <f t="shared" si="24"/>
        <v>45924</v>
      </c>
      <c r="L237" s="3">
        <f t="shared" si="25"/>
        <v>41.166666666666664</v>
      </c>
      <c r="M237" s="3">
        <f t="shared" si="26"/>
        <v>1.2333333333333334</v>
      </c>
      <c r="N237" t="str">
        <f t="shared" si="27"/>
        <v>Within SLA</v>
      </c>
      <c r="O237" t="str">
        <f t="shared" si="31"/>
        <v>Neutral</v>
      </c>
      <c r="P237" t="str">
        <f t="shared" si="28"/>
        <v>Resolved</v>
      </c>
      <c r="Q237" s="2" t="str">
        <f t="shared" si="29"/>
        <v>Sep-2025</v>
      </c>
      <c r="R237" s="2">
        <f t="shared" si="30"/>
        <v>45901</v>
      </c>
    </row>
    <row r="238" spans="1:18">
      <c r="A238" t="s">
        <v>504</v>
      </c>
      <c r="B238" s="2" t="s">
        <v>505</v>
      </c>
      <c r="C238">
        <v>1756</v>
      </c>
      <c r="D238" t="s">
        <v>26</v>
      </c>
      <c r="E238" t="s">
        <v>19</v>
      </c>
      <c r="F238" t="s">
        <v>71</v>
      </c>
      <c r="G238">
        <v>31</v>
      </c>
      <c r="H238">
        <v>470</v>
      </c>
      <c r="I238" t="s">
        <v>20</v>
      </c>
      <c r="K238" s="1">
        <f t="shared" si="24"/>
        <v>45925</v>
      </c>
      <c r="L238" s="3">
        <f t="shared" si="25"/>
        <v>7.833333333333333</v>
      </c>
      <c r="M238" s="3">
        <f t="shared" si="26"/>
        <v>0.51666666666666672</v>
      </c>
      <c r="N238" t="str">
        <f t="shared" si="27"/>
        <v>Within SLA</v>
      </c>
      <c r="O238" t="str">
        <f t="shared" si="31"/>
        <v>No Rating</v>
      </c>
      <c r="P238" t="str">
        <f t="shared" si="28"/>
        <v>Resolved</v>
      </c>
      <c r="Q238" s="2" t="str">
        <f t="shared" si="29"/>
        <v>Sep-2025</v>
      </c>
      <c r="R238" s="2">
        <f t="shared" si="30"/>
        <v>45901</v>
      </c>
    </row>
    <row r="239" spans="1:18">
      <c r="A239" t="s">
        <v>506</v>
      </c>
      <c r="B239" s="2" t="s">
        <v>507</v>
      </c>
      <c r="C239">
        <v>1680</v>
      </c>
      <c r="D239" t="s">
        <v>47</v>
      </c>
      <c r="E239" t="s">
        <v>33</v>
      </c>
      <c r="F239" t="s">
        <v>71</v>
      </c>
      <c r="G239">
        <v>119</v>
      </c>
      <c r="H239">
        <v>4055</v>
      </c>
      <c r="I239" t="s">
        <v>20</v>
      </c>
      <c r="K239" s="1">
        <f t="shared" si="24"/>
        <v>45925</v>
      </c>
      <c r="L239" s="3">
        <f t="shared" si="25"/>
        <v>67.583333333333329</v>
      </c>
      <c r="M239" s="3">
        <f t="shared" si="26"/>
        <v>1.9833333333333334</v>
      </c>
      <c r="N239" t="str">
        <f t="shared" si="27"/>
        <v>Within SLA</v>
      </c>
      <c r="O239" t="str">
        <f t="shared" si="31"/>
        <v>No Rating</v>
      </c>
      <c r="P239" t="str">
        <f t="shared" si="28"/>
        <v>Resolved</v>
      </c>
      <c r="Q239" s="2" t="str">
        <f t="shared" si="29"/>
        <v>Sep-2025</v>
      </c>
      <c r="R239" s="2">
        <f t="shared" si="30"/>
        <v>45901</v>
      </c>
    </row>
    <row r="240" spans="1:18">
      <c r="A240" t="s">
        <v>508</v>
      </c>
      <c r="B240" s="2" t="s">
        <v>509</v>
      </c>
      <c r="C240">
        <v>1204</v>
      </c>
      <c r="D240" t="s">
        <v>12</v>
      </c>
      <c r="E240" t="s">
        <v>27</v>
      </c>
      <c r="F240" t="s">
        <v>54</v>
      </c>
      <c r="G240">
        <v>107</v>
      </c>
      <c r="I240" t="s">
        <v>29</v>
      </c>
      <c r="K240" s="1">
        <f t="shared" si="24"/>
        <v>45925</v>
      </c>
      <c r="L240" s="3" t="str">
        <f t="shared" si="25"/>
        <v/>
      </c>
      <c r="M240" s="3">
        <f t="shared" si="26"/>
        <v>1.7833333333333334</v>
      </c>
      <c r="N240" t="str">
        <f t="shared" si="27"/>
        <v>Open</v>
      </c>
      <c r="O240" t="str">
        <f t="shared" si="31"/>
        <v>No Rating</v>
      </c>
      <c r="P240" t="str">
        <f t="shared" si="28"/>
        <v>Unresolved</v>
      </c>
      <c r="Q240" s="2" t="str">
        <f t="shared" si="29"/>
        <v>Sep-2025</v>
      </c>
      <c r="R240" s="2">
        <f t="shared" si="30"/>
        <v>45901</v>
      </c>
    </row>
    <row r="241" spans="1:18">
      <c r="A241" t="s">
        <v>510</v>
      </c>
      <c r="B241" s="2" t="s">
        <v>511</v>
      </c>
      <c r="C241">
        <v>1654</v>
      </c>
      <c r="D241" t="s">
        <v>47</v>
      </c>
      <c r="E241" t="s">
        <v>27</v>
      </c>
      <c r="F241" t="s">
        <v>64</v>
      </c>
      <c r="G241">
        <v>81</v>
      </c>
      <c r="H241">
        <v>2878</v>
      </c>
      <c r="I241" t="s">
        <v>15</v>
      </c>
      <c r="J241">
        <v>2</v>
      </c>
      <c r="K241" s="1">
        <f t="shared" si="24"/>
        <v>45926</v>
      </c>
      <c r="L241" s="3">
        <f t="shared" si="25"/>
        <v>47.966666666666669</v>
      </c>
      <c r="M241" s="3">
        <f t="shared" si="26"/>
        <v>1.35</v>
      </c>
      <c r="N241" t="str">
        <f t="shared" si="27"/>
        <v>Within SLA</v>
      </c>
      <c r="O241" t="str">
        <f t="shared" si="31"/>
        <v>Dissatisfied</v>
      </c>
      <c r="P241" t="str">
        <f t="shared" si="28"/>
        <v>Resolved</v>
      </c>
      <c r="Q241" s="2" t="str">
        <f t="shared" si="29"/>
        <v>Sep-2025</v>
      </c>
      <c r="R241" s="2">
        <f t="shared" si="30"/>
        <v>45901</v>
      </c>
    </row>
    <row r="242" spans="1:18">
      <c r="A242" t="s">
        <v>512</v>
      </c>
      <c r="B242" s="2" t="s">
        <v>513</v>
      </c>
      <c r="C242">
        <v>1051</v>
      </c>
      <c r="D242" t="s">
        <v>12</v>
      </c>
      <c r="E242" t="s">
        <v>27</v>
      </c>
      <c r="F242" t="s">
        <v>23</v>
      </c>
      <c r="G242">
        <v>162</v>
      </c>
      <c r="H242">
        <v>823</v>
      </c>
      <c r="I242" t="s">
        <v>15</v>
      </c>
      <c r="J242">
        <v>4</v>
      </c>
      <c r="K242" s="1">
        <f t="shared" si="24"/>
        <v>45926</v>
      </c>
      <c r="L242" s="3">
        <f t="shared" si="25"/>
        <v>13.716666666666667</v>
      </c>
      <c r="M242" s="3">
        <f t="shared" si="26"/>
        <v>2.7</v>
      </c>
      <c r="N242" t="str">
        <f t="shared" si="27"/>
        <v>Within SLA</v>
      </c>
      <c r="O242" t="str">
        <f t="shared" si="31"/>
        <v>Satisfied</v>
      </c>
      <c r="P242" t="str">
        <f t="shared" si="28"/>
        <v>Resolved</v>
      </c>
      <c r="Q242" s="2" t="str">
        <f t="shared" si="29"/>
        <v>Sep-2025</v>
      </c>
      <c r="R242" s="2">
        <f t="shared" si="30"/>
        <v>45901</v>
      </c>
    </row>
    <row r="243" spans="1:18">
      <c r="A243" t="s">
        <v>514</v>
      </c>
      <c r="B243" s="2" t="s">
        <v>515</v>
      </c>
      <c r="C243">
        <v>1011</v>
      </c>
      <c r="D243" t="s">
        <v>12</v>
      </c>
      <c r="E243" t="s">
        <v>27</v>
      </c>
      <c r="F243" t="s">
        <v>14</v>
      </c>
      <c r="G243">
        <v>33</v>
      </c>
      <c r="H243">
        <v>435</v>
      </c>
      <c r="I243" t="s">
        <v>15</v>
      </c>
      <c r="J243">
        <v>5</v>
      </c>
      <c r="K243" s="1">
        <f t="shared" si="24"/>
        <v>45926</v>
      </c>
      <c r="L243" s="3">
        <f t="shared" si="25"/>
        <v>7.25</v>
      </c>
      <c r="M243" s="3">
        <f t="shared" si="26"/>
        <v>0.55000000000000004</v>
      </c>
      <c r="N243" t="str">
        <f t="shared" si="27"/>
        <v>Within SLA</v>
      </c>
      <c r="O243" t="str">
        <f t="shared" si="31"/>
        <v>Satisfied</v>
      </c>
      <c r="P243" t="str">
        <f t="shared" si="28"/>
        <v>Resolved</v>
      </c>
      <c r="Q243" s="2" t="str">
        <f t="shared" si="29"/>
        <v>Sep-2025</v>
      </c>
      <c r="R243" s="2">
        <f t="shared" si="30"/>
        <v>45901</v>
      </c>
    </row>
    <row r="244" spans="1:18">
      <c r="A244" t="s">
        <v>516</v>
      </c>
      <c r="B244" s="2" t="s">
        <v>517</v>
      </c>
      <c r="C244">
        <v>1619</v>
      </c>
      <c r="D244" t="s">
        <v>12</v>
      </c>
      <c r="E244" t="s">
        <v>27</v>
      </c>
      <c r="F244" t="s">
        <v>54</v>
      </c>
      <c r="G244">
        <v>107</v>
      </c>
      <c r="H244">
        <v>1596</v>
      </c>
      <c r="I244" t="s">
        <v>15</v>
      </c>
      <c r="J244">
        <v>4</v>
      </c>
      <c r="K244" s="1">
        <f t="shared" si="24"/>
        <v>45927</v>
      </c>
      <c r="L244" s="3">
        <f t="shared" si="25"/>
        <v>26.6</v>
      </c>
      <c r="M244" s="3">
        <f t="shared" si="26"/>
        <v>1.7833333333333334</v>
      </c>
      <c r="N244" t="str">
        <f t="shared" si="27"/>
        <v>Within SLA</v>
      </c>
      <c r="O244" t="str">
        <f t="shared" si="31"/>
        <v>Satisfied</v>
      </c>
      <c r="P244" t="str">
        <f t="shared" si="28"/>
        <v>Resolved</v>
      </c>
      <c r="Q244" s="2" t="str">
        <f t="shared" si="29"/>
        <v>Sep-2025</v>
      </c>
      <c r="R244" s="2">
        <f t="shared" si="30"/>
        <v>45901</v>
      </c>
    </row>
    <row r="245" spans="1:18">
      <c r="A245" t="s">
        <v>518</v>
      </c>
      <c r="B245" s="2" t="s">
        <v>519</v>
      </c>
      <c r="C245">
        <v>1233</v>
      </c>
      <c r="D245" t="s">
        <v>18</v>
      </c>
      <c r="E245" t="s">
        <v>19</v>
      </c>
      <c r="F245" t="s">
        <v>54</v>
      </c>
      <c r="G245">
        <v>50</v>
      </c>
      <c r="I245" t="s">
        <v>29</v>
      </c>
      <c r="K245" s="1">
        <f t="shared" si="24"/>
        <v>45927</v>
      </c>
      <c r="L245" s="3" t="str">
        <f t="shared" si="25"/>
        <v/>
      </c>
      <c r="M245" s="3">
        <f t="shared" si="26"/>
        <v>0.83333333333333337</v>
      </c>
      <c r="N245" t="str">
        <f t="shared" si="27"/>
        <v>Open</v>
      </c>
      <c r="O245" t="str">
        <f t="shared" si="31"/>
        <v>No Rating</v>
      </c>
      <c r="P245" t="str">
        <f t="shared" si="28"/>
        <v>Unresolved</v>
      </c>
      <c r="Q245" s="2" t="str">
        <f t="shared" si="29"/>
        <v>Sep-2025</v>
      </c>
      <c r="R245" s="2">
        <f t="shared" si="30"/>
        <v>45901</v>
      </c>
    </row>
    <row r="246" spans="1:18">
      <c r="A246" t="s">
        <v>520</v>
      </c>
      <c r="B246" s="2" t="s">
        <v>521</v>
      </c>
      <c r="C246">
        <v>1853</v>
      </c>
      <c r="D246" t="s">
        <v>47</v>
      </c>
      <c r="E246" t="s">
        <v>27</v>
      </c>
      <c r="F246" t="s">
        <v>28</v>
      </c>
      <c r="G246">
        <v>57</v>
      </c>
      <c r="H246">
        <v>3554</v>
      </c>
      <c r="I246" t="s">
        <v>15</v>
      </c>
      <c r="J246">
        <v>4</v>
      </c>
      <c r="K246" s="1">
        <f t="shared" si="24"/>
        <v>45928</v>
      </c>
      <c r="L246" s="3">
        <f t="shared" si="25"/>
        <v>59.233333333333334</v>
      </c>
      <c r="M246" s="3">
        <f t="shared" si="26"/>
        <v>0.95</v>
      </c>
      <c r="N246" t="str">
        <f t="shared" si="27"/>
        <v>Breached</v>
      </c>
      <c r="O246" t="str">
        <f t="shared" si="31"/>
        <v>Satisfied</v>
      </c>
      <c r="P246" t="str">
        <f t="shared" si="28"/>
        <v>Resolved</v>
      </c>
      <c r="Q246" s="2" t="str">
        <f t="shared" si="29"/>
        <v>Sep-2025</v>
      </c>
      <c r="R246" s="2">
        <f t="shared" si="30"/>
        <v>45901</v>
      </c>
    </row>
    <row r="247" spans="1:18">
      <c r="A247" t="s">
        <v>522</v>
      </c>
      <c r="B247" s="2" t="s">
        <v>523</v>
      </c>
      <c r="C247">
        <v>1907</v>
      </c>
      <c r="D247" t="s">
        <v>47</v>
      </c>
      <c r="E247" t="s">
        <v>13</v>
      </c>
      <c r="F247" t="s">
        <v>34</v>
      </c>
      <c r="G247">
        <v>6</v>
      </c>
      <c r="H247">
        <v>59</v>
      </c>
      <c r="I247" t="s">
        <v>15</v>
      </c>
      <c r="J247">
        <v>1</v>
      </c>
      <c r="K247" s="1">
        <f t="shared" si="24"/>
        <v>45928</v>
      </c>
      <c r="L247" s="3">
        <f t="shared" si="25"/>
        <v>0.98333333333333328</v>
      </c>
      <c r="M247" s="3">
        <f t="shared" si="26"/>
        <v>0.1</v>
      </c>
      <c r="N247" t="str">
        <f t="shared" si="27"/>
        <v>Within SLA</v>
      </c>
      <c r="O247" t="str">
        <f t="shared" si="31"/>
        <v>Dissatisfied</v>
      </c>
      <c r="P247" t="str">
        <f t="shared" si="28"/>
        <v>Resolved</v>
      </c>
      <c r="Q247" s="2" t="str">
        <f t="shared" si="29"/>
        <v>Sep-2025</v>
      </c>
      <c r="R247" s="2">
        <f t="shared" si="30"/>
        <v>45901</v>
      </c>
    </row>
    <row r="248" spans="1:18">
      <c r="A248" t="s">
        <v>524</v>
      </c>
      <c r="B248" s="2" t="s">
        <v>525</v>
      </c>
      <c r="C248">
        <v>1794</v>
      </c>
      <c r="D248" t="s">
        <v>12</v>
      </c>
      <c r="E248" t="s">
        <v>27</v>
      </c>
      <c r="F248" t="s">
        <v>43</v>
      </c>
      <c r="G248">
        <v>139</v>
      </c>
      <c r="H248">
        <v>1873</v>
      </c>
      <c r="I248" t="s">
        <v>15</v>
      </c>
      <c r="K248" s="1">
        <f t="shared" si="24"/>
        <v>45928</v>
      </c>
      <c r="L248" s="3">
        <f t="shared" si="25"/>
        <v>31.216666666666665</v>
      </c>
      <c r="M248" s="3">
        <f t="shared" si="26"/>
        <v>2.3166666666666669</v>
      </c>
      <c r="N248" t="str">
        <f t="shared" si="27"/>
        <v>Within SLA</v>
      </c>
      <c r="O248" t="str">
        <f t="shared" si="31"/>
        <v>No Rating</v>
      </c>
      <c r="P248" t="str">
        <f t="shared" si="28"/>
        <v>Resolved</v>
      </c>
      <c r="Q248" s="2" t="str">
        <f t="shared" si="29"/>
        <v>Sep-2025</v>
      </c>
      <c r="R248" s="2">
        <f t="shared" si="30"/>
        <v>45901</v>
      </c>
    </row>
    <row r="249" spans="1:18">
      <c r="A249" t="s">
        <v>526</v>
      </c>
      <c r="B249" s="2" t="s">
        <v>527</v>
      </c>
      <c r="C249">
        <v>1335</v>
      </c>
      <c r="D249" t="s">
        <v>12</v>
      </c>
      <c r="E249" t="s">
        <v>33</v>
      </c>
      <c r="F249" t="s">
        <v>54</v>
      </c>
      <c r="G249">
        <v>471</v>
      </c>
      <c r="H249">
        <v>1488</v>
      </c>
      <c r="I249" t="s">
        <v>15</v>
      </c>
      <c r="J249">
        <v>5</v>
      </c>
      <c r="K249" s="1">
        <f t="shared" si="24"/>
        <v>45929</v>
      </c>
      <c r="L249" s="3">
        <f t="shared" si="25"/>
        <v>24.8</v>
      </c>
      <c r="M249" s="3">
        <f t="shared" si="26"/>
        <v>7.85</v>
      </c>
      <c r="N249" t="str">
        <f t="shared" si="27"/>
        <v>Within SLA</v>
      </c>
      <c r="O249" t="str">
        <f t="shared" si="31"/>
        <v>Satisfied</v>
      </c>
      <c r="P249" t="str">
        <f t="shared" si="28"/>
        <v>Resolved</v>
      </c>
      <c r="Q249" s="2" t="str">
        <f t="shared" si="29"/>
        <v>Sep-2025</v>
      </c>
      <c r="R249" s="2">
        <f t="shared" si="30"/>
        <v>45901</v>
      </c>
    </row>
    <row r="250" spans="1:18">
      <c r="A250" t="s">
        <v>528</v>
      </c>
      <c r="B250" s="2" t="s">
        <v>529</v>
      </c>
      <c r="C250">
        <v>1675</v>
      </c>
      <c r="D250" t="s">
        <v>18</v>
      </c>
      <c r="E250" t="s">
        <v>27</v>
      </c>
      <c r="F250" t="s">
        <v>64</v>
      </c>
      <c r="G250">
        <v>167</v>
      </c>
      <c r="I250" t="s">
        <v>44</v>
      </c>
      <c r="K250" s="1">
        <f t="shared" si="24"/>
        <v>45929</v>
      </c>
      <c r="L250" s="3" t="str">
        <f t="shared" si="25"/>
        <v/>
      </c>
      <c r="M250" s="3">
        <f t="shared" si="26"/>
        <v>2.7833333333333332</v>
      </c>
      <c r="N250" t="str">
        <f t="shared" si="27"/>
        <v>Open</v>
      </c>
      <c r="O250" t="str">
        <f t="shared" si="31"/>
        <v>No Rating</v>
      </c>
      <c r="P250" t="str">
        <f t="shared" si="28"/>
        <v>Unresolved</v>
      </c>
      <c r="Q250" s="2" t="str">
        <f t="shared" si="29"/>
        <v>Sep-2025</v>
      </c>
      <c r="R250" s="2">
        <f t="shared" si="30"/>
        <v>45901</v>
      </c>
    </row>
    <row r="251" spans="1:18">
      <c r="A251" t="s">
        <v>530</v>
      </c>
      <c r="B251" s="2" t="s">
        <v>531</v>
      </c>
      <c r="C251">
        <v>1600</v>
      </c>
      <c r="D251" t="s">
        <v>12</v>
      </c>
      <c r="E251" t="s">
        <v>27</v>
      </c>
      <c r="F251" t="s">
        <v>14</v>
      </c>
      <c r="G251">
        <v>82</v>
      </c>
      <c r="I251" t="s">
        <v>44</v>
      </c>
      <c r="K251" s="1">
        <f t="shared" si="24"/>
        <v>45929</v>
      </c>
      <c r="L251" s="3" t="str">
        <f t="shared" si="25"/>
        <v/>
      </c>
      <c r="M251" s="3">
        <f t="shared" si="26"/>
        <v>1.3666666666666667</v>
      </c>
      <c r="N251" t="str">
        <f t="shared" si="27"/>
        <v>Open</v>
      </c>
      <c r="O251" t="str">
        <f t="shared" si="31"/>
        <v>No Rating</v>
      </c>
      <c r="P251" t="str">
        <f t="shared" si="28"/>
        <v>Unresolved</v>
      </c>
      <c r="Q251" s="2" t="str">
        <f t="shared" si="29"/>
        <v>Sep-2025</v>
      </c>
      <c r="R251" s="2">
        <f t="shared" si="30"/>
        <v>45901</v>
      </c>
    </row>
    <row r="252" spans="1:18">
      <c r="A252" t="s">
        <v>532</v>
      </c>
      <c r="B252" s="2" t="s">
        <v>533</v>
      </c>
      <c r="C252">
        <v>1087</v>
      </c>
      <c r="D252" t="s">
        <v>12</v>
      </c>
      <c r="E252" t="s">
        <v>13</v>
      </c>
      <c r="F252" t="s">
        <v>43</v>
      </c>
      <c r="G252">
        <v>6</v>
      </c>
      <c r="H252">
        <v>142</v>
      </c>
      <c r="I252" t="s">
        <v>15</v>
      </c>
      <c r="J252">
        <v>2</v>
      </c>
      <c r="K252" s="1">
        <f t="shared" si="24"/>
        <v>45930</v>
      </c>
      <c r="L252" s="3">
        <f t="shared" si="25"/>
        <v>2.3666666666666667</v>
      </c>
      <c r="M252" s="3">
        <f t="shared" si="26"/>
        <v>0.1</v>
      </c>
      <c r="N252" t="str">
        <f t="shared" si="27"/>
        <v>Within SLA</v>
      </c>
      <c r="O252" t="str">
        <f t="shared" si="31"/>
        <v>Dissatisfied</v>
      </c>
      <c r="P252" t="str">
        <f t="shared" si="28"/>
        <v>Resolved</v>
      </c>
      <c r="Q252" s="2" t="str">
        <f t="shared" si="29"/>
        <v>Sep-2025</v>
      </c>
      <c r="R252" s="2">
        <f t="shared" si="30"/>
        <v>45901</v>
      </c>
    </row>
    <row r="253" spans="1:18">
      <c r="A253" t="s">
        <v>534</v>
      </c>
      <c r="B253" s="2" t="s">
        <v>535</v>
      </c>
      <c r="C253">
        <v>1343</v>
      </c>
      <c r="D253" t="s">
        <v>18</v>
      </c>
      <c r="E253" t="s">
        <v>27</v>
      </c>
      <c r="F253" t="s">
        <v>59</v>
      </c>
      <c r="G253">
        <v>176</v>
      </c>
      <c r="I253" t="s">
        <v>44</v>
      </c>
      <c r="K253" s="1">
        <f t="shared" si="24"/>
        <v>45930</v>
      </c>
      <c r="L253" s="3" t="str">
        <f t="shared" si="25"/>
        <v/>
      </c>
      <c r="M253" s="3">
        <f t="shared" si="26"/>
        <v>2.9333333333333331</v>
      </c>
      <c r="N253" t="str">
        <f t="shared" si="27"/>
        <v>Open</v>
      </c>
      <c r="O253" t="str">
        <f t="shared" si="31"/>
        <v>No Rating</v>
      </c>
      <c r="P253" t="str">
        <f t="shared" si="28"/>
        <v>Unresolved</v>
      </c>
      <c r="Q253" s="2" t="str">
        <f t="shared" si="29"/>
        <v>Sep-2025</v>
      </c>
      <c r="R253" s="2">
        <f t="shared" si="30"/>
        <v>45901</v>
      </c>
    </row>
    <row r="254" spans="1:18">
      <c r="A254" t="s">
        <v>536</v>
      </c>
      <c r="B254" s="2" t="s">
        <v>537</v>
      </c>
      <c r="C254">
        <v>1817</v>
      </c>
      <c r="D254" t="s">
        <v>32</v>
      </c>
      <c r="E254" t="s">
        <v>19</v>
      </c>
      <c r="F254" t="s">
        <v>59</v>
      </c>
      <c r="G254">
        <v>31</v>
      </c>
      <c r="H254">
        <v>1013</v>
      </c>
      <c r="I254" t="s">
        <v>20</v>
      </c>
      <c r="K254" s="1">
        <f t="shared" si="24"/>
        <v>45930</v>
      </c>
      <c r="L254" s="3">
        <f t="shared" si="25"/>
        <v>16.883333333333333</v>
      </c>
      <c r="M254" s="3">
        <f t="shared" si="26"/>
        <v>0.51666666666666672</v>
      </c>
      <c r="N254" t="str">
        <f t="shared" si="27"/>
        <v>Within SLA</v>
      </c>
      <c r="O254" t="str">
        <f t="shared" si="31"/>
        <v>No Rating</v>
      </c>
      <c r="P254" t="str">
        <f t="shared" si="28"/>
        <v>Resolved</v>
      </c>
      <c r="Q254" s="2" t="str">
        <f t="shared" si="29"/>
        <v>Sep-2025</v>
      </c>
      <c r="R254" s="2">
        <f t="shared" si="30"/>
        <v>45901</v>
      </c>
    </row>
    <row r="255" spans="1:18">
      <c r="A255" t="s">
        <v>538</v>
      </c>
      <c r="B255" s="2" t="s">
        <v>539</v>
      </c>
      <c r="C255">
        <v>1113</v>
      </c>
      <c r="D255" t="s">
        <v>32</v>
      </c>
      <c r="E255" t="s">
        <v>27</v>
      </c>
      <c r="F255" t="s">
        <v>23</v>
      </c>
      <c r="G255">
        <v>71</v>
      </c>
      <c r="H255">
        <v>2715</v>
      </c>
      <c r="I255" t="s">
        <v>15</v>
      </c>
      <c r="J255">
        <v>4</v>
      </c>
      <c r="K255" s="1">
        <f t="shared" si="24"/>
        <v>45931</v>
      </c>
      <c r="L255" s="3">
        <f t="shared" si="25"/>
        <v>45.25</v>
      </c>
      <c r="M255" s="3">
        <f t="shared" si="26"/>
        <v>1.1833333333333333</v>
      </c>
      <c r="N255" t="str">
        <f t="shared" si="27"/>
        <v>Within SLA</v>
      </c>
      <c r="O255" t="str">
        <f t="shared" si="31"/>
        <v>Satisfied</v>
      </c>
      <c r="P255" t="str">
        <f t="shared" si="28"/>
        <v>Resolved</v>
      </c>
      <c r="Q255" s="2" t="str">
        <f t="shared" si="29"/>
        <v>Oct-2025</v>
      </c>
      <c r="R255" s="2">
        <f t="shared" si="30"/>
        <v>45931</v>
      </c>
    </row>
    <row r="256" spans="1:18">
      <c r="A256" t="s">
        <v>540</v>
      </c>
      <c r="B256" s="2" t="s">
        <v>541</v>
      </c>
      <c r="C256">
        <v>1781</v>
      </c>
      <c r="D256" t="s">
        <v>26</v>
      </c>
      <c r="E256" t="s">
        <v>13</v>
      </c>
      <c r="F256" t="s">
        <v>71</v>
      </c>
      <c r="G256">
        <v>12</v>
      </c>
      <c r="H256">
        <v>384</v>
      </c>
      <c r="I256" t="s">
        <v>15</v>
      </c>
      <c r="K256" s="1">
        <f t="shared" si="24"/>
        <v>45931</v>
      </c>
      <c r="L256" s="3">
        <f t="shared" si="25"/>
        <v>6.4</v>
      </c>
      <c r="M256" s="3">
        <f t="shared" si="26"/>
        <v>0.2</v>
      </c>
      <c r="N256" t="str">
        <f t="shared" si="27"/>
        <v>Within SLA</v>
      </c>
      <c r="O256" t="str">
        <f t="shared" si="31"/>
        <v>No Rating</v>
      </c>
      <c r="P256" t="str">
        <f t="shared" si="28"/>
        <v>Resolved</v>
      </c>
      <c r="Q256" s="2" t="str">
        <f t="shared" si="29"/>
        <v>Oct-2025</v>
      </c>
      <c r="R256" s="2">
        <f t="shared" si="30"/>
        <v>45931</v>
      </c>
    </row>
    <row r="257" spans="1:18">
      <c r="A257" t="s">
        <v>542</v>
      </c>
      <c r="B257" s="2" t="s">
        <v>543</v>
      </c>
      <c r="C257">
        <v>1043</v>
      </c>
      <c r="D257" t="s">
        <v>12</v>
      </c>
      <c r="E257" t="s">
        <v>33</v>
      </c>
      <c r="F257" t="s">
        <v>14</v>
      </c>
      <c r="G257">
        <v>123</v>
      </c>
      <c r="H257">
        <v>1500</v>
      </c>
      <c r="I257" t="s">
        <v>15</v>
      </c>
      <c r="K257" s="1">
        <f t="shared" si="24"/>
        <v>45932</v>
      </c>
      <c r="L257" s="3">
        <f t="shared" si="25"/>
        <v>25</v>
      </c>
      <c r="M257" s="3">
        <f t="shared" si="26"/>
        <v>2.0499999999999998</v>
      </c>
      <c r="N257" t="str">
        <f t="shared" si="27"/>
        <v>Within SLA</v>
      </c>
      <c r="O257" t="str">
        <f t="shared" si="31"/>
        <v>No Rating</v>
      </c>
      <c r="P257" t="str">
        <f t="shared" si="28"/>
        <v>Resolved</v>
      </c>
      <c r="Q257" s="2" t="str">
        <f t="shared" si="29"/>
        <v>Oct-2025</v>
      </c>
      <c r="R257" s="2">
        <f t="shared" si="30"/>
        <v>45931</v>
      </c>
    </row>
    <row r="258" spans="1:18">
      <c r="A258" t="s">
        <v>544</v>
      </c>
      <c r="B258" s="2" t="s">
        <v>545</v>
      </c>
      <c r="C258">
        <v>1226</v>
      </c>
      <c r="D258" t="s">
        <v>12</v>
      </c>
      <c r="E258" t="s">
        <v>13</v>
      </c>
      <c r="F258" t="s">
        <v>71</v>
      </c>
      <c r="G258">
        <v>5</v>
      </c>
      <c r="H258">
        <v>95</v>
      </c>
      <c r="I258" t="s">
        <v>20</v>
      </c>
      <c r="J258">
        <v>2</v>
      </c>
      <c r="K258" s="1">
        <f t="shared" si="24"/>
        <v>45932</v>
      </c>
      <c r="L258" s="3">
        <f t="shared" si="25"/>
        <v>1.5833333333333333</v>
      </c>
      <c r="M258" s="3">
        <f t="shared" si="26"/>
        <v>8.3333333333333329E-2</v>
      </c>
      <c r="N258" t="str">
        <f t="shared" si="27"/>
        <v>Within SLA</v>
      </c>
      <c r="O258" t="str">
        <f t="shared" si="31"/>
        <v>Dissatisfied</v>
      </c>
      <c r="P258" t="str">
        <f t="shared" si="28"/>
        <v>Resolved</v>
      </c>
      <c r="Q258" s="2" t="str">
        <f t="shared" si="29"/>
        <v>Oct-2025</v>
      </c>
      <c r="R258" s="2">
        <f t="shared" si="30"/>
        <v>45931</v>
      </c>
    </row>
    <row r="259" spans="1:18">
      <c r="A259" t="s">
        <v>546</v>
      </c>
      <c r="B259" s="2" t="s">
        <v>547</v>
      </c>
      <c r="C259">
        <v>1581</v>
      </c>
      <c r="D259" t="s">
        <v>18</v>
      </c>
      <c r="E259" t="s">
        <v>13</v>
      </c>
      <c r="F259" t="s">
        <v>59</v>
      </c>
      <c r="G259">
        <v>8</v>
      </c>
      <c r="I259" t="s">
        <v>29</v>
      </c>
      <c r="K259" s="1">
        <f t="shared" ref="K259:K322" si="32">IF(B259="","",DATEVALUE(LEFT(B259,10)))</f>
        <v>45932</v>
      </c>
      <c r="L259" s="3" t="str">
        <f t="shared" ref="L259:L322" si="33">IF(H259="","",H259/60)</f>
        <v/>
      </c>
      <c r="M259" s="3">
        <f t="shared" ref="M259:M322" si="34">IF(G259="","",G259/60)</f>
        <v>0.13333333333333333</v>
      </c>
      <c r="N259" t="str">
        <f t="shared" ref="N259:N322" si="35">IF(L259="","Open",IF(L259&lt;=IF(E259="Urgent",8,IF(E259="High",24,IF(E259="Normal",48,72))),"Within SLA","Breached"))</f>
        <v>Open</v>
      </c>
      <c r="O259" t="str">
        <f t="shared" si="31"/>
        <v>No Rating</v>
      </c>
      <c r="P259" t="str">
        <f t="shared" ref="P259:P322" si="36">IF(I259="Closed","Resolved",IF(I259="Resolved","Resolved","Unresolved"))</f>
        <v>Unresolved</v>
      </c>
      <c r="Q259" s="2" t="str">
        <f t="shared" ref="Q259:Q322" si="37">IF(K259="","",TEXT(K259,"mmm-yyyy"))</f>
        <v>Oct-2025</v>
      </c>
      <c r="R259" s="2">
        <f t="shared" ref="R259:R322" si="38">IF(K259="","",DATE(YEAR(K259),MONTH(K259),1))</f>
        <v>45931</v>
      </c>
    </row>
    <row r="260" spans="1:18">
      <c r="A260" t="s">
        <v>548</v>
      </c>
      <c r="B260" s="2" t="s">
        <v>549</v>
      </c>
      <c r="C260">
        <v>1729</v>
      </c>
      <c r="D260" t="s">
        <v>12</v>
      </c>
      <c r="E260" t="s">
        <v>19</v>
      </c>
      <c r="F260" t="s">
        <v>71</v>
      </c>
      <c r="G260">
        <v>15</v>
      </c>
      <c r="H260">
        <v>267</v>
      </c>
      <c r="I260" t="s">
        <v>15</v>
      </c>
      <c r="J260">
        <v>2</v>
      </c>
      <c r="K260" s="1">
        <f t="shared" si="32"/>
        <v>45933</v>
      </c>
      <c r="L260" s="3">
        <f t="shared" si="33"/>
        <v>4.45</v>
      </c>
      <c r="M260" s="3">
        <f t="shared" si="34"/>
        <v>0.25</v>
      </c>
      <c r="N260" t="str">
        <f t="shared" si="35"/>
        <v>Within SLA</v>
      </c>
      <c r="O260" t="str">
        <f t="shared" ref="O260:O323" si="39">IF(J260="","No Rating",IF(J260&gt;=4,"Satisfied",IF(J260=3,"Neutral","Dissatisfied")))</f>
        <v>Dissatisfied</v>
      </c>
      <c r="P260" t="str">
        <f t="shared" si="36"/>
        <v>Resolved</v>
      </c>
      <c r="Q260" s="2" t="str">
        <f t="shared" si="37"/>
        <v>Oct-2025</v>
      </c>
      <c r="R260" s="2">
        <f t="shared" si="38"/>
        <v>45931</v>
      </c>
    </row>
    <row r="261" spans="1:18">
      <c r="A261" t="s">
        <v>550</v>
      </c>
      <c r="B261" s="2" t="s">
        <v>551</v>
      </c>
      <c r="C261">
        <v>1829</v>
      </c>
      <c r="D261" t="s">
        <v>32</v>
      </c>
      <c r="E261" t="s">
        <v>13</v>
      </c>
      <c r="F261" t="s">
        <v>59</v>
      </c>
      <c r="G261">
        <v>2</v>
      </c>
      <c r="H261">
        <v>98</v>
      </c>
      <c r="I261" t="s">
        <v>15</v>
      </c>
      <c r="J261">
        <v>1</v>
      </c>
      <c r="K261" s="1">
        <f t="shared" si="32"/>
        <v>45933</v>
      </c>
      <c r="L261" s="3">
        <f t="shared" si="33"/>
        <v>1.6333333333333333</v>
      </c>
      <c r="M261" s="3">
        <f t="shared" si="34"/>
        <v>3.3333333333333333E-2</v>
      </c>
      <c r="N261" t="str">
        <f t="shared" si="35"/>
        <v>Within SLA</v>
      </c>
      <c r="O261" t="str">
        <f t="shared" si="39"/>
        <v>Dissatisfied</v>
      </c>
      <c r="P261" t="str">
        <f t="shared" si="36"/>
        <v>Resolved</v>
      </c>
      <c r="Q261" s="2" t="str">
        <f t="shared" si="37"/>
        <v>Oct-2025</v>
      </c>
      <c r="R261" s="2">
        <f t="shared" si="38"/>
        <v>45931</v>
      </c>
    </row>
    <row r="262" spans="1:18">
      <c r="A262" t="s">
        <v>552</v>
      </c>
      <c r="B262" s="2" t="s">
        <v>553</v>
      </c>
      <c r="C262">
        <v>1609</v>
      </c>
      <c r="D262" t="s">
        <v>12</v>
      </c>
      <c r="E262" t="s">
        <v>27</v>
      </c>
      <c r="F262" t="s">
        <v>64</v>
      </c>
      <c r="G262">
        <v>120</v>
      </c>
      <c r="H262">
        <v>2836</v>
      </c>
      <c r="I262" t="s">
        <v>15</v>
      </c>
      <c r="K262" s="1">
        <f t="shared" si="32"/>
        <v>45933</v>
      </c>
      <c r="L262" s="3">
        <f t="shared" si="33"/>
        <v>47.266666666666666</v>
      </c>
      <c r="M262" s="3">
        <f t="shared" si="34"/>
        <v>2</v>
      </c>
      <c r="N262" t="str">
        <f t="shared" si="35"/>
        <v>Within SLA</v>
      </c>
      <c r="O262" t="str">
        <f t="shared" si="39"/>
        <v>No Rating</v>
      </c>
      <c r="P262" t="str">
        <f t="shared" si="36"/>
        <v>Resolved</v>
      </c>
      <c r="Q262" s="2" t="str">
        <f t="shared" si="37"/>
        <v>Oct-2025</v>
      </c>
      <c r="R262" s="2">
        <f t="shared" si="38"/>
        <v>45931</v>
      </c>
    </row>
    <row r="263" spans="1:18">
      <c r="A263" t="s">
        <v>554</v>
      </c>
      <c r="B263" s="2" t="s">
        <v>555</v>
      </c>
      <c r="C263">
        <v>1992</v>
      </c>
      <c r="D263" t="s">
        <v>26</v>
      </c>
      <c r="E263" t="s">
        <v>13</v>
      </c>
      <c r="F263" t="s">
        <v>59</v>
      </c>
      <c r="G263">
        <v>12</v>
      </c>
      <c r="H263">
        <v>393</v>
      </c>
      <c r="I263" t="s">
        <v>15</v>
      </c>
      <c r="J263">
        <v>4</v>
      </c>
      <c r="K263" s="1">
        <f t="shared" si="32"/>
        <v>45934</v>
      </c>
      <c r="L263" s="3">
        <f t="shared" si="33"/>
        <v>6.55</v>
      </c>
      <c r="M263" s="3">
        <f t="shared" si="34"/>
        <v>0.2</v>
      </c>
      <c r="N263" t="str">
        <f t="shared" si="35"/>
        <v>Within SLA</v>
      </c>
      <c r="O263" t="str">
        <f t="shared" si="39"/>
        <v>Satisfied</v>
      </c>
      <c r="P263" t="str">
        <f t="shared" si="36"/>
        <v>Resolved</v>
      </c>
      <c r="Q263" s="2" t="str">
        <f t="shared" si="37"/>
        <v>Oct-2025</v>
      </c>
      <c r="R263" s="2">
        <f t="shared" si="38"/>
        <v>45931</v>
      </c>
    </row>
    <row r="264" spans="1:18">
      <c r="A264" t="s">
        <v>556</v>
      </c>
      <c r="B264" s="2" t="s">
        <v>557</v>
      </c>
      <c r="C264">
        <v>1163</v>
      </c>
      <c r="D264" t="s">
        <v>18</v>
      </c>
      <c r="E264" t="s">
        <v>27</v>
      </c>
      <c r="F264" t="s">
        <v>14</v>
      </c>
      <c r="G264">
        <v>83</v>
      </c>
      <c r="H264">
        <v>1033</v>
      </c>
      <c r="I264" t="s">
        <v>15</v>
      </c>
      <c r="J264">
        <v>3</v>
      </c>
      <c r="K264" s="1">
        <f t="shared" si="32"/>
        <v>45934</v>
      </c>
      <c r="L264" s="3">
        <f t="shared" si="33"/>
        <v>17.216666666666665</v>
      </c>
      <c r="M264" s="3">
        <f t="shared" si="34"/>
        <v>1.3833333333333333</v>
      </c>
      <c r="N264" t="str">
        <f t="shared" si="35"/>
        <v>Within SLA</v>
      </c>
      <c r="O264" t="str">
        <f t="shared" si="39"/>
        <v>Neutral</v>
      </c>
      <c r="P264" t="str">
        <f t="shared" si="36"/>
        <v>Resolved</v>
      </c>
      <c r="Q264" s="2" t="str">
        <f t="shared" si="37"/>
        <v>Oct-2025</v>
      </c>
      <c r="R264" s="2">
        <f t="shared" si="38"/>
        <v>45931</v>
      </c>
    </row>
    <row r="265" spans="1:18">
      <c r="A265" t="s">
        <v>558</v>
      </c>
      <c r="B265" s="2" t="s">
        <v>559</v>
      </c>
      <c r="C265">
        <v>1379</v>
      </c>
      <c r="D265" t="s">
        <v>18</v>
      </c>
      <c r="E265" t="s">
        <v>27</v>
      </c>
      <c r="F265" t="s">
        <v>23</v>
      </c>
      <c r="G265">
        <v>117</v>
      </c>
      <c r="H265">
        <v>1127</v>
      </c>
      <c r="I265" t="s">
        <v>20</v>
      </c>
      <c r="J265">
        <v>3</v>
      </c>
      <c r="K265" s="1">
        <f t="shared" si="32"/>
        <v>45934</v>
      </c>
      <c r="L265" s="3">
        <f t="shared" si="33"/>
        <v>18.783333333333335</v>
      </c>
      <c r="M265" s="3">
        <f t="shared" si="34"/>
        <v>1.95</v>
      </c>
      <c r="N265" t="str">
        <f t="shared" si="35"/>
        <v>Within SLA</v>
      </c>
      <c r="O265" t="str">
        <f t="shared" si="39"/>
        <v>Neutral</v>
      </c>
      <c r="P265" t="str">
        <f t="shared" si="36"/>
        <v>Resolved</v>
      </c>
      <c r="Q265" s="2" t="str">
        <f t="shared" si="37"/>
        <v>Oct-2025</v>
      </c>
      <c r="R265" s="2">
        <f t="shared" si="38"/>
        <v>45931</v>
      </c>
    </row>
    <row r="266" spans="1:18">
      <c r="A266" t="s">
        <v>560</v>
      </c>
      <c r="B266" s="2" t="s">
        <v>561</v>
      </c>
      <c r="C266">
        <v>1703</v>
      </c>
      <c r="D266" t="s">
        <v>12</v>
      </c>
      <c r="E266" t="s">
        <v>27</v>
      </c>
      <c r="F266" t="s">
        <v>23</v>
      </c>
      <c r="G266">
        <v>90</v>
      </c>
      <c r="H266">
        <v>1696</v>
      </c>
      <c r="I266" t="s">
        <v>15</v>
      </c>
      <c r="J266">
        <v>1</v>
      </c>
      <c r="K266" s="1">
        <f t="shared" si="32"/>
        <v>45935</v>
      </c>
      <c r="L266" s="3">
        <f t="shared" si="33"/>
        <v>28.266666666666666</v>
      </c>
      <c r="M266" s="3">
        <f t="shared" si="34"/>
        <v>1.5</v>
      </c>
      <c r="N266" t="str">
        <f t="shared" si="35"/>
        <v>Within SLA</v>
      </c>
      <c r="O266" t="str">
        <f t="shared" si="39"/>
        <v>Dissatisfied</v>
      </c>
      <c r="P266" t="str">
        <f t="shared" si="36"/>
        <v>Resolved</v>
      </c>
      <c r="Q266" s="2" t="str">
        <f t="shared" si="37"/>
        <v>Oct-2025</v>
      </c>
      <c r="R266" s="2">
        <f t="shared" si="38"/>
        <v>45931</v>
      </c>
    </row>
    <row r="267" spans="1:18">
      <c r="A267" t="s">
        <v>562</v>
      </c>
      <c r="B267" s="2" t="s">
        <v>563</v>
      </c>
      <c r="C267">
        <v>1254</v>
      </c>
      <c r="D267" t="s">
        <v>18</v>
      </c>
      <c r="E267" t="s">
        <v>19</v>
      </c>
      <c r="F267" t="s">
        <v>28</v>
      </c>
      <c r="G267">
        <v>9</v>
      </c>
      <c r="H267">
        <v>809</v>
      </c>
      <c r="I267" t="s">
        <v>15</v>
      </c>
      <c r="J267">
        <v>1</v>
      </c>
      <c r="K267" s="1">
        <f t="shared" si="32"/>
        <v>45935</v>
      </c>
      <c r="L267" s="3">
        <f t="shared" si="33"/>
        <v>13.483333333333333</v>
      </c>
      <c r="M267" s="3">
        <f t="shared" si="34"/>
        <v>0.15</v>
      </c>
      <c r="N267" t="str">
        <f t="shared" si="35"/>
        <v>Within SLA</v>
      </c>
      <c r="O267" t="str">
        <f t="shared" si="39"/>
        <v>Dissatisfied</v>
      </c>
      <c r="P267" t="str">
        <f t="shared" si="36"/>
        <v>Resolved</v>
      </c>
      <c r="Q267" s="2" t="str">
        <f t="shared" si="37"/>
        <v>Oct-2025</v>
      </c>
      <c r="R267" s="2">
        <f t="shared" si="38"/>
        <v>45931</v>
      </c>
    </row>
    <row r="268" spans="1:18">
      <c r="A268" t="s">
        <v>564</v>
      </c>
      <c r="B268" s="2" t="s">
        <v>565</v>
      </c>
      <c r="C268">
        <v>1414</v>
      </c>
      <c r="D268" t="s">
        <v>47</v>
      </c>
      <c r="E268" t="s">
        <v>13</v>
      </c>
      <c r="F268" t="s">
        <v>54</v>
      </c>
      <c r="G268">
        <v>5</v>
      </c>
      <c r="H268">
        <v>126</v>
      </c>
      <c r="I268" t="s">
        <v>15</v>
      </c>
      <c r="J268">
        <v>3</v>
      </c>
      <c r="K268" s="1">
        <f t="shared" si="32"/>
        <v>45936</v>
      </c>
      <c r="L268" s="3">
        <f t="shared" si="33"/>
        <v>2.1</v>
      </c>
      <c r="M268" s="3">
        <f t="shared" si="34"/>
        <v>8.3333333333333329E-2</v>
      </c>
      <c r="N268" t="str">
        <f t="shared" si="35"/>
        <v>Within SLA</v>
      </c>
      <c r="O268" t="str">
        <f t="shared" si="39"/>
        <v>Neutral</v>
      </c>
      <c r="P268" t="str">
        <f t="shared" si="36"/>
        <v>Resolved</v>
      </c>
      <c r="Q268" s="2" t="str">
        <f t="shared" si="37"/>
        <v>Oct-2025</v>
      </c>
      <c r="R268" s="2">
        <f t="shared" si="38"/>
        <v>45931</v>
      </c>
    </row>
    <row r="269" spans="1:18">
      <c r="A269" t="s">
        <v>566</v>
      </c>
      <c r="B269" s="2" t="s">
        <v>567</v>
      </c>
      <c r="C269">
        <v>1645</v>
      </c>
      <c r="D269" t="s">
        <v>18</v>
      </c>
      <c r="E269" t="s">
        <v>33</v>
      </c>
      <c r="F269" t="s">
        <v>64</v>
      </c>
      <c r="G269">
        <v>389</v>
      </c>
      <c r="H269">
        <v>3164</v>
      </c>
      <c r="I269" t="s">
        <v>20</v>
      </c>
      <c r="J269">
        <v>1</v>
      </c>
      <c r="K269" s="1">
        <f t="shared" si="32"/>
        <v>45936</v>
      </c>
      <c r="L269" s="3">
        <f t="shared" si="33"/>
        <v>52.733333333333334</v>
      </c>
      <c r="M269" s="3">
        <f t="shared" si="34"/>
        <v>6.4833333333333334</v>
      </c>
      <c r="N269" t="str">
        <f t="shared" si="35"/>
        <v>Within SLA</v>
      </c>
      <c r="O269" t="str">
        <f t="shared" si="39"/>
        <v>Dissatisfied</v>
      </c>
      <c r="P269" t="str">
        <f t="shared" si="36"/>
        <v>Resolved</v>
      </c>
      <c r="Q269" s="2" t="str">
        <f t="shared" si="37"/>
        <v>Oct-2025</v>
      </c>
      <c r="R269" s="2">
        <f t="shared" si="38"/>
        <v>45931</v>
      </c>
    </row>
    <row r="270" spans="1:18">
      <c r="A270" t="s">
        <v>568</v>
      </c>
      <c r="B270" s="2" t="s">
        <v>569</v>
      </c>
      <c r="C270">
        <v>1656</v>
      </c>
      <c r="D270" t="s">
        <v>12</v>
      </c>
      <c r="E270" t="s">
        <v>13</v>
      </c>
      <c r="F270" t="s">
        <v>34</v>
      </c>
      <c r="G270">
        <v>9</v>
      </c>
      <c r="H270">
        <v>318</v>
      </c>
      <c r="I270" t="s">
        <v>15</v>
      </c>
      <c r="K270" s="1">
        <f t="shared" si="32"/>
        <v>45936</v>
      </c>
      <c r="L270" s="3">
        <f t="shared" si="33"/>
        <v>5.3</v>
      </c>
      <c r="M270" s="3">
        <f t="shared" si="34"/>
        <v>0.15</v>
      </c>
      <c r="N270" t="str">
        <f t="shared" si="35"/>
        <v>Within SLA</v>
      </c>
      <c r="O270" t="str">
        <f t="shared" si="39"/>
        <v>No Rating</v>
      </c>
      <c r="P270" t="str">
        <f t="shared" si="36"/>
        <v>Resolved</v>
      </c>
      <c r="Q270" s="2" t="str">
        <f t="shared" si="37"/>
        <v>Oct-2025</v>
      </c>
      <c r="R270" s="2">
        <f t="shared" si="38"/>
        <v>45931</v>
      </c>
    </row>
    <row r="271" spans="1:18">
      <c r="A271" t="s">
        <v>570</v>
      </c>
      <c r="B271" s="2" t="s">
        <v>571</v>
      </c>
      <c r="C271">
        <v>1727</v>
      </c>
      <c r="D271" t="s">
        <v>12</v>
      </c>
      <c r="E271" t="s">
        <v>33</v>
      </c>
      <c r="F271" t="s">
        <v>54</v>
      </c>
      <c r="G271">
        <v>256</v>
      </c>
      <c r="H271">
        <v>5523</v>
      </c>
      <c r="I271" t="s">
        <v>20</v>
      </c>
      <c r="J271">
        <v>3</v>
      </c>
      <c r="K271" s="1">
        <f t="shared" si="32"/>
        <v>45937</v>
      </c>
      <c r="L271" s="3">
        <f t="shared" si="33"/>
        <v>92.05</v>
      </c>
      <c r="M271" s="3">
        <f t="shared" si="34"/>
        <v>4.2666666666666666</v>
      </c>
      <c r="N271" t="str">
        <f t="shared" si="35"/>
        <v>Breached</v>
      </c>
      <c r="O271" t="str">
        <f t="shared" si="39"/>
        <v>Neutral</v>
      </c>
      <c r="P271" t="str">
        <f t="shared" si="36"/>
        <v>Resolved</v>
      </c>
      <c r="Q271" s="2" t="str">
        <f t="shared" si="37"/>
        <v>Oct-2025</v>
      </c>
      <c r="R271" s="2">
        <f t="shared" si="38"/>
        <v>45931</v>
      </c>
    </row>
    <row r="272" spans="1:18">
      <c r="A272" t="s">
        <v>572</v>
      </c>
      <c r="B272" s="2" t="s">
        <v>573</v>
      </c>
      <c r="C272">
        <v>1312</v>
      </c>
      <c r="D272" t="s">
        <v>32</v>
      </c>
      <c r="E272" t="s">
        <v>19</v>
      </c>
      <c r="F272" t="s">
        <v>54</v>
      </c>
      <c r="G272">
        <v>25</v>
      </c>
      <c r="I272" t="s">
        <v>29</v>
      </c>
      <c r="K272" s="1">
        <f t="shared" si="32"/>
        <v>45937</v>
      </c>
      <c r="L272" s="3" t="str">
        <f t="shared" si="33"/>
        <v/>
      </c>
      <c r="M272" s="3">
        <f t="shared" si="34"/>
        <v>0.41666666666666669</v>
      </c>
      <c r="N272" t="str">
        <f t="shared" si="35"/>
        <v>Open</v>
      </c>
      <c r="O272" t="str">
        <f t="shared" si="39"/>
        <v>No Rating</v>
      </c>
      <c r="P272" t="str">
        <f t="shared" si="36"/>
        <v>Unresolved</v>
      </c>
      <c r="Q272" s="2" t="str">
        <f t="shared" si="37"/>
        <v>Oct-2025</v>
      </c>
      <c r="R272" s="2">
        <f t="shared" si="38"/>
        <v>45931</v>
      </c>
    </row>
    <row r="273" spans="1:18">
      <c r="A273" t="s">
        <v>574</v>
      </c>
      <c r="B273" s="2" t="s">
        <v>575</v>
      </c>
      <c r="C273">
        <v>1006</v>
      </c>
      <c r="D273" t="s">
        <v>12</v>
      </c>
      <c r="E273" t="s">
        <v>33</v>
      </c>
      <c r="F273" t="s">
        <v>54</v>
      </c>
      <c r="G273">
        <v>400</v>
      </c>
      <c r="H273">
        <v>7427</v>
      </c>
      <c r="I273" t="s">
        <v>20</v>
      </c>
      <c r="J273">
        <v>4</v>
      </c>
      <c r="K273" s="1">
        <f t="shared" si="32"/>
        <v>45937</v>
      </c>
      <c r="L273" s="3">
        <f t="shared" si="33"/>
        <v>123.78333333333333</v>
      </c>
      <c r="M273" s="3">
        <f t="shared" si="34"/>
        <v>6.666666666666667</v>
      </c>
      <c r="N273" t="str">
        <f t="shared" si="35"/>
        <v>Breached</v>
      </c>
      <c r="O273" t="str">
        <f t="shared" si="39"/>
        <v>Satisfied</v>
      </c>
      <c r="P273" t="str">
        <f t="shared" si="36"/>
        <v>Resolved</v>
      </c>
      <c r="Q273" s="2" t="str">
        <f t="shared" si="37"/>
        <v>Oct-2025</v>
      </c>
      <c r="R273" s="2">
        <f t="shared" si="38"/>
        <v>45931</v>
      </c>
    </row>
    <row r="274" spans="1:18">
      <c r="A274" t="s">
        <v>576</v>
      </c>
      <c r="B274" s="2" t="s">
        <v>577</v>
      </c>
      <c r="C274">
        <v>1092</v>
      </c>
      <c r="D274" t="s">
        <v>47</v>
      </c>
      <c r="E274" t="s">
        <v>33</v>
      </c>
      <c r="F274" t="s">
        <v>71</v>
      </c>
      <c r="G274">
        <v>257</v>
      </c>
      <c r="H274">
        <v>6666</v>
      </c>
      <c r="I274" t="s">
        <v>20</v>
      </c>
      <c r="J274">
        <v>3</v>
      </c>
      <c r="K274" s="1">
        <f t="shared" si="32"/>
        <v>45938</v>
      </c>
      <c r="L274" s="3">
        <f t="shared" si="33"/>
        <v>111.1</v>
      </c>
      <c r="M274" s="3">
        <f t="shared" si="34"/>
        <v>4.2833333333333332</v>
      </c>
      <c r="N274" t="str">
        <f t="shared" si="35"/>
        <v>Breached</v>
      </c>
      <c r="O274" t="str">
        <f t="shared" si="39"/>
        <v>Neutral</v>
      </c>
      <c r="P274" t="str">
        <f t="shared" si="36"/>
        <v>Resolved</v>
      </c>
      <c r="Q274" s="2" t="str">
        <f t="shared" si="37"/>
        <v>Oct-2025</v>
      </c>
      <c r="R274" s="2">
        <f t="shared" si="38"/>
        <v>45931</v>
      </c>
    </row>
    <row r="275" spans="1:18">
      <c r="A275" t="s">
        <v>578</v>
      </c>
      <c r="B275" s="2" t="s">
        <v>579</v>
      </c>
      <c r="C275">
        <v>1005</v>
      </c>
      <c r="D275" t="s">
        <v>47</v>
      </c>
      <c r="E275" t="s">
        <v>27</v>
      </c>
      <c r="F275" t="s">
        <v>43</v>
      </c>
      <c r="G275">
        <v>142</v>
      </c>
      <c r="H275">
        <v>2275</v>
      </c>
      <c r="I275" t="s">
        <v>15</v>
      </c>
      <c r="K275" s="1">
        <f t="shared" si="32"/>
        <v>45938</v>
      </c>
      <c r="L275" s="3">
        <f t="shared" si="33"/>
        <v>37.916666666666664</v>
      </c>
      <c r="M275" s="3">
        <f t="shared" si="34"/>
        <v>2.3666666666666667</v>
      </c>
      <c r="N275" t="str">
        <f t="shared" si="35"/>
        <v>Within SLA</v>
      </c>
      <c r="O275" t="str">
        <f t="shared" si="39"/>
        <v>No Rating</v>
      </c>
      <c r="P275" t="str">
        <f t="shared" si="36"/>
        <v>Resolved</v>
      </c>
      <c r="Q275" s="2" t="str">
        <f t="shared" si="37"/>
        <v>Oct-2025</v>
      </c>
      <c r="R275" s="2">
        <f t="shared" si="38"/>
        <v>45931</v>
      </c>
    </row>
    <row r="276" spans="1:18">
      <c r="A276" t="s">
        <v>580</v>
      </c>
      <c r="B276" s="2" t="s">
        <v>581</v>
      </c>
      <c r="C276">
        <v>1492</v>
      </c>
      <c r="D276" t="s">
        <v>32</v>
      </c>
      <c r="E276" t="s">
        <v>27</v>
      </c>
      <c r="F276" t="s">
        <v>43</v>
      </c>
      <c r="G276">
        <v>104</v>
      </c>
      <c r="H276">
        <v>3255</v>
      </c>
      <c r="I276" t="s">
        <v>15</v>
      </c>
      <c r="J276">
        <v>2</v>
      </c>
      <c r="K276" s="1">
        <f t="shared" si="32"/>
        <v>45939</v>
      </c>
      <c r="L276" s="3">
        <f t="shared" si="33"/>
        <v>54.25</v>
      </c>
      <c r="M276" s="3">
        <f t="shared" si="34"/>
        <v>1.7333333333333334</v>
      </c>
      <c r="N276" t="str">
        <f t="shared" si="35"/>
        <v>Breached</v>
      </c>
      <c r="O276" t="str">
        <f t="shared" si="39"/>
        <v>Dissatisfied</v>
      </c>
      <c r="P276" t="str">
        <f t="shared" si="36"/>
        <v>Resolved</v>
      </c>
      <c r="Q276" s="2" t="str">
        <f t="shared" si="37"/>
        <v>Oct-2025</v>
      </c>
      <c r="R276" s="2">
        <f t="shared" si="38"/>
        <v>45931</v>
      </c>
    </row>
    <row r="277" spans="1:18">
      <c r="A277" t="s">
        <v>582</v>
      </c>
      <c r="B277" s="2" t="s">
        <v>583</v>
      </c>
      <c r="C277">
        <v>1278</v>
      </c>
      <c r="D277" t="s">
        <v>32</v>
      </c>
      <c r="E277" t="s">
        <v>13</v>
      </c>
      <c r="F277" t="s">
        <v>54</v>
      </c>
      <c r="G277">
        <v>10</v>
      </c>
      <c r="H277">
        <v>338</v>
      </c>
      <c r="I277" t="s">
        <v>20</v>
      </c>
      <c r="J277">
        <v>3</v>
      </c>
      <c r="K277" s="1">
        <f t="shared" si="32"/>
        <v>45939</v>
      </c>
      <c r="L277" s="3">
        <f t="shared" si="33"/>
        <v>5.6333333333333337</v>
      </c>
      <c r="M277" s="3">
        <f t="shared" si="34"/>
        <v>0.16666666666666666</v>
      </c>
      <c r="N277" t="str">
        <f t="shared" si="35"/>
        <v>Within SLA</v>
      </c>
      <c r="O277" t="str">
        <f t="shared" si="39"/>
        <v>Neutral</v>
      </c>
      <c r="P277" t="str">
        <f t="shared" si="36"/>
        <v>Resolved</v>
      </c>
      <c r="Q277" s="2" t="str">
        <f t="shared" si="37"/>
        <v>Oct-2025</v>
      </c>
      <c r="R277" s="2">
        <f t="shared" si="38"/>
        <v>45931</v>
      </c>
    </row>
    <row r="278" spans="1:18">
      <c r="A278" t="s">
        <v>584</v>
      </c>
      <c r="B278" s="2" t="s">
        <v>585</v>
      </c>
      <c r="C278">
        <v>1069</v>
      </c>
      <c r="D278" t="s">
        <v>12</v>
      </c>
      <c r="E278" t="s">
        <v>27</v>
      </c>
      <c r="F278" t="s">
        <v>59</v>
      </c>
      <c r="G278">
        <v>40</v>
      </c>
      <c r="H278">
        <v>2227</v>
      </c>
      <c r="I278" t="s">
        <v>20</v>
      </c>
      <c r="K278" s="1">
        <f t="shared" si="32"/>
        <v>45939</v>
      </c>
      <c r="L278" s="3">
        <f t="shared" si="33"/>
        <v>37.116666666666667</v>
      </c>
      <c r="M278" s="3">
        <f t="shared" si="34"/>
        <v>0.66666666666666663</v>
      </c>
      <c r="N278" t="str">
        <f t="shared" si="35"/>
        <v>Within SLA</v>
      </c>
      <c r="O278" t="str">
        <f t="shared" si="39"/>
        <v>No Rating</v>
      </c>
      <c r="P278" t="str">
        <f t="shared" si="36"/>
        <v>Resolved</v>
      </c>
      <c r="Q278" s="2" t="str">
        <f t="shared" si="37"/>
        <v>Oct-2025</v>
      </c>
      <c r="R278" s="2">
        <f t="shared" si="38"/>
        <v>45931</v>
      </c>
    </row>
    <row r="279" spans="1:18">
      <c r="A279" t="s">
        <v>586</v>
      </c>
      <c r="B279" s="2" t="s">
        <v>587</v>
      </c>
      <c r="C279">
        <v>1216</v>
      </c>
      <c r="D279" t="s">
        <v>18</v>
      </c>
      <c r="E279" t="s">
        <v>13</v>
      </c>
      <c r="F279" t="s">
        <v>71</v>
      </c>
      <c r="G279">
        <v>7</v>
      </c>
      <c r="H279">
        <v>342</v>
      </c>
      <c r="I279" t="s">
        <v>15</v>
      </c>
      <c r="J279">
        <v>2</v>
      </c>
      <c r="K279" s="1">
        <f t="shared" si="32"/>
        <v>45940</v>
      </c>
      <c r="L279" s="3">
        <f t="shared" si="33"/>
        <v>5.7</v>
      </c>
      <c r="M279" s="3">
        <f t="shared" si="34"/>
        <v>0.11666666666666667</v>
      </c>
      <c r="N279" t="str">
        <f t="shared" si="35"/>
        <v>Within SLA</v>
      </c>
      <c r="O279" t="str">
        <f t="shared" si="39"/>
        <v>Dissatisfied</v>
      </c>
      <c r="P279" t="str">
        <f t="shared" si="36"/>
        <v>Resolved</v>
      </c>
      <c r="Q279" s="2" t="str">
        <f t="shared" si="37"/>
        <v>Oct-2025</v>
      </c>
      <c r="R279" s="2">
        <f t="shared" si="38"/>
        <v>45931</v>
      </c>
    </row>
    <row r="280" spans="1:18">
      <c r="A280" t="s">
        <v>588</v>
      </c>
      <c r="B280" s="2" t="s">
        <v>589</v>
      </c>
      <c r="C280">
        <v>1416</v>
      </c>
      <c r="D280" t="s">
        <v>32</v>
      </c>
      <c r="E280" t="s">
        <v>13</v>
      </c>
      <c r="F280" t="s">
        <v>28</v>
      </c>
      <c r="G280">
        <v>3</v>
      </c>
      <c r="H280">
        <v>350</v>
      </c>
      <c r="I280" t="s">
        <v>20</v>
      </c>
      <c r="K280" s="1">
        <f t="shared" si="32"/>
        <v>45940</v>
      </c>
      <c r="L280" s="3">
        <f t="shared" si="33"/>
        <v>5.833333333333333</v>
      </c>
      <c r="M280" s="3">
        <f t="shared" si="34"/>
        <v>0.05</v>
      </c>
      <c r="N280" t="str">
        <f t="shared" si="35"/>
        <v>Within SLA</v>
      </c>
      <c r="O280" t="str">
        <f t="shared" si="39"/>
        <v>No Rating</v>
      </c>
      <c r="P280" t="str">
        <f t="shared" si="36"/>
        <v>Resolved</v>
      </c>
      <c r="Q280" s="2" t="str">
        <f t="shared" si="37"/>
        <v>Oct-2025</v>
      </c>
      <c r="R280" s="2">
        <f t="shared" si="38"/>
        <v>45931</v>
      </c>
    </row>
    <row r="281" spans="1:18">
      <c r="A281" t="s">
        <v>590</v>
      </c>
      <c r="B281" s="2" t="s">
        <v>591</v>
      </c>
      <c r="C281">
        <v>1602</v>
      </c>
      <c r="D281" t="s">
        <v>32</v>
      </c>
      <c r="E281" t="s">
        <v>27</v>
      </c>
      <c r="F281" t="s">
        <v>23</v>
      </c>
      <c r="G281">
        <v>62</v>
      </c>
      <c r="H281">
        <v>3627</v>
      </c>
      <c r="I281" t="s">
        <v>20</v>
      </c>
      <c r="J281">
        <v>5</v>
      </c>
      <c r="K281" s="1">
        <f t="shared" si="32"/>
        <v>45940</v>
      </c>
      <c r="L281" s="3">
        <f t="shared" si="33"/>
        <v>60.45</v>
      </c>
      <c r="M281" s="3">
        <f t="shared" si="34"/>
        <v>1.0333333333333334</v>
      </c>
      <c r="N281" t="str">
        <f t="shared" si="35"/>
        <v>Breached</v>
      </c>
      <c r="O281" t="str">
        <f t="shared" si="39"/>
        <v>Satisfied</v>
      </c>
      <c r="P281" t="str">
        <f t="shared" si="36"/>
        <v>Resolved</v>
      </c>
      <c r="Q281" s="2" t="str">
        <f t="shared" si="37"/>
        <v>Oct-2025</v>
      </c>
      <c r="R281" s="2">
        <f t="shared" si="38"/>
        <v>45931</v>
      </c>
    </row>
    <row r="282" spans="1:18">
      <c r="A282" t="s">
        <v>592</v>
      </c>
      <c r="B282" s="2" t="s">
        <v>593</v>
      </c>
      <c r="C282">
        <v>1836</v>
      </c>
      <c r="D282" t="s">
        <v>18</v>
      </c>
      <c r="E282" t="s">
        <v>27</v>
      </c>
      <c r="F282" t="s">
        <v>54</v>
      </c>
      <c r="G282">
        <v>130</v>
      </c>
      <c r="H282">
        <v>3088</v>
      </c>
      <c r="I282" t="s">
        <v>15</v>
      </c>
      <c r="J282">
        <v>5</v>
      </c>
      <c r="K282" s="1">
        <f t="shared" si="32"/>
        <v>45941</v>
      </c>
      <c r="L282" s="3">
        <f t="shared" si="33"/>
        <v>51.466666666666669</v>
      </c>
      <c r="M282" s="3">
        <f t="shared" si="34"/>
        <v>2.1666666666666665</v>
      </c>
      <c r="N282" t="str">
        <f t="shared" si="35"/>
        <v>Breached</v>
      </c>
      <c r="O282" t="str">
        <f t="shared" si="39"/>
        <v>Satisfied</v>
      </c>
      <c r="P282" t="str">
        <f t="shared" si="36"/>
        <v>Resolved</v>
      </c>
      <c r="Q282" s="2" t="str">
        <f t="shared" si="37"/>
        <v>Oct-2025</v>
      </c>
      <c r="R282" s="2">
        <f t="shared" si="38"/>
        <v>45931</v>
      </c>
    </row>
    <row r="283" spans="1:18">
      <c r="A283" t="s">
        <v>594</v>
      </c>
      <c r="B283" s="2" t="s">
        <v>595</v>
      </c>
      <c r="C283">
        <v>1126</v>
      </c>
      <c r="D283" t="s">
        <v>26</v>
      </c>
      <c r="E283" t="s">
        <v>13</v>
      </c>
      <c r="F283" t="s">
        <v>28</v>
      </c>
      <c r="G283">
        <v>2</v>
      </c>
      <c r="I283" t="s">
        <v>29</v>
      </c>
      <c r="K283" s="1">
        <f t="shared" si="32"/>
        <v>45941</v>
      </c>
      <c r="L283" s="3" t="str">
        <f t="shared" si="33"/>
        <v/>
      </c>
      <c r="M283" s="3">
        <f t="shared" si="34"/>
        <v>3.3333333333333333E-2</v>
      </c>
      <c r="N283" t="str">
        <f t="shared" si="35"/>
        <v>Open</v>
      </c>
      <c r="O283" t="str">
        <f t="shared" si="39"/>
        <v>No Rating</v>
      </c>
      <c r="P283" t="str">
        <f t="shared" si="36"/>
        <v>Unresolved</v>
      </c>
      <c r="Q283" s="2" t="str">
        <f t="shared" si="37"/>
        <v>Oct-2025</v>
      </c>
      <c r="R283" s="2">
        <f t="shared" si="38"/>
        <v>45931</v>
      </c>
    </row>
    <row r="284" spans="1:18">
      <c r="A284" t="s">
        <v>596</v>
      </c>
      <c r="B284" s="2" t="s">
        <v>597</v>
      </c>
      <c r="C284">
        <v>1184</v>
      </c>
      <c r="D284" t="s">
        <v>32</v>
      </c>
      <c r="E284" t="s">
        <v>19</v>
      </c>
      <c r="F284" t="s">
        <v>59</v>
      </c>
      <c r="G284">
        <v>34</v>
      </c>
      <c r="H284">
        <v>658</v>
      </c>
      <c r="I284" t="s">
        <v>15</v>
      </c>
      <c r="K284" s="1">
        <f t="shared" si="32"/>
        <v>45941</v>
      </c>
      <c r="L284" s="3">
        <f t="shared" si="33"/>
        <v>10.966666666666667</v>
      </c>
      <c r="M284" s="3">
        <f t="shared" si="34"/>
        <v>0.56666666666666665</v>
      </c>
      <c r="N284" t="str">
        <f t="shared" si="35"/>
        <v>Within SLA</v>
      </c>
      <c r="O284" t="str">
        <f t="shared" si="39"/>
        <v>No Rating</v>
      </c>
      <c r="P284" t="str">
        <f t="shared" si="36"/>
        <v>Resolved</v>
      </c>
      <c r="Q284" s="2" t="str">
        <f t="shared" si="37"/>
        <v>Oct-2025</v>
      </c>
      <c r="R284" s="2">
        <f t="shared" si="38"/>
        <v>45931</v>
      </c>
    </row>
    <row r="285" spans="1:18">
      <c r="A285" t="s">
        <v>598</v>
      </c>
      <c r="B285" s="2" t="s">
        <v>599</v>
      </c>
      <c r="C285">
        <v>1100</v>
      </c>
      <c r="D285" t="s">
        <v>12</v>
      </c>
      <c r="E285" t="s">
        <v>27</v>
      </c>
      <c r="F285" t="s">
        <v>54</v>
      </c>
      <c r="G285">
        <v>36</v>
      </c>
      <c r="H285">
        <v>2924</v>
      </c>
      <c r="I285" t="s">
        <v>20</v>
      </c>
      <c r="J285">
        <v>5</v>
      </c>
      <c r="K285" s="1">
        <f t="shared" si="32"/>
        <v>45942</v>
      </c>
      <c r="L285" s="3">
        <f t="shared" si="33"/>
        <v>48.733333333333334</v>
      </c>
      <c r="M285" s="3">
        <f t="shared" si="34"/>
        <v>0.6</v>
      </c>
      <c r="N285" t="str">
        <f t="shared" si="35"/>
        <v>Breached</v>
      </c>
      <c r="O285" t="str">
        <f t="shared" si="39"/>
        <v>Satisfied</v>
      </c>
      <c r="P285" t="str">
        <f t="shared" si="36"/>
        <v>Resolved</v>
      </c>
      <c r="Q285" s="2" t="str">
        <f t="shared" si="37"/>
        <v>Oct-2025</v>
      </c>
      <c r="R285" s="2">
        <f t="shared" si="38"/>
        <v>45931</v>
      </c>
    </row>
    <row r="286" spans="1:18">
      <c r="A286" t="s">
        <v>600</v>
      </c>
      <c r="B286" s="2" t="s">
        <v>601</v>
      </c>
      <c r="C286">
        <v>1371</v>
      </c>
      <c r="D286" t="s">
        <v>12</v>
      </c>
      <c r="E286" t="s">
        <v>27</v>
      </c>
      <c r="F286" t="s">
        <v>23</v>
      </c>
      <c r="G286">
        <v>87</v>
      </c>
      <c r="H286">
        <v>685</v>
      </c>
      <c r="I286" t="s">
        <v>15</v>
      </c>
      <c r="K286" s="1">
        <f t="shared" si="32"/>
        <v>45942</v>
      </c>
      <c r="L286" s="3">
        <f t="shared" si="33"/>
        <v>11.416666666666666</v>
      </c>
      <c r="M286" s="3">
        <f t="shared" si="34"/>
        <v>1.45</v>
      </c>
      <c r="N286" t="str">
        <f t="shared" si="35"/>
        <v>Within SLA</v>
      </c>
      <c r="O286" t="str">
        <f t="shared" si="39"/>
        <v>No Rating</v>
      </c>
      <c r="P286" t="str">
        <f t="shared" si="36"/>
        <v>Resolved</v>
      </c>
      <c r="Q286" s="2" t="str">
        <f t="shared" si="37"/>
        <v>Oct-2025</v>
      </c>
      <c r="R286" s="2">
        <f t="shared" si="38"/>
        <v>45931</v>
      </c>
    </row>
    <row r="287" spans="1:18">
      <c r="A287" t="s">
        <v>602</v>
      </c>
      <c r="B287" s="2" t="s">
        <v>603</v>
      </c>
      <c r="C287">
        <v>1199</v>
      </c>
      <c r="D287" t="s">
        <v>12</v>
      </c>
      <c r="E287" t="s">
        <v>27</v>
      </c>
      <c r="F287" t="s">
        <v>43</v>
      </c>
      <c r="G287">
        <v>156</v>
      </c>
      <c r="H287">
        <v>1880</v>
      </c>
      <c r="I287" t="s">
        <v>15</v>
      </c>
      <c r="J287">
        <v>2</v>
      </c>
      <c r="K287" s="1">
        <f t="shared" si="32"/>
        <v>45943</v>
      </c>
      <c r="L287" s="3">
        <f t="shared" si="33"/>
        <v>31.333333333333332</v>
      </c>
      <c r="M287" s="3">
        <f t="shared" si="34"/>
        <v>2.6</v>
      </c>
      <c r="N287" t="str">
        <f t="shared" si="35"/>
        <v>Within SLA</v>
      </c>
      <c r="O287" t="str">
        <f t="shared" si="39"/>
        <v>Dissatisfied</v>
      </c>
      <c r="P287" t="str">
        <f t="shared" si="36"/>
        <v>Resolved</v>
      </c>
      <c r="Q287" s="2" t="str">
        <f t="shared" si="37"/>
        <v>Oct-2025</v>
      </c>
      <c r="R287" s="2">
        <f t="shared" si="38"/>
        <v>45931</v>
      </c>
    </row>
    <row r="288" spans="1:18">
      <c r="A288" t="s">
        <v>604</v>
      </c>
      <c r="B288" s="2" t="s">
        <v>605</v>
      </c>
      <c r="C288">
        <v>1110</v>
      </c>
      <c r="D288" t="s">
        <v>18</v>
      </c>
      <c r="E288" t="s">
        <v>13</v>
      </c>
      <c r="F288" t="s">
        <v>34</v>
      </c>
      <c r="G288">
        <v>9</v>
      </c>
      <c r="H288">
        <v>369</v>
      </c>
      <c r="I288" t="s">
        <v>15</v>
      </c>
      <c r="J288">
        <v>1</v>
      </c>
      <c r="K288" s="1">
        <f t="shared" si="32"/>
        <v>45943</v>
      </c>
      <c r="L288" s="3">
        <f t="shared" si="33"/>
        <v>6.15</v>
      </c>
      <c r="M288" s="3">
        <f t="shared" si="34"/>
        <v>0.15</v>
      </c>
      <c r="N288" t="str">
        <f t="shared" si="35"/>
        <v>Within SLA</v>
      </c>
      <c r="O288" t="str">
        <f t="shared" si="39"/>
        <v>Dissatisfied</v>
      </c>
      <c r="P288" t="str">
        <f t="shared" si="36"/>
        <v>Resolved</v>
      </c>
      <c r="Q288" s="2" t="str">
        <f t="shared" si="37"/>
        <v>Oct-2025</v>
      </c>
      <c r="R288" s="2">
        <f t="shared" si="38"/>
        <v>45931</v>
      </c>
    </row>
    <row r="289" spans="1:18">
      <c r="A289" t="s">
        <v>606</v>
      </c>
      <c r="B289" s="2" t="s">
        <v>607</v>
      </c>
      <c r="C289">
        <v>1543</v>
      </c>
      <c r="D289" t="s">
        <v>47</v>
      </c>
      <c r="E289" t="s">
        <v>13</v>
      </c>
      <c r="F289" t="s">
        <v>23</v>
      </c>
      <c r="G289">
        <v>7</v>
      </c>
      <c r="H289">
        <v>419</v>
      </c>
      <c r="I289" t="s">
        <v>15</v>
      </c>
      <c r="K289" s="1">
        <f t="shared" si="32"/>
        <v>45943</v>
      </c>
      <c r="L289" s="3">
        <f t="shared" si="33"/>
        <v>6.9833333333333334</v>
      </c>
      <c r="M289" s="3">
        <f t="shared" si="34"/>
        <v>0.11666666666666667</v>
      </c>
      <c r="N289" t="str">
        <f t="shared" si="35"/>
        <v>Within SLA</v>
      </c>
      <c r="O289" t="str">
        <f t="shared" si="39"/>
        <v>No Rating</v>
      </c>
      <c r="P289" t="str">
        <f t="shared" si="36"/>
        <v>Resolved</v>
      </c>
      <c r="Q289" s="2" t="str">
        <f t="shared" si="37"/>
        <v>Oct-2025</v>
      </c>
      <c r="R289" s="2">
        <f t="shared" si="38"/>
        <v>45931</v>
      </c>
    </row>
    <row r="290" spans="1:18">
      <c r="A290" t="s">
        <v>608</v>
      </c>
      <c r="B290" s="2" t="s">
        <v>609</v>
      </c>
      <c r="C290">
        <v>1478</v>
      </c>
      <c r="D290" t="s">
        <v>26</v>
      </c>
      <c r="E290" t="s">
        <v>19</v>
      </c>
      <c r="F290" t="s">
        <v>54</v>
      </c>
      <c r="G290">
        <v>25</v>
      </c>
      <c r="H290">
        <v>976</v>
      </c>
      <c r="I290" t="s">
        <v>15</v>
      </c>
      <c r="J290">
        <v>4</v>
      </c>
      <c r="K290" s="1">
        <f t="shared" si="32"/>
        <v>45944</v>
      </c>
      <c r="L290" s="3">
        <f t="shared" si="33"/>
        <v>16.266666666666666</v>
      </c>
      <c r="M290" s="3">
        <f t="shared" si="34"/>
        <v>0.41666666666666669</v>
      </c>
      <c r="N290" t="str">
        <f t="shared" si="35"/>
        <v>Within SLA</v>
      </c>
      <c r="O290" t="str">
        <f t="shared" si="39"/>
        <v>Satisfied</v>
      </c>
      <c r="P290" t="str">
        <f t="shared" si="36"/>
        <v>Resolved</v>
      </c>
      <c r="Q290" s="2" t="str">
        <f t="shared" si="37"/>
        <v>Oct-2025</v>
      </c>
      <c r="R290" s="2">
        <f t="shared" si="38"/>
        <v>45931</v>
      </c>
    </row>
    <row r="291" spans="1:18">
      <c r="A291" t="s">
        <v>610</v>
      </c>
      <c r="B291" s="2" t="s">
        <v>611</v>
      </c>
      <c r="C291">
        <v>1264</v>
      </c>
      <c r="D291" t="s">
        <v>18</v>
      </c>
      <c r="E291" t="s">
        <v>27</v>
      </c>
      <c r="F291" t="s">
        <v>43</v>
      </c>
      <c r="G291">
        <v>175</v>
      </c>
      <c r="H291">
        <v>1266</v>
      </c>
      <c r="I291" t="s">
        <v>15</v>
      </c>
      <c r="J291">
        <v>4</v>
      </c>
      <c r="K291" s="1">
        <f t="shared" si="32"/>
        <v>45944</v>
      </c>
      <c r="L291" s="3">
        <f t="shared" si="33"/>
        <v>21.1</v>
      </c>
      <c r="M291" s="3">
        <f t="shared" si="34"/>
        <v>2.9166666666666665</v>
      </c>
      <c r="N291" t="str">
        <f t="shared" si="35"/>
        <v>Within SLA</v>
      </c>
      <c r="O291" t="str">
        <f t="shared" si="39"/>
        <v>Satisfied</v>
      </c>
      <c r="P291" t="str">
        <f t="shared" si="36"/>
        <v>Resolved</v>
      </c>
      <c r="Q291" s="2" t="str">
        <f t="shared" si="37"/>
        <v>Oct-2025</v>
      </c>
      <c r="R291" s="2">
        <f t="shared" si="38"/>
        <v>45931</v>
      </c>
    </row>
    <row r="292" spans="1:18">
      <c r="A292" t="s">
        <v>612</v>
      </c>
      <c r="B292" s="2" t="s">
        <v>613</v>
      </c>
      <c r="C292">
        <v>1742</v>
      </c>
      <c r="D292" t="s">
        <v>32</v>
      </c>
      <c r="E292" t="s">
        <v>27</v>
      </c>
      <c r="F292" t="s">
        <v>14</v>
      </c>
      <c r="G292">
        <v>28</v>
      </c>
      <c r="I292" t="s">
        <v>29</v>
      </c>
      <c r="K292" s="1">
        <f t="shared" si="32"/>
        <v>45944</v>
      </c>
      <c r="L292" s="3" t="str">
        <f t="shared" si="33"/>
        <v/>
      </c>
      <c r="M292" s="3">
        <f t="shared" si="34"/>
        <v>0.46666666666666667</v>
      </c>
      <c r="N292" t="str">
        <f t="shared" si="35"/>
        <v>Open</v>
      </c>
      <c r="O292" t="str">
        <f t="shared" si="39"/>
        <v>No Rating</v>
      </c>
      <c r="P292" t="str">
        <f t="shared" si="36"/>
        <v>Unresolved</v>
      </c>
      <c r="Q292" s="2" t="str">
        <f t="shared" si="37"/>
        <v>Oct-2025</v>
      </c>
      <c r="R292" s="2">
        <f t="shared" si="38"/>
        <v>45931</v>
      </c>
    </row>
    <row r="293" spans="1:18">
      <c r="A293" t="s">
        <v>614</v>
      </c>
      <c r="B293" s="2" t="s">
        <v>615</v>
      </c>
      <c r="C293">
        <v>1431</v>
      </c>
      <c r="D293" t="s">
        <v>47</v>
      </c>
      <c r="E293" t="s">
        <v>27</v>
      </c>
      <c r="F293" t="s">
        <v>28</v>
      </c>
      <c r="G293">
        <v>88</v>
      </c>
      <c r="H293">
        <v>1264</v>
      </c>
      <c r="I293" t="s">
        <v>15</v>
      </c>
      <c r="J293">
        <v>2</v>
      </c>
      <c r="K293" s="1">
        <f t="shared" si="32"/>
        <v>45945</v>
      </c>
      <c r="L293" s="3">
        <f t="shared" si="33"/>
        <v>21.066666666666666</v>
      </c>
      <c r="M293" s="3">
        <f t="shared" si="34"/>
        <v>1.4666666666666666</v>
      </c>
      <c r="N293" t="str">
        <f t="shared" si="35"/>
        <v>Within SLA</v>
      </c>
      <c r="O293" t="str">
        <f t="shared" si="39"/>
        <v>Dissatisfied</v>
      </c>
      <c r="P293" t="str">
        <f t="shared" si="36"/>
        <v>Resolved</v>
      </c>
      <c r="Q293" s="2" t="str">
        <f t="shared" si="37"/>
        <v>Oct-2025</v>
      </c>
      <c r="R293" s="2">
        <f t="shared" si="38"/>
        <v>45931</v>
      </c>
    </row>
    <row r="294" spans="1:18">
      <c r="A294" t="s">
        <v>616</v>
      </c>
      <c r="B294" s="2" t="s">
        <v>617</v>
      </c>
      <c r="C294">
        <v>1989</v>
      </c>
      <c r="D294" t="s">
        <v>18</v>
      </c>
      <c r="E294" t="s">
        <v>27</v>
      </c>
      <c r="F294" t="s">
        <v>23</v>
      </c>
      <c r="G294">
        <v>165</v>
      </c>
      <c r="H294">
        <v>3428</v>
      </c>
      <c r="I294" t="s">
        <v>20</v>
      </c>
      <c r="J294">
        <v>4</v>
      </c>
      <c r="K294" s="1">
        <f t="shared" si="32"/>
        <v>45945</v>
      </c>
      <c r="L294" s="3">
        <f t="shared" si="33"/>
        <v>57.133333333333333</v>
      </c>
      <c r="M294" s="3">
        <f t="shared" si="34"/>
        <v>2.75</v>
      </c>
      <c r="N294" t="str">
        <f t="shared" si="35"/>
        <v>Breached</v>
      </c>
      <c r="O294" t="str">
        <f t="shared" si="39"/>
        <v>Satisfied</v>
      </c>
      <c r="P294" t="str">
        <f t="shared" si="36"/>
        <v>Resolved</v>
      </c>
      <c r="Q294" s="2" t="str">
        <f t="shared" si="37"/>
        <v>Oct-2025</v>
      </c>
      <c r="R294" s="2">
        <f t="shared" si="38"/>
        <v>45931</v>
      </c>
    </row>
    <row r="295" spans="1:18">
      <c r="A295" t="s">
        <v>618</v>
      </c>
      <c r="B295" s="2" t="s">
        <v>619</v>
      </c>
      <c r="C295">
        <v>1160</v>
      </c>
      <c r="D295" t="s">
        <v>47</v>
      </c>
      <c r="E295" t="s">
        <v>19</v>
      </c>
      <c r="F295" t="s">
        <v>14</v>
      </c>
      <c r="G295">
        <v>28</v>
      </c>
      <c r="H295">
        <v>769</v>
      </c>
      <c r="I295" t="s">
        <v>20</v>
      </c>
      <c r="K295" s="1">
        <f t="shared" si="32"/>
        <v>45945</v>
      </c>
      <c r="L295" s="3">
        <f t="shared" si="33"/>
        <v>12.816666666666666</v>
      </c>
      <c r="M295" s="3">
        <f t="shared" si="34"/>
        <v>0.46666666666666667</v>
      </c>
      <c r="N295" t="str">
        <f t="shared" si="35"/>
        <v>Within SLA</v>
      </c>
      <c r="O295" t="str">
        <f t="shared" si="39"/>
        <v>No Rating</v>
      </c>
      <c r="P295" t="str">
        <f t="shared" si="36"/>
        <v>Resolved</v>
      </c>
      <c r="Q295" s="2" t="str">
        <f t="shared" si="37"/>
        <v>Oct-2025</v>
      </c>
      <c r="R295" s="2">
        <f t="shared" si="38"/>
        <v>45931</v>
      </c>
    </row>
    <row r="296" spans="1:18">
      <c r="A296" t="s">
        <v>620</v>
      </c>
      <c r="B296" s="2" t="s">
        <v>621</v>
      </c>
      <c r="C296">
        <v>1970</v>
      </c>
      <c r="D296" t="s">
        <v>18</v>
      </c>
      <c r="E296" t="s">
        <v>27</v>
      </c>
      <c r="F296" t="s">
        <v>14</v>
      </c>
      <c r="G296">
        <v>151</v>
      </c>
      <c r="I296" t="s">
        <v>29</v>
      </c>
      <c r="K296" s="1">
        <f t="shared" si="32"/>
        <v>45946</v>
      </c>
      <c r="L296" s="3" t="str">
        <f t="shared" si="33"/>
        <v/>
      </c>
      <c r="M296" s="3">
        <f t="shared" si="34"/>
        <v>2.5166666666666666</v>
      </c>
      <c r="N296" t="str">
        <f t="shared" si="35"/>
        <v>Open</v>
      </c>
      <c r="O296" t="str">
        <f t="shared" si="39"/>
        <v>No Rating</v>
      </c>
      <c r="P296" t="str">
        <f t="shared" si="36"/>
        <v>Unresolved</v>
      </c>
      <c r="Q296" s="2" t="str">
        <f t="shared" si="37"/>
        <v>Oct-2025</v>
      </c>
      <c r="R296" s="2">
        <f t="shared" si="38"/>
        <v>45931</v>
      </c>
    </row>
    <row r="297" spans="1:18">
      <c r="A297" t="s">
        <v>622</v>
      </c>
      <c r="B297" s="2" t="s">
        <v>623</v>
      </c>
      <c r="C297">
        <v>1421</v>
      </c>
      <c r="D297" t="s">
        <v>47</v>
      </c>
      <c r="E297" t="s">
        <v>33</v>
      </c>
      <c r="F297" t="s">
        <v>34</v>
      </c>
      <c r="G297">
        <v>102</v>
      </c>
      <c r="H297">
        <v>6020</v>
      </c>
      <c r="I297" t="s">
        <v>15</v>
      </c>
      <c r="J297">
        <v>3</v>
      </c>
      <c r="K297" s="1">
        <f t="shared" si="32"/>
        <v>45946</v>
      </c>
      <c r="L297" s="3">
        <f t="shared" si="33"/>
        <v>100.33333333333333</v>
      </c>
      <c r="M297" s="3">
        <f t="shared" si="34"/>
        <v>1.7</v>
      </c>
      <c r="N297" t="str">
        <f t="shared" si="35"/>
        <v>Breached</v>
      </c>
      <c r="O297" t="str">
        <f t="shared" si="39"/>
        <v>Neutral</v>
      </c>
      <c r="P297" t="str">
        <f t="shared" si="36"/>
        <v>Resolved</v>
      </c>
      <c r="Q297" s="2" t="str">
        <f t="shared" si="37"/>
        <v>Oct-2025</v>
      </c>
      <c r="R297" s="2">
        <f t="shared" si="38"/>
        <v>45931</v>
      </c>
    </row>
    <row r="298" spans="1:18">
      <c r="A298" t="s">
        <v>624</v>
      </c>
      <c r="B298" s="2" t="s">
        <v>625</v>
      </c>
      <c r="C298">
        <v>1816</v>
      </c>
      <c r="D298" t="s">
        <v>47</v>
      </c>
      <c r="E298" t="s">
        <v>19</v>
      </c>
      <c r="F298" t="s">
        <v>54</v>
      </c>
      <c r="G298">
        <v>35</v>
      </c>
      <c r="H298">
        <v>392</v>
      </c>
      <c r="I298" t="s">
        <v>15</v>
      </c>
      <c r="J298">
        <v>4</v>
      </c>
      <c r="K298" s="1">
        <f t="shared" si="32"/>
        <v>45947</v>
      </c>
      <c r="L298" s="3">
        <f t="shared" si="33"/>
        <v>6.5333333333333332</v>
      </c>
      <c r="M298" s="3">
        <f t="shared" si="34"/>
        <v>0.58333333333333337</v>
      </c>
      <c r="N298" t="str">
        <f t="shared" si="35"/>
        <v>Within SLA</v>
      </c>
      <c r="O298" t="str">
        <f t="shared" si="39"/>
        <v>Satisfied</v>
      </c>
      <c r="P298" t="str">
        <f t="shared" si="36"/>
        <v>Resolved</v>
      </c>
      <c r="Q298" s="2" t="str">
        <f t="shared" si="37"/>
        <v>Oct-2025</v>
      </c>
      <c r="R298" s="2">
        <f t="shared" si="38"/>
        <v>45931</v>
      </c>
    </row>
    <row r="299" spans="1:18">
      <c r="A299" t="s">
        <v>626</v>
      </c>
      <c r="B299" s="2" t="s">
        <v>627</v>
      </c>
      <c r="C299">
        <v>1036</v>
      </c>
      <c r="D299" t="s">
        <v>47</v>
      </c>
      <c r="E299" t="s">
        <v>27</v>
      </c>
      <c r="F299" t="s">
        <v>71</v>
      </c>
      <c r="G299">
        <v>151</v>
      </c>
      <c r="H299">
        <v>2104</v>
      </c>
      <c r="I299" t="s">
        <v>15</v>
      </c>
      <c r="J299">
        <v>4</v>
      </c>
      <c r="K299" s="1">
        <f t="shared" si="32"/>
        <v>45947</v>
      </c>
      <c r="L299" s="3">
        <f t="shared" si="33"/>
        <v>35.06666666666667</v>
      </c>
      <c r="M299" s="3">
        <f t="shared" si="34"/>
        <v>2.5166666666666666</v>
      </c>
      <c r="N299" t="str">
        <f t="shared" si="35"/>
        <v>Within SLA</v>
      </c>
      <c r="O299" t="str">
        <f t="shared" si="39"/>
        <v>Satisfied</v>
      </c>
      <c r="P299" t="str">
        <f t="shared" si="36"/>
        <v>Resolved</v>
      </c>
      <c r="Q299" s="2" t="str">
        <f t="shared" si="37"/>
        <v>Oct-2025</v>
      </c>
      <c r="R299" s="2">
        <f t="shared" si="38"/>
        <v>45931</v>
      </c>
    </row>
    <row r="300" spans="1:18">
      <c r="A300" t="s">
        <v>628</v>
      </c>
      <c r="B300" s="2" t="s">
        <v>629</v>
      </c>
      <c r="C300">
        <v>1182</v>
      </c>
      <c r="D300" t="s">
        <v>26</v>
      </c>
      <c r="E300" t="s">
        <v>27</v>
      </c>
      <c r="F300" t="s">
        <v>64</v>
      </c>
      <c r="G300">
        <v>80</v>
      </c>
      <c r="H300">
        <v>3117</v>
      </c>
      <c r="I300" t="s">
        <v>15</v>
      </c>
      <c r="J300">
        <v>5</v>
      </c>
      <c r="K300" s="1">
        <f t="shared" si="32"/>
        <v>45947</v>
      </c>
      <c r="L300" s="3">
        <f t="shared" si="33"/>
        <v>51.95</v>
      </c>
      <c r="M300" s="3">
        <f t="shared" si="34"/>
        <v>1.3333333333333333</v>
      </c>
      <c r="N300" t="str">
        <f t="shared" si="35"/>
        <v>Breached</v>
      </c>
      <c r="O300" t="str">
        <f t="shared" si="39"/>
        <v>Satisfied</v>
      </c>
      <c r="P300" t="str">
        <f t="shared" si="36"/>
        <v>Resolved</v>
      </c>
      <c r="Q300" s="2" t="str">
        <f t="shared" si="37"/>
        <v>Oct-2025</v>
      </c>
      <c r="R300" s="2">
        <f t="shared" si="38"/>
        <v>45931</v>
      </c>
    </row>
    <row r="301" spans="1:18">
      <c r="A301" t="s">
        <v>630</v>
      </c>
      <c r="B301" s="2" t="s">
        <v>631</v>
      </c>
      <c r="C301">
        <v>1587</v>
      </c>
      <c r="D301" t="s">
        <v>12</v>
      </c>
      <c r="E301" t="s">
        <v>27</v>
      </c>
      <c r="F301" t="s">
        <v>59</v>
      </c>
      <c r="G301">
        <v>133</v>
      </c>
      <c r="H301">
        <v>743</v>
      </c>
      <c r="I301" t="s">
        <v>20</v>
      </c>
      <c r="J301">
        <v>2</v>
      </c>
      <c r="K301" s="1">
        <f t="shared" si="32"/>
        <v>45948</v>
      </c>
      <c r="L301" s="3">
        <f t="shared" si="33"/>
        <v>12.383333333333333</v>
      </c>
      <c r="M301" s="3">
        <f t="shared" si="34"/>
        <v>2.2166666666666668</v>
      </c>
      <c r="N301" t="str">
        <f t="shared" si="35"/>
        <v>Within SLA</v>
      </c>
      <c r="O301" t="str">
        <f t="shared" si="39"/>
        <v>Dissatisfied</v>
      </c>
      <c r="P301" t="str">
        <f t="shared" si="36"/>
        <v>Resolved</v>
      </c>
      <c r="Q301" s="2" t="str">
        <f t="shared" si="37"/>
        <v>Oct-2025</v>
      </c>
      <c r="R301" s="2">
        <f t="shared" si="38"/>
        <v>45931</v>
      </c>
    </row>
    <row r="302" spans="1:18">
      <c r="A302" t="s">
        <v>632</v>
      </c>
      <c r="B302" s="2" t="s">
        <v>633</v>
      </c>
      <c r="C302">
        <v>1887</v>
      </c>
      <c r="D302" t="s">
        <v>32</v>
      </c>
      <c r="E302" t="s">
        <v>27</v>
      </c>
      <c r="F302" t="s">
        <v>43</v>
      </c>
      <c r="G302">
        <v>140</v>
      </c>
      <c r="H302">
        <v>2112</v>
      </c>
      <c r="I302" t="s">
        <v>15</v>
      </c>
      <c r="K302" s="1">
        <f t="shared" si="32"/>
        <v>45948</v>
      </c>
      <c r="L302" s="3">
        <f t="shared" si="33"/>
        <v>35.200000000000003</v>
      </c>
      <c r="M302" s="3">
        <f t="shared" si="34"/>
        <v>2.3333333333333335</v>
      </c>
      <c r="N302" t="str">
        <f t="shared" si="35"/>
        <v>Within SLA</v>
      </c>
      <c r="O302" t="str">
        <f t="shared" si="39"/>
        <v>No Rating</v>
      </c>
      <c r="P302" t="str">
        <f t="shared" si="36"/>
        <v>Resolved</v>
      </c>
      <c r="Q302" s="2" t="str">
        <f t="shared" si="37"/>
        <v>Oct-2025</v>
      </c>
      <c r="R302" s="2">
        <f t="shared" si="38"/>
        <v>45931</v>
      </c>
    </row>
    <row r="303" spans="1:18">
      <c r="A303" t="s">
        <v>634</v>
      </c>
      <c r="B303" s="2" t="s">
        <v>635</v>
      </c>
      <c r="C303">
        <v>1280</v>
      </c>
      <c r="D303" t="s">
        <v>47</v>
      </c>
      <c r="E303" t="s">
        <v>27</v>
      </c>
      <c r="F303" t="s">
        <v>71</v>
      </c>
      <c r="G303">
        <v>141</v>
      </c>
      <c r="I303" t="s">
        <v>29</v>
      </c>
      <c r="K303" s="1">
        <f t="shared" si="32"/>
        <v>45948</v>
      </c>
      <c r="L303" s="3" t="str">
        <f t="shared" si="33"/>
        <v/>
      </c>
      <c r="M303" s="3">
        <f t="shared" si="34"/>
        <v>2.35</v>
      </c>
      <c r="N303" t="str">
        <f t="shared" si="35"/>
        <v>Open</v>
      </c>
      <c r="O303" t="str">
        <f t="shared" si="39"/>
        <v>No Rating</v>
      </c>
      <c r="P303" t="str">
        <f t="shared" si="36"/>
        <v>Unresolved</v>
      </c>
      <c r="Q303" s="2" t="str">
        <f t="shared" si="37"/>
        <v>Oct-2025</v>
      </c>
      <c r="R303" s="2">
        <f t="shared" si="38"/>
        <v>45931</v>
      </c>
    </row>
    <row r="304" spans="1:18">
      <c r="A304" t="s">
        <v>636</v>
      </c>
      <c r="B304" s="2" t="s">
        <v>637</v>
      </c>
      <c r="C304">
        <v>1733</v>
      </c>
      <c r="D304" t="s">
        <v>32</v>
      </c>
      <c r="E304" t="s">
        <v>19</v>
      </c>
      <c r="F304" t="s">
        <v>23</v>
      </c>
      <c r="G304">
        <v>42</v>
      </c>
      <c r="H304">
        <v>764</v>
      </c>
      <c r="I304" t="s">
        <v>20</v>
      </c>
      <c r="J304">
        <v>2</v>
      </c>
      <c r="K304" s="1">
        <f t="shared" si="32"/>
        <v>45949</v>
      </c>
      <c r="L304" s="3">
        <f t="shared" si="33"/>
        <v>12.733333333333333</v>
      </c>
      <c r="M304" s="3">
        <f t="shared" si="34"/>
        <v>0.7</v>
      </c>
      <c r="N304" t="str">
        <f t="shared" si="35"/>
        <v>Within SLA</v>
      </c>
      <c r="O304" t="str">
        <f t="shared" si="39"/>
        <v>Dissatisfied</v>
      </c>
      <c r="P304" t="str">
        <f t="shared" si="36"/>
        <v>Resolved</v>
      </c>
      <c r="Q304" s="2" t="str">
        <f t="shared" si="37"/>
        <v>Oct-2025</v>
      </c>
      <c r="R304" s="2">
        <f t="shared" si="38"/>
        <v>45931</v>
      </c>
    </row>
    <row r="305" spans="1:18">
      <c r="A305" t="s">
        <v>638</v>
      </c>
      <c r="B305" s="2" t="s">
        <v>639</v>
      </c>
      <c r="C305">
        <v>1269</v>
      </c>
      <c r="D305" t="s">
        <v>12</v>
      </c>
      <c r="E305" t="s">
        <v>27</v>
      </c>
      <c r="F305" t="s">
        <v>14</v>
      </c>
      <c r="G305">
        <v>135</v>
      </c>
      <c r="H305">
        <v>2759</v>
      </c>
      <c r="I305" t="s">
        <v>20</v>
      </c>
      <c r="J305">
        <v>5</v>
      </c>
      <c r="K305" s="1">
        <f t="shared" si="32"/>
        <v>45949</v>
      </c>
      <c r="L305" s="3">
        <f t="shared" si="33"/>
        <v>45.983333333333334</v>
      </c>
      <c r="M305" s="3">
        <f t="shared" si="34"/>
        <v>2.25</v>
      </c>
      <c r="N305" t="str">
        <f t="shared" si="35"/>
        <v>Within SLA</v>
      </c>
      <c r="O305" t="str">
        <f t="shared" si="39"/>
        <v>Satisfied</v>
      </c>
      <c r="P305" t="str">
        <f t="shared" si="36"/>
        <v>Resolved</v>
      </c>
      <c r="Q305" s="2" t="str">
        <f t="shared" si="37"/>
        <v>Oct-2025</v>
      </c>
      <c r="R305" s="2">
        <f t="shared" si="38"/>
        <v>45931</v>
      </c>
    </row>
    <row r="306" spans="1:18">
      <c r="A306" t="s">
        <v>640</v>
      </c>
      <c r="B306" s="2" t="s">
        <v>641</v>
      </c>
      <c r="C306">
        <v>1059</v>
      </c>
      <c r="D306" t="s">
        <v>26</v>
      </c>
      <c r="E306" t="s">
        <v>13</v>
      </c>
      <c r="F306" t="s">
        <v>34</v>
      </c>
      <c r="G306">
        <v>10</v>
      </c>
      <c r="H306">
        <v>346</v>
      </c>
      <c r="I306" t="s">
        <v>15</v>
      </c>
      <c r="K306" s="1">
        <f t="shared" si="32"/>
        <v>45949</v>
      </c>
      <c r="L306" s="3">
        <f t="shared" si="33"/>
        <v>5.7666666666666666</v>
      </c>
      <c r="M306" s="3">
        <f t="shared" si="34"/>
        <v>0.16666666666666666</v>
      </c>
      <c r="N306" t="str">
        <f t="shared" si="35"/>
        <v>Within SLA</v>
      </c>
      <c r="O306" t="str">
        <f t="shared" si="39"/>
        <v>No Rating</v>
      </c>
      <c r="P306" t="str">
        <f t="shared" si="36"/>
        <v>Resolved</v>
      </c>
      <c r="Q306" s="2" t="str">
        <f t="shared" si="37"/>
        <v>Oct-2025</v>
      </c>
      <c r="R306" s="2">
        <f t="shared" si="38"/>
        <v>45931</v>
      </c>
    </row>
    <row r="307" spans="1:18">
      <c r="A307" t="s">
        <v>642</v>
      </c>
      <c r="B307" s="2" t="s">
        <v>643</v>
      </c>
      <c r="C307">
        <v>1510</v>
      </c>
      <c r="D307" t="s">
        <v>12</v>
      </c>
      <c r="E307" t="s">
        <v>27</v>
      </c>
      <c r="F307" t="s">
        <v>34</v>
      </c>
      <c r="G307">
        <v>63</v>
      </c>
      <c r="H307">
        <v>2006</v>
      </c>
      <c r="I307" t="s">
        <v>15</v>
      </c>
      <c r="K307" s="1">
        <f t="shared" si="32"/>
        <v>45950</v>
      </c>
      <c r="L307" s="3">
        <f t="shared" si="33"/>
        <v>33.43333333333333</v>
      </c>
      <c r="M307" s="3">
        <f t="shared" si="34"/>
        <v>1.05</v>
      </c>
      <c r="N307" t="str">
        <f t="shared" si="35"/>
        <v>Within SLA</v>
      </c>
      <c r="O307" t="str">
        <f t="shared" si="39"/>
        <v>No Rating</v>
      </c>
      <c r="P307" t="str">
        <f t="shared" si="36"/>
        <v>Resolved</v>
      </c>
      <c r="Q307" s="2" t="str">
        <f t="shared" si="37"/>
        <v>Oct-2025</v>
      </c>
      <c r="R307" s="2">
        <f t="shared" si="38"/>
        <v>45931</v>
      </c>
    </row>
    <row r="308" spans="1:18">
      <c r="A308" t="s">
        <v>644</v>
      </c>
      <c r="B308" s="2" t="s">
        <v>645</v>
      </c>
      <c r="C308">
        <v>1556</v>
      </c>
      <c r="D308" t="s">
        <v>18</v>
      </c>
      <c r="E308" t="s">
        <v>33</v>
      </c>
      <c r="F308" t="s">
        <v>23</v>
      </c>
      <c r="G308">
        <v>355</v>
      </c>
      <c r="I308" t="s">
        <v>29</v>
      </c>
      <c r="K308" s="1">
        <f t="shared" si="32"/>
        <v>45950</v>
      </c>
      <c r="L308" s="3" t="str">
        <f t="shared" si="33"/>
        <v/>
      </c>
      <c r="M308" s="3">
        <f t="shared" si="34"/>
        <v>5.916666666666667</v>
      </c>
      <c r="N308" t="str">
        <f t="shared" si="35"/>
        <v>Open</v>
      </c>
      <c r="O308" t="str">
        <f t="shared" si="39"/>
        <v>No Rating</v>
      </c>
      <c r="P308" t="str">
        <f t="shared" si="36"/>
        <v>Unresolved</v>
      </c>
      <c r="Q308" s="2" t="str">
        <f t="shared" si="37"/>
        <v>Oct-2025</v>
      </c>
      <c r="R308" s="2">
        <f t="shared" si="38"/>
        <v>45931</v>
      </c>
    </row>
    <row r="309" spans="1:18">
      <c r="A309" t="s">
        <v>646</v>
      </c>
      <c r="B309" s="2" t="s">
        <v>647</v>
      </c>
      <c r="C309">
        <v>1744</v>
      </c>
      <c r="D309" t="s">
        <v>47</v>
      </c>
      <c r="E309" t="s">
        <v>27</v>
      </c>
      <c r="F309" t="s">
        <v>34</v>
      </c>
      <c r="G309">
        <v>117</v>
      </c>
      <c r="I309" t="s">
        <v>44</v>
      </c>
      <c r="K309" s="1">
        <f t="shared" si="32"/>
        <v>45951</v>
      </c>
      <c r="L309" s="3" t="str">
        <f t="shared" si="33"/>
        <v/>
      </c>
      <c r="M309" s="3">
        <f t="shared" si="34"/>
        <v>1.95</v>
      </c>
      <c r="N309" t="str">
        <f t="shared" si="35"/>
        <v>Open</v>
      </c>
      <c r="O309" t="str">
        <f t="shared" si="39"/>
        <v>No Rating</v>
      </c>
      <c r="P309" t="str">
        <f t="shared" si="36"/>
        <v>Unresolved</v>
      </c>
      <c r="Q309" s="2" t="str">
        <f t="shared" si="37"/>
        <v>Oct-2025</v>
      </c>
      <c r="R309" s="2">
        <f t="shared" si="38"/>
        <v>45931</v>
      </c>
    </row>
    <row r="310" spans="1:18">
      <c r="A310" t="s">
        <v>648</v>
      </c>
      <c r="B310" s="2" t="s">
        <v>649</v>
      </c>
      <c r="C310">
        <v>1578</v>
      </c>
      <c r="D310" t="s">
        <v>26</v>
      </c>
      <c r="E310" t="s">
        <v>27</v>
      </c>
      <c r="F310" t="s">
        <v>23</v>
      </c>
      <c r="G310">
        <v>86</v>
      </c>
      <c r="H310">
        <v>3085</v>
      </c>
      <c r="I310" t="s">
        <v>15</v>
      </c>
      <c r="J310">
        <v>1</v>
      </c>
      <c r="K310" s="1">
        <f t="shared" si="32"/>
        <v>45951</v>
      </c>
      <c r="L310" s="3">
        <f t="shared" si="33"/>
        <v>51.416666666666664</v>
      </c>
      <c r="M310" s="3">
        <f t="shared" si="34"/>
        <v>1.4333333333333333</v>
      </c>
      <c r="N310" t="str">
        <f t="shared" si="35"/>
        <v>Breached</v>
      </c>
      <c r="O310" t="str">
        <f t="shared" si="39"/>
        <v>Dissatisfied</v>
      </c>
      <c r="P310" t="str">
        <f t="shared" si="36"/>
        <v>Resolved</v>
      </c>
      <c r="Q310" s="2" t="str">
        <f t="shared" si="37"/>
        <v>Oct-2025</v>
      </c>
      <c r="R310" s="2">
        <f t="shared" si="38"/>
        <v>45931</v>
      </c>
    </row>
    <row r="311" spans="1:18">
      <c r="A311" t="s">
        <v>650</v>
      </c>
      <c r="B311" s="2" t="s">
        <v>651</v>
      </c>
      <c r="C311">
        <v>1995</v>
      </c>
      <c r="D311" t="s">
        <v>32</v>
      </c>
      <c r="E311" t="s">
        <v>27</v>
      </c>
      <c r="F311" t="s">
        <v>23</v>
      </c>
      <c r="G311">
        <v>173</v>
      </c>
      <c r="H311">
        <v>1609</v>
      </c>
      <c r="I311" t="s">
        <v>15</v>
      </c>
      <c r="J311">
        <v>2</v>
      </c>
      <c r="K311" s="1">
        <f t="shared" si="32"/>
        <v>45951</v>
      </c>
      <c r="L311" s="3">
        <f t="shared" si="33"/>
        <v>26.816666666666666</v>
      </c>
      <c r="M311" s="3">
        <f t="shared" si="34"/>
        <v>2.8833333333333333</v>
      </c>
      <c r="N311" t="str">
        <f t="shared" si="35"/>
        <v>Within SLA</v>
      </c>
      <c r="O311" t="str">
        <f t="shared" si="39"/>
        <v>Dissatisfied</v>
      </c>
      <c r="P311" t="str">
        <f t="shared" si="36"/>
        <v>Resolved</v>
      </c>
      <c r="Q311" s="2" t="str">
        <f t="shared" si="37"/>
        <v>Oct-2025</v>
      </c>
      <c r="R311" s="2">
        <f t="shared" si="38"/>
        <v>45931</v>
      </c>
    </row>
    <row r="312" spans="1:18">
      <c r="A312" t="s">
        <v>652</v>
      </c>
      <c r="B312" s="2" t="s">
        <v>653</v>
      </c>
      <c r="C312">
        <v>1121</v>
      </c>
      <c r="D312" t="s">
        <v>12</v>
      </c>
      <c r="E312" t="s">
        <v>27</v>
      </c>
      <c r="F312" t="s">
        <v>23</v>
      </c>
      <c r="G312">
        <v>33</v>
      </c>
      <c r="H312">
        <v>1448</v>
      </c>
      <c r="I312" t="s">
        <v>20</v>
      </c>
      <c r="J312">
        <v>3</v>
      </c>
      <c r="K312" s="1">
        <f t="shared" si="32"/>
        <v>45952</v>
      </c>
      <c r="L312" s="3">
        <f t="shared" si="33"/>
        <v>24.133333333333333</v>
      </c>
      <c r="M312" s="3">
        <f t="shared" si="34"/>
        <v>0.55000000000000004</v>
      </c>
      <c r="N312" t="str">
        <f t="shared" si="35"/>
        <v>Within SLA</v>
      </c>
      <c r="O312" t="str">
        <f t="shared" si="39"/>
        <v>Neutral</v>
      </c>
      <c r="P312" t="str">
        <f t="shared" si="36"/>
        <v>Resolved</v>
      </c>
      <c r="Q312" s="2" t="str">
        <f t="shared" si="37"/>
        <v>Oct-2025</v>
      </c>
      <c r="R312" s="2">
        <f t="shared" si="38"/>
        <v>45931</v>
      </c>
    </row>
    <row r="313" spans="1:18">
      <c r="A313" t="s">
        <v>654</v>
      </c>
      <c r="B313" s="2" t="s">
        <v>655</v>
      </c>
      <c r="C313">
        <v>1507</v>
      </c>
      <c r="D313" t="s">
        <v>12</v>
      </c>
      <c r="E313" t="s">
        <v>27</v>
      </c>
      <c r="F313" t="s">
        <v>54</v>
      </c>
      <c r="G313">
        <v>122</v>
      </c>
      <c r="I313" t="s">
        <v>29</v>
      </c>
      <c r="K313" s="1">
        <f t="shared" si="32"/>
        <v>45952</v>
      </c>
      <c r="L313" s="3" t="str">
        <f t="shared" si="33"/>
        <v/>
      </c>
      <c r="M313" s="3">
        <f t="shared" si="34"/>
        <v>2.0333333333333332</v>
      </c>
      <c r="N313" t="str">
        <f t="shared" si="35"/>
        <v>Open</v>
      </c>
      <c r="O313" t="str">
        <f t="shared" si="39"/>
        <v>No Rating</v>
      </c>
      <c r="P313" t="str">
        <f t="shared" si="36"/>
        <v>Unresolved</v>
      </c>
      <c r="Q313" s="2" t="str">
        <f t="shared" si="37"/>
        <v>Oct-2025</v>
      </c>
      <c r="R313" s="2">
        <f t="shared" si="38"/>
        <v>45931</v>
      </c>
    </row>
    <row r="314" spans="1:18">
      <c r="A314" t="s">
        <v>656</v>
      </c>
      <c r="B314" s="2" t="s">
        <v>657</v>
      </c>
      <c r="C314">
        <v>1404</v>
      </c>
      <c r="D314" t="s">
        <v>47</v>
      </c>
      <c r="E314" t="s">
        <v>33</v>
      </c>
      <c r="F314" t="s">
        <v>28</v>
      </c>
      <c r="G314">
        <v>311</v>
      </c>
      <c r="H314">
        <v>4267</v>
      </c>
      <c r="I314" t="s">
        <v>15</v>
      </c>
      <c r="J314">
        <v>4</v>
      </c>
      <c r="K314" s="1">
        <f t="shared" si="32"/>
        <v>45952</v>
      </c>
      <c r="L314" s="3">
        <f t="shared" si="33"/>
        <v>71.11666666666666</v>
      </c>
      <c r="M314" s="3">
        <f t="shared" si="34"/>
        <v>5.1833333333333336</v>
      </c>
      <c r="N314" t="str">
        <f t="shared" si="35"/>
        <v>Within SLA</v>
      </c>
      <c r="O314" t="str">
        <f t="shared" si="39"/>
        <v>Satisfied</v>
      </c>
      <c r="P314" t="str">
        <f t="shared" si="36"/>
        <v>Resolved</v>
      </c>
      <c r="Q314" s="2" t="str">
        <f t="shared" si="37"/>
        <v>Oct-2025</v>
      </c>
      <c r="R314" s="2">
        <f t="shared" si="38"/>
        <v>45931</v>
      </c>
    </row>
    <row r="315" spans="1:18">
      <c r="A315" t="s">
        <v>658</v>
      </c>
      <c r="B315" s="2" t="s">
        <v>659</v>
      </c>
      <c r="C315">
        <v>1598</v>
      </c>
      <c r="D315" t="s">
        <v>12</v>
      </c>
      <c r="E315" t="s">
        <v>13</v>
      </c>
      <c r="F315" t="s">
        <v>71</v>
      </c>
      <c r="G315">
        <v>5</v>
      </c>
      <c r="I315" t="s">
        <v>29</v>
      </c>
      <c r="K315" s="1">
        <f t="shared" si="32"/>
        <v>45953</v>
      </c>
      <c r="L315" s="3" t="str">
        <f t="shared" si="33"/>
        <v/>
      </c>
      <c r="M315" s="3">
        <f t="shared" si="34"/>
        <v>8.3333333333333329E-2</v>
      </c>
      <c r="N315" t="str">
        <f t="shared" si="35"/>
        <v>Open</v>
      </c>
      <c r="O315" t="str">
        <f t="shared" si="39"/>
        <v>No Rating</v>
      </c>
      <c r="P315" t="str">
        <f t="shared" si="36"/>
        <v>Unresolved</v>
      </c>
      <c r="Q315" s="2" t="str">
        <f t="shared" si="37"/>
        <v>Oct-2025</v>
      </c>
      <c r="R315" s="2">
        <f t="shared" si="38"/>
        <v>45931</v>
      </c>
    </row>
    <row r="316" spans="1:18">
      <c r="A316" t="s">
        <v>660</v>
      </c>
      <c r="B316" s="2" t="s">
        <v>661</v>
      </c>
      <c r="C316">
        <v>1794</v>
      </c>
      <c r="D316" t="s">
        <v>18</v>
      </c>
      <c r="E316" t="s">
        <v>27</v>
      </c>
      <c r="F316" t="s">
        <v>23</v>
      </c>
      <c r="G316">
        <v>102</v>
      </c>
      <c r="I316" t="s">
        <v>29</v>
      </c>
      <c r="K316" s="1">
        <f t="shared" si="32"/>
        <v>45953</v>
      </c>
      <c r="L316" s="3" t="str">
        <f t="shared" si="33"/>
        <v/>
      </c>
      <c r="M316" s="3">
        <f t="shared" si="34"/>
        <v>1.7</v>
      </c>
      <c r="N316" t="str">
        <f t="shared" si="35"/>
        <v>Open</v>
      </c>
      <c r="O316" t="str">
        <f t="shared" si="39"/>
        <v>No Rating</v>
      </c>
      <c r="P316" t="str">
        <f t="shared" si="36"/>
        <v>Unresolved</v>
      </c>
      <c r="Q316" s="2" t="str">
        <f t="shared" si="37"/>
        <v>Oct-2025</v>
      </c>
      <c r="R316" s="2">
        <f t="shared" si="38"/>
        <v>45931</v>
      </c>
    </row>
    <row r="317" spans="1:18">
      <c r="A317" t="s">
        <v>662</v>
      </c>
      <c r="B317" s="2" t="s">
        <v>663</v>
      </c>
      <c r="C317">
        <v>1297</v>
      </c>
      <c r="D317" t="s">
        <v>18</v>
      </c>
      <c r="E317" t="s">
        <v>13</v>
      </c>
      <c r="F317" t="s">
        <v>14</v>
      </c>
      <c r="G317">
        <v>8</v>
      </c>
      <c r="H317">
        <v>375</v>
      </c>
      <c r="I317" t="s">
        <v>15</v>
      </c>
      <c r="K317" s="1">
        <f t="shared" si="32"/>
        <v>45953</v>
      </c>
      <c r="L317" s="3">
        <f t="shared" si="33"/>
        <v>6.25</v>
      </c>
      <c r="M317" s="3">
        <f t="shared" si="34"/>
        <v>0.13333333333333333</v>
      </c>
      <c r="N317" t="str">
        <f t="shared" si="35"/>
        <v>Within SLA</v>
      </c>
      <c r="O317" t="str">
        <f t="shared" si="39"/>
        <v>No Rating</v>
      </c>
      <c r="P317" t="str">
        <f t="shared" si="36"/>
        <v>Resolved</v>
      </c>
      <c r="Q317" s="2" t="str">
        <f t="shared" si="37"/>
        <v>Oct-2025</v>
      </c>
      <c r="R317" s="2">
        <f t="shared" si="38"/>
        <v>45931</v>
      </c>
    </row>
    <row r="318" spans="1:18">
      <c r="A318" t="s">
        <v>664</v>
      </c>
      <c r="B318" s="2" t="s">
        <v>665</v>
      </c>
      <c r="C318">
        <v>1631</v>
      </c>
      <c r="D318" t="s">
        <v>47</v>
      </c>
      <c r="E318" t="s">
        <v>19</v>
      </c>
      <c r="F318" t="s">
        <v>54</v>
      </c>
      <c r="G318">
        <v>8</v>
      </c>
      <c r="H318">
        <v>782</v>
      </c>
      <c r="I318" t="s">
        <v>15</v>
      </c>
      <c r="J318">
        <v>4</v>
      </c>
      <c r="K318" s="1">
        <f t="shared" si="32"/>
        <v>45954</v>
      </c>
      <c r="L318" s="3">
        <f t="shared" si="33"/>
        <v>13.033333333333333</v>
      </c>
      <c r="M318" s="3">
        <f t="shared" si="34"/>
        <v>0.13333333333333333</v>
      </c>
      <c r="N318" t="str">
        <f t="shared" si="35"/>
        <v>Within SLA</v>
      </c>
      <c r="O318" t="str">
        <f t="shared" si="39"/>
        <v>Satisfied</v>
      </c>
      <c r="P318" t="str">
        <f t="shared" si="36"/>
        <v>Resolved</v>
      </c>
      <c r="Q318" s="2" t="str">
        <f t="shared" si="37"/>
        <v>Oct-2025</v>
      </c>
      <c r="R318" s="2">
        <f t="shared" si="38"/>
        <v>45931</v>
      </c>
    </row>
    <row r="319" spans="1:18">
      <c r="A319" t="s">
        <v>666</v>
      </c>
      <c r="B319" s="2" t="s">
        <v>667</v>
      </c>
      <c r="C319">
        <v>1255</v>
      </c>
      <c r="D319" t="s">
        <v>26</v>
      </c>
      <c r="E319" t="s">
        <v>19</v>
      </c>
      <c r="F319" t="s">
        <v>71</v>
      </c>
      <c r="G319">
        <v>31</v>
      </c>
      <c r="H319">
        <v>456</v>
      </c>
      <c r="I319" t="s">
        <v>15</v>
      </c>
      <c r="K319" s="1">
        <f t="shared" si="32"/>
        <v>45954</v>
      </c>
      <c r="L319" s="3">
        <f t="shared" si="33"/>
        <v>7.6</v>
      </c>
      <c r="M319" s="3">
        <f t="shared" si="34"/>
        <v>0.51666666666666672</v>
      </c>
      <c r="N319" t="str">
        <f t="shared" si="35"/>
        <v>Within SLA</v>
      </c>
      <c r="O319" t="str">
        <f t="shared" si="39"/>
        <v>No Rating</v>
      </c>
      <c r="P319" t="str">
        <f t="shared" si="36"/>
        <v>Resolved</v>
      </c>
      <c r="Q319" s="2" t="str">
        <f t="shared" si="37"/>
        <v>Oct-2025</v>
      </c>
      <c r="R319" s="2">
        <f t="shared" si="38"/>
        <v>45931</v>
      </c>
    </row>
    <row r="320" spans="1:18">
      <c r="A320" t="s">
        <v>668</v>
      </c>
      <c r="B320" s="2" t="s">
        <v>669</v>
      </c>
      <c r="C320">
        <v>1831</v>
      </c>
      <c r="D320" t="s">
        <v>26</v>
      </c>
      <c r="E320" t="s">
        <v>33</v>
      </c>
      <c r="F320" t="s">
        <v>43</v>
      </c>
      <c r="G320">
        <v>224</v>
      </c>
      <c r="I320" t="s">
        <v>44</v>
      </c>
      <c r="K320" s="1">
        <f t="shared" si="32"/>
        <v>45955</v>
      </c>
      <c r="L320" s="3" t="str">
        <f t="shared" si="33"/>
        <v/>
      </c>
      <c r="M320" s="3">
        <f t="shared" si="34"/>
        <v>3.7333333333333334</v>
      </c>
      <c r="N320" t="str">
        <f t="shared" si="35"/>
        <v>Open</v>
      </c>
      <c r="O320" t="str">
        <f t="shared" si="39"/>
        <v>No Rating</v>
      </c>
      <c r="P320" t="str">
        <f t="shared" si="36"/>
        <v>Unresolved</v>
      </c>
      <c r="Q320" s="2" t="str">
        <f t="shared" si="37"/>
        <v>Oct-2025</v>
      </c>
      <c r="R320" s="2">
        <f t="shared" si="38"/>
        <v>45931</v>
      </c>
    </row>
    <row r="321" spans="1:18">
      <c r="A321" t="s">
        <v>670</v>
      </c>
      <c r="B321" s="2" t="s">
        <v>671</v>
      </c>
      <c r="C321">
        <v>1045</v>
      </c>
      <c r="D321" t="s">
        <v>26</v>
      </c>
      <c r="E321" t="s">
        <v>27</v>
      </c>
      <c r="F321" t="s">
        <v>23</v>
      </c>
      <c r="G321">
        <v>111</v>
      </c>
      <c r="H321">
        <v>1803</v>
      </c>
      <c r="I321" t="s">
        <v>15</v>
      </c>
      <c r="J321">
        <v>3</v>
      </c>
      <c r="K321" s="1">
        <f t="shared" si="32"/>
        <v>45955</v>
      </c>
      <c r="L321" s="3">
        <f t="shared" si="33"/>
        <v>30.05</v>
      </c>
      <c r="M321" s="3">
        <f t="shared" si="34"/>
        <v>1.85</v>
      </c>
      <c r="N321" t="str">
        <f t="shared" si="35"/>
        <v>Within SLA</v>
      </c>
      <c r="O321" t="str">
        <f t="shared" si="39"/>
        <v>Neutral</v>
      </c>
      <c r="P321" t="str">
        <f t="shared" si="36"/>
        <v>Resolved</v>
      </c>
      <c r="Q321" s="2" t="str">
        <f t="shared" si="37"/>
        <v>Oct-2025</v>
      </c>
      <c r="R321" s="2">
        <f t="shared" si="38"/>
        <v>45931</v>
      </c>
    </row>
    <row r="322" spans="1:18">
      <c r="A322" t="s">
        <v>672</v>
      </c>
      <c r="B322" s="2" t="s">
        <v>673</v>
      </c>
      <c r="C322">
        <v>1751</v>
      </c>
      <c r="D322" t="s">
        <v>26</v>
      </c>
      <c r="E322" t="s">
        <v>27</v>
      </c>
      <c r="F322" t="s">
        <v>34</v>
      </c>
      <c r="G322">
        <v>164</v>
      </c>
      <c r="H322">
        <v>1925</v>
      </c>
      <c r="I322" t="s">
        <v>15</v>
      </c>
      <c r="J322">
        <v>3</v>
      </c>
      <c r="K322" s="1">
        <f t="shared" si="32"/>
        <v>45955</v>
      </c>
      <c r="L322" s="3">
        <f t="shared" si="33"/>
        <v>32.083333333333336</v>
      </c>
      <c r="M322" s="3">
        <f t="shared" si="34"/>
        <v>2.7333333333333334</v>
      </c>
      <c r="N322" t="str">
        <f t="shared" si="35"/>
        <v>Within SLA</v>
      </c>
      <c r="O322" t="str">
        <f t="shared" si="39"/>
        <v>Neutral</v>
      </c>
      <c r="P322" t="str">
        <f t="shared" si="36"/>
        <v>Resolved</v>
      </c>
      <c r="Q322" s="2" t="str">
        <f t="shared" si="37"/>
        <v>Oct-2025</v>
      </c>
      <c r="R322" s="2">
        <f t="shared" si="38"/>
        <v>45931</v>
      </c>
    </row>
    <row r="323" spans="1:18">
      <c r="A323" t="s">
        <v>674</v>
      </c>
      <c r="B323" s="2" t="s">
        <v>675</v>
      </c>
      <c r="C323">
        <v>1208</v>
      </c>
      <c r="D323" t="s">
        <v>26</v>
      </c>
      <c r="E323" t="s">
        <v>19</v>
      </c>
      <c r="F323" t="s">
        <v>28</v>
      </c>
      <c r="G323">
        <v>17</v>
      </c>
      <c r="H323">
        <v>1150</v>
      </c>
      <c r="I323" t="s">
        <v>15</v>
      </c>
      <c r="J323">
        <v>1</v>
      </c>
      <c r="K323" s="1">
        <f t="shared" ref="K323:K386" si="40">IF(B323="","",DATEVALUE(LEFT(B323,10)))</f>
        <v>45956</v>
      </c>
      <c r="L323" s="3">
        <f t="shared" ref="L323:L386" si="41">IF(H323="","",H323/60)</f>
        <v>19.166666666666668</v>
      </c>
      <c r="M323" s="3">
        <f t="shared" ref="M323:M386" si="42">IF(G323="","",G323/60)</f>
        <v>0.28333333333333333</v>
      </c>
      <c r="N323" t="str">
        <f t="shared" ref="N323:N386" si="43">IF(L323="","Open",IF(L323&lt;=IF(E323="Urgent",8,IF(E323="High",24,IF(E323="Normal",48,72))),"Within SLA","Breached"))</f>
        <v>Within SLA</v>
      </c>
      <c r="O323" t="str">
        <f t="shared" si="39"/>
        <v>Dissatisfied</v>
      </c>
      <c r="P323" t="str">
        <f t="shared" ref="P323:P386" si="44">IF(I323="Closed","Resolved",IF(I323="Resolved","Resolved","Unresolved"))</f>
        <v>Resolved</v>
      </c>
      <c r="Q323" s="2" t="str">
        <f t="shared" ref="Q323:Q386" si="45">IF(K323="","",TEXT(K323,"mmm-yyyy"))</f>
        <v>Oct-2025</v>
      </c>
      <c r="R323" s="2">
        <f t="shared" ref="R323:R386" si="46">IF(K323="","",DATE(YEAR(K323),MONTH(K323),1))</f>
        <v>45931</v>
      </c>
    </row>
    <row r="324" spans="1:18">
      <c r="A324" t="s">
        <v>676</v>
      </c>
      <c r="B324" s="2" t="s">
        <v>677</v>
      </c>
      <c r="C324">
        <v>1400</v>
      </c>
      <c r="D324" t="s">
        <v>18</v>
      </c>
      <c r="E324" t="s">
        <v>27</v>
      </c>
      <c r="F324" t="s">
        <v>28</v>
      </c>
      <c r="G324">
        <v>56</v>
      </c>
      <c r="H324">
        <v>2591</v>
      </c>
      <c r="I324" t="s">
        <v>20</v>
      </c>
      <c r="J324">
        <v>5</v>
      </c>
      <c r="K324" s="1">
        <f t="shared" si="40"/>
        <v>45956</v>
      </c>
      <c r="L324" s="3">
        <f t="shared" si="41"/>
        <v>43.18333333333333</v>
      </c>
      <c r="M324" s="3">
        <f t="shared" si="42"/>
        <v>0.93333333333333335</v>
      </c>
      <c r="N324" t="str">
        <f t="shared" si="43"/>
        <v>Within SLA</v>
      </c>
      <c r="O324" t="str">
        <f t="shared" ref="O324:O387" si="47">IF(J324="","No Rating",IF(J324&gt;=4,"Satisfied",IF(J324=3,"Neutral","Dissatisfied")))</f>
        <v>Satisfied</v>
      </c>
      <c r="P324" t="str">
        <f t="shared" si="44"/>
        <v>Resolved</v>
      </c>
      <c r="Q324" s="2" t="str">
        <f t="shared" si="45"/>
        <v>Oct-2025</v>
      </c>
      <c r="R324" s="2">
        <f t="shared" si="46"/>
        <v>45931</v>
      </c>
    </row>
    <row r="325" spans="1:18">
      <c r="A325" t="s">
        <v>678</v>
      </c>
      <c r="B325" s="2" t="s">
        <v>679</v>
      </c>
      <c r="C325">
        <v>1850</v>
      </c>
      <c r="D325" t="s">
        <v>12</v>
      </c>
      <c r="E325" t="s">
        <v>27</v>
      </c>
      <c r="F325" t="s">
        <v>23</v>
      </c>
      <c r="G325">
        <v>75</v>
      </c>
      <c r="H325">
        <v>1607</v>
      </c>
      <c r="I325" t="s">
        <v>15</v>
      </c>
      <c r="J325">
        <v>1</v>
      </c>
      <c r="K325" s="1">
        <f t="shared" si="40"/>
        <v>45956</v>
      </c>
      <c r="L325" s="3">
        <f t="shared" si="41"/>
        <v>26.783333333333335</v>
      </c>
      <c r="M325" s="3">
        <f t="shared" si="42"/>
        <v>1.25</v>
      </c>
      <c r="N325" t="str">
        <f t="shared" si="43"/>
        <v>Within SLA</v>
      </c>
      <c r="O325" t="str">
        <f t="shared" si="47"/>
        <v>Dissatisfied</v>
      </c>
      <c r="P325" t="str">
        <f t="shared" si="44"/>
        <v>Resolved</v>
      </c>
      <c r="Q325" s="2" t="str">
        <f t="shared" si="45"/>
        <v>Oct-2025</v>
      </c>
      <c r="R325" s="2">
        <f t="shared" si="46"/>
        <v>45931</v>
      </c>
    </row>
    <row r="326" spans="1:18">
      <c r="A326" t="s">
        <v>680</v>
      </c>
      <c r="B326" s="2" t="s">
        <v>681</v>
      </c>
      <c r="C326">
        <v>1664</v>
      </c>
      <c r="D326" t="s">
        <v>12</v>
      </c>
      <c r="E326" t="s">
        <v>27</v>
      </c>
      <c r="F326" t="s">
        <v>28</v>
      </c>
      <c r="G326">
        <v>35</v>
      </c>
      <c r="H326">
        <v>3401</v>
      </c>
      <c r="I326" t="s">
        <v>15</v>
      </c>
      <c r="J326">
        <v>5</v>
      </c>
      <c r="K326" s="1">
        <f t="shared" si="40"/>
        <v>45957</v>
      </c>
      <c r="L326" s="3">
        <f t="shared" si="41"/>
        <v>56.68333333333333</v>
      </c>
      <c r="M326" s="3">
        <f t="shared" si="42"/>
        <v>0.58333333333333337</v>
      </c>
      <c r="N326" t="str">
        <f t="shared" si="43"/>
        <v>Breached</v>
      </c>
      <c r="O326" t="str">
        <f t="shared" si="47"/>
        <v>Satisfied</v>
      </c>
      <c r="P326" t="str">
        <f t="shared" si="44"/>
        <v>Resolved</v>
      </c>
      <c r="Q326" s="2" t="str">
        <f t="shared" si="45"/>
        <v>Oct-2025</v>
      </c>
      <c r="R326" s="2">
        <f t="shared" si="46"/>
        <v>45931</v>
      </c>
    </row>
    <row r="327" spans="1:18">
      <c r="A327" t="s">
        <v>682</v>
      </c>
      <c r="B327" s="2" t="s">
        <v>683</v>
      </c>
      <c r="C327">
        <v>1730</v>
      </c>
      <c r="D327" t="s">
        <v>26</v>
      </c>
      <c r="E327" t="s">
        <v>33</v>
      </c>
      <c r="F327" t="s">
        <v>14</v>
      </c>
      <c r="G327">
        <v>212</v>
      </c>
      <c r="I327" t="s">
        <v>29</v>
      </c>
      <c r="K327" s="1">
        <f t="shared" si="40"/>
        <v>45957</v>
      </c>
      <c r="L327" s="3" t="str">
        <f t="shared" si="41"/>
        <v/>
      </c>
      <c r="M327" s="3">
        <f t="shared" si="42"/>
        <v>3.5333333333333332</v>
      </c>
      <c r="N327" t="str">
        <f t="shared" si="43"/>
        <v>Open</v>
      </c>
      <c r="O327" t="str">
        <f t="shared" si="47"/>
        <v>No Rating</v>
      </c>
      <c r="P327" t="str">
        <f t="shared" si="44"/>
        <v>Unresolved</v>
      </c>
      <c r="Q327" s="2" t="str">
        <f t="shared" si="45"/>
        <v>Oct-2025</v>
      </c>
      <c r="R327" s="2">
        <f t="shared" si="46"/>
        <v>45931</v>
      </c>
    </row>
    <row r="328" spans="1:18">
      <c r="A328" t="s">
        <v>684</v>
      </c>
      <c r="B328" s="2" t="s">
        <v>685</v>
      </c>
      <c r="C328">
        <v>1431</v>
      </c>
      <c r="D328" t="s">
        <v>32</v>
      </c>
      <c r="E328" t="s">
        <v>13</v>
      </c>
      <c r="F328" t="s">
        <v>64</v>
      </c>
      <c r="G328">
        <v>9</v>
      </c>
      <c r="H328">
        <v>68</v>
      </c>
      <c r="I328" t="s">
        <v>15</v>
      </c>
      <c r="J328">
        <v>5</v>
      </c>
      <c r="K328" s="1">
        <f t="shared" si="40"/>
        <v>45957</v>
      </c>
      <c r="L328" s="3">
        <f t="shared" si="41"/>
        <v>1.1333333333333333</v>
      </c>
      <c r="M328" s="3">
        <f t="shared" si="42"/>
        <v>0.15</v>
      </c>
      <c r="N328" t="str">
        <f t="shared" si="43"/>
        <v>Within SLA</v>
      </c>
      <c r="O328" t="str">
        <f t="shared" si="47"/>
        <v>Satisfied</v>
      </c>
      <c r="P328" t="str">
        <f t="shared" si="44"/>
        <v>Resolved</v>
      </c>
      <c r="Q328" s="2" t="str">
        <f t="shared" si="45"/>
        <v>Oct-2025</v>
      </c>
      <c r="R328" s="2">
        <f t="shared" si="46"/>
        <v>45931</v>
      </c>
    </row>
    <row r="329" spans="1:18">
      <c r="A329" t="s">
        <v>686</v>
      </c>
      <c r="B329" s="2" t="s">
        <v>687</v>
      </c>
      <c r="C329">
        <v>1879</v>
      </c>
      <c r="D329" t="s">
        <v>12</v>
      </c>
      <c r="E329" t="s">
        <v>19</v>
      </c>
      <c r="F329" t="s">
        <v>64</v>
      </c>
      <c r="G329">
        <v>16</v>
      </c>
      <c r="H329">
        <v>703</v>
      </c>
      <c r="I329" t="s">
        <v>15</v>
      </c>
      <c r="J329">
        <v>2</v>
      </c>
      <c r="K329" s="1">
        <f t="shared" si="40"/>
        <v>45958</v>
      </c>
      <c r="L329" s="3">
        <f t="shared" si="41"/>
        <v>11.716666666666667</v>
      </c>
      <c r="M329" s="3">
        <f t="shared" si="42"/>
        <v>0.26666666666666666</v>
      </c>
      <c r="N329" t="str">
        <f t="shared" si="43"/>
        <v>Within SLA</v>
      </c>
      <c r="O329" t="str">
        <f t="shared" si="47"/>
        <v>Dissatisfied</v>
      </c>
      <c r="P329" t="str">
        <f t="shared" si="44"/>
        <v>Resolved</v>
      </c>
      <c r="Q329" s="2" t="str">
        <f t="shared" si="45"/>
        <v>Oct-2025</v>
      </c>
      <c r="R329" s="2">
        <f t="shared" si="46"/>
        <v>45931</v>
      </c>
    </row>
    <row r="330" spans="1:18">
      <c r="A330" t="s">
        <v>688</v>
      </c>
      <c r="B330" s="2" t="s">
        <v>689</v>
      </c>
      <c r="C330">
        <v>1113</v>
      </c>
      <c r="D330" t="s">
        <v>12</v>
      </c>
      <c r="E330" t="s">
        <v>19</v>
      </c>
      <c r="F330" t="s">
        <v>23</v>
      </c>
      <c r="G330">
        <v>12</v>
      </c>
      <c r="H330">
        <v>180</v>
      </c>
      <c r="I330" t="s">
        <v>15</v>
      </c>
      <c r="J330">
        <v>2</v>
      </c>
      <c r="K330" s="1">
        <f t="shared" si="40"/>
        <v>45958</v>
      </c>
      <c r="L330" s="3">
        <f t="shared" si="41"/>
        <v>3</v>
      </c>
      <c r="M330" s="3">
        <f t="shared" si="42"/>
        <v>0.2</v>
      </c>
      <c r="N330" t="str">
        <f t="shared" si="43"/>
        <v>Within SLA</v>
      </c>
      <c r="O330" t="str">
        <f t="shared" si="47"/>
        <v>Dissatisfied</v>
      </c>
      <c r="P330" t="str">
        <f t="shared" si="44"/>
        <v>Resolved</v>
      </c>
      <c r="Q330" s="2" t="str">
        <f t="shared" si="45"/>
        <v>Oct-2025</v>
      </c>
      <c r="R330" s="2">
        <f t="shared" si="46"/>
        <v>45931</v>
      </c>
    </row>
    <row r="331" spans="1:18">
      <c r="A331" t="s">
        <v>690</v>
      </c>
      <c r="B331" s="2" t="s">
        <v>691</v>
      </c>
      <c r="C331">
        <v>1535</v>
      </c>
      <c r="D331" t="s">
        <v>26</v>
      </c>
      <c r="E331" t="s">
        <v>27</v>
      </c>
      <c r="F331" t="s">
        <v>23</v>
      </c>
      <c r="G331">
        <v>126</v>
      </c>
      <c r="H331">
        <v>2484</v>
      </c>
      <c r="I331" t="s">
        <v>20</v>
      </c>
      <c r="J331">
        <v>4</v>
      </c>
      <c r="K331" s="1">
        <f t="shared" si="40"/>
        <v>45959</v>
      </c>
      <c r="L331" s="3">
        <f t="shared" si="41"/>
        <v>41.4</v>
      </c>
      <c r="M331" s="3">
        <f t="shared" si="42"/>
        <v>2.1</v>
      </c>
      <c r="N331" t="str">
        <f t="shared" si="43"/>
        <v>Within SLA</v>
      </c>
      <c r="O331" t="str">
        <f t="shared" si="47"/>
        <v>Satisfied</v>
      </c>
      <c r="P331" t="str">
        <f t="shared" si="44"/>
        <v>Resolved</v>
      </c>
      <c r="Q331" s="2" t="str">
        <f t="shared" si="45"/>
        <v>Oct-2025</v>
      </c>
      <c r="R331" s="2">
        <f t="shared" si="46"/>
        <v>45931</v>
      </c>
    </row>
    <row r="332" spans="1:18">
      <c r="A332" t="s">
        <v>692</v>
      </c>
      <c r="B332" s="2" t="s">
        <v>693</v>
      </c>
      <c r="C332">
        <v>1395</v>
      </c>
      <c r="D332" t="s">
        <v>47</v>
      </c>
      <c r="E332" t="s">
        <v>13</v>
      </c>
      <c r="F332" t="s">
        <v>71</v>
      </c>
      <c r="G332">
        <v>10</v>
      </c>
      <c r="H332">
        <v>67</v>
      </c>
      <c r="I332" t="s">
        <v>15</v>
      </c>
      <c r="K332" s="1">
        <f t="shared" si="40"/>
        <v>45959</v>
      </c>
      <c r="L332" s="3">
        <f t="shared" si="41"/>
        <v>1.1166666666666667</v>
      </c>
      <c r="M332" s="3">
        <f t="shared" si="42"/>
        <v>0.16666666666666666</v>
      </c>
      <c r="N332" t="str">
        <f t="shared" si="43"/>
        <v>Within SLA</v>
      </c>
      <c r="O332" t="str">
        <f t="shared" si="47"/>
        <v>No Rating</v>
      </c>
      <c r="P332" t="str">
        <f t="shared" si="44"/>
        <v>Resolved</v>
      </c>
      <c r="Q332" s="2" t="str">
        <f t="shared" si="45"/>
        <v>Oct-2025</v>
      </c>
      <c r="R332" s="2">
        <f t="shared" si="46"/>
        <v>45931</v>
      </c>
    </row>
    <row r="333" spans="1:18">
      <c r="A333" t="s">
        <v>694</v>
      </c>
      <c r="B333" s="2" t="s">
        <v>695</v>
      </c>
      <c r="C333">
        <v>1831</v>
      </c>
      <c r="D333" t="s">
        <v>12</v>
      </c>
      <c r="E333" t="s">
        <v>13</v>
      </c>
      <c r="F333" t="s">
        <v>71</v>
      </c>
      <c r="G333">
        <v>7</v>
      </c>
      <c r="I333" t="s">
        <v>29</v>
      </c>
      <c r="K333" s="1">
        <f t="shared" si="40"/>
        <v>45959</v>
      </c>
      <c r="L333" s="3" t="str">
        <f t="shared" si="41"/>
        <v/>
      </c>
      <c r="M333" s="3">
        <f t="shared" si="42"/>
        <v>0.11666666666666667</v>
      </c>
      <c r="N333" t="str">
        <f t="shared" si="43"/>
        <v>Open</v>
      </c>
      <c r="O333" t="str">
        <f t="shared" si="47"/>
        <v>No Rating</v>
      </c>
      <c r="P333" t="str">
        <f t="shared" si="44"/>
        <v>Unresolved</v>
      </c>
      <c r="Q333" s="2" t="str">
        <f t="shared" si="45"/>
        <v>Oct-2025</v>
      </c>
      <c r="R333" s="2">
        <f t="shared" si="46"/>
        <v>45931</v>
      </c>
    </row>
    <row r="334" spans="1:18">
      <c r="A334" t="s">
        <v>696</v>
      </c>
      <c r="B334" s="2" t="s">
        <v>697</v>
      </c>
      <c r="C334">
        <v>1737</v>
      </c>
      <c r="D334" t="s">
        <v>26</v>
      </c>
      <c r="E334" t="s">
        <v>27</v>
      </c>
      <c r="F334" t="s">
        <v>34</v>
      </c>
      <c r="G334">
        <v>167</v>
      </c>
      <c r="H334">
        <v>2970</v>
      </c>
      <c r="I334" t="s">
        <v>15</v>
      </c>
      <c r="J334">
        <v>2</v>
      </c>
      <c r="K334" s="1">
        <f t="shared" si="40"/>
        <v>45960</v>
      </c>
      <c r="L334" s="3">
        <f t="shared" si="41"/>
        <v>49.5</v>
      </c>
      <c r="M334" s="3">
        <f t="shared" si="42"/>
        <v>2.7833333333333332</v>
      </c>
      <c r="N334" t="str">
        <f t="shared" si="43"/>
        <v>Breached</v>
      </c>
      <c r="O334" t="str">
        <f t="shared" si="47"/>
        <v>Dissatisfied</v>
      </c>
      <c r="P334" t="str">
        <f t="shared" si="44"/>
        <v>Resolved</v>
      </c>
      <c r="Q334" s="2" t="str">
        <f t="shared" si="45"/>
        <v>Oct-2025</v>
      </c>
      <c r="R334" s="2">
        <f t="shared" si="46"/>
        <v>45931</v>
      </c>
    </row>
    <row r="335" spans="1:18">
      <c r="A335" t="s">
        <v>698</v>
      </c>
      <c r="B335" s="2" t="s">
        <v>699</v>
      </c>
      <c r="C335">
        <v>1430</v>
      </c>
      <c r="D335" t="s">
        <v>26</v>
      </c>
      <c r="E335" t="s">
        <v>19</v>
      </c>
      <c r="F335" t="s">
        <v>34</v>
      </c>
      <c r="G335">
        <v>26</v>
      </c>
      <c r="H335">
        <v>571</v>
      </c>
      <c r="I335" t="s">
        <v>15</v>
      </c>
      <c r="J335">
        <v>3</v>
      </c>
      <c r="K335" s="1">
        <f t="shared" si="40"/>
        <v>45960</v>
      </c>
      <c r="L335" s="3">
        <f t="shared" si="41"/>
        <v>9.5166666666666675</v>
      </c>
      <c r="M335" s="3">
        <f t="shared" si="42"/>
        <v>0.43333333333333335</v>
      </c>
      <c r="N335" t="str">
        <f t="shared" si="43"/>
        <v>Within SLA</v>
      </c>
      <c r="O335" t="str">
        <f t="shared" si="47"/>
        <v>Neutral</v>
      </c>
      <c r="P335" t="str">
        <f t="shared" si="44"/>
        <v>Resolved</v>
      </c>
      <c r="Q335" s="2" t="str">
        <f t="shared" si="45"/>
        <v>Oct-2025</v>
      </c>
      <c r="R335" s="2">
        <f t="shared" si="46"/>
        <v>45931</v>
      </c>
    </row>
    <row r="336" spans="1:18">
      <c r="A336" t="s">
        <v>700</v>
      </c>
      <c r="B336" s="2" t="s">
        <v>701</v>
      </c>
      <c r="C336">
        <v>1753</v>
      </c>
      <c r="D336" t="s">
        <v>12</v>
      </c>
      <c r="E336" t="s">
        <v>27</v>
      </c>
      <c r="F336" t="s">
        <v>43</v>
      </c>
      <c r="G336">
        <v>33</v>
      </c>
      <c r="H336">
        <v>2486</v>
      </c>
      <c r="I336" t="s">
        <v>20</v>
      </c>
      <c r="J336">
        <v>2</v>
      </c>
      <c r="K336" s="1">
        <f t="shared" si="40"/>
        <v>45960</v>
      </c>
      <c r="L336" s="3">
        <f t="shared" si="41"/>
        <v>41.43333333333333</v>
      </c>
      <c r="M336" s="3">
        <f t="shared" si="42"/>
        <v>0.55000000000000004</v>
      </c>
      <c r="N336" t="str">
        <f t="shared" si="43"/>
        <v>Within SLA</v>
      </c>
      <c r="O336" t="str">
        <f t="shared" si="47"/>
        <v>Dissatisfied</v>
      </c>
      <c r="P336" t="str">
        <f t="shared" si="44"/>
        <v>Resolved</v>
      </c>
      <c r="Q336" s="2" t="str">
        <f t="shared" si="45"/>
        <v>Oct-2025</v>
      </c>
      <c r="R336" s="2">
        <f t="shared" si="46"/>
        <v>45931</v>
      </c>
    </row>
    <row r="337" spans="1:18">
      <c r="A337" t="s">
        <v>702</v>
      </c>
      <c r="B337" s="2" t="s">
        <v>703</v>
      </c>
      <c r="C337">
        <v>1848</v>
      </c>
      <c r="D337" t="s">
        <v>47</v>
      </c>
      <c r="E337" t="s">
        <v>13</v>
      </c>
      <c r="F337" t="s">
        <v>23</v>
      </c>
      <c r="G337">
        <v>3</v>
      </c>
      <c r="H337">
        <v>123</v>
      </c>
      <c r="I337" t="s">
        <v>15</v>
      </c>
      <c r="J337">
        <v>4</v>
      </c>
      <c r="K337" s="1">
        <f t="shared" si="40"/>
        <v>45961</v>
      </c>
      <c r="L337" s="3">
        <f t="shared" si="41"/>
        <v>2.0499999999999998</v>
      </c>
      <c r="M337" s="3">
        <f t="shared" si="42"/>
        <v>0.05</v>
      </c>
      <c r="N337" t="str">
        <f t="shared" si="43"/>
        <v>Within SLA</v>
      </c>
      <c r="O337" t="str">
        <f t="shared" si="47"/>
        <v>Satisfied</v>
      </c>
      <c r="P337" t="str">
        <f t="shared" si="44"/>
        <v>Resolved</v>
      </c>
      <c r="Q337" s="2" t="str">
        <f t="shared" si="45"/>
        <v>Oct-2025</v>
      </c>
      <c r="R337" s="2">
        <f t="shared" si="46"/>
        <v>45931</v>
      </c>
    </row>
    <row r="338" spans="1:18">
      <c r="A338" t="s">
        <v>704</v>
      </c>
      <c r="B338" s="2" t="s">
        <v>705</v>
      </c>
      <c r="C338">
        <v>1865</v>
      </c>
      <c r="D338" t="s">
        <v>47</v>
      </c>
      <c r="E338" t="s">
        <v>27</v>
      </c>
      <c r="F338" t="s">
        <v>64</v>
      </c>
      <c r="G338">
        <v>97</v>
      </c>
      <c r="H338">
        <v>2001</v>
      </c>
      <c r="I338" t="s">
        <v>20</v>
      </c>
      <c r="J338">
        <v>4</v>
      </c>
      <c r="K338" s="1">
        <f t="shared" si="40"/>
        <v>45961</v>
      </c>
      <c r="L338" s="3">
        <f t="shared" si="41"/>
        <v>33.35</v>
      </c>
      <c r="M338" s="3">
        <f t="shared" si="42"/>
        <v>1.6166666666666667</v>
      </c>
      <c r="N338" t="str">
        <f t="shared" si="43"/>
        <v>Within SLA</v>
      </c>
      <c r="O338" t="str">
        <f t="shared" si="47"/>
        <v>Satisfied</v>
      </c>
      <c r="P338" t="str">
        <f t="shared" si="44"/>
        <v>Resolved</v>
      </c>
      <c r="Q338" s="2" t="str">
        <f t="shared" si="45"/>
        <v>Oct-2025</v>
      </c>
      <c r="R338" s="2">
        <f t="shared" si="46"/>
        <v>45931</v>
      </c>
    </row>
    <row r="339" spans="1:18">
      <c r="A339" t="s">
        <v>706</v>
      </c>
      <c r="B339" s="2" t="s">
        <v>707</v>
      </c>
      <c r="C339">
        <v>1042</v>
      </c>
      <c r="D339" t="s">
        <v>32</v>
      </c>
      <c r="E339" t="s">
        <v>33</v>
      </c>
      <c r="F339" t="s">
        <v>28</v>
      </c>
      <c r="G339">
        <v>371</v>
      </c>
      <c r="H339">
        <v>2214</v>
      </c>
      <c r="I339" t="s">
        <v>20</v>
      </c>
      <c r="J339">
        <v>1</v>
      </c>
      <c r="K339" s="1">
        <f t="shared" si="40"/>
        <v>45962</v>
      </c>
      <c r="L339" s="3">
        <f t="shared" si="41"/>
        <v>36.9</v>
      </c>
      <c r="M339" s="3">
        <f t="shared" si="42"/>
        <v>6.1833333333333336</v>
      </c>
      <c r="N339" t="str">
        <f t="shared" si="43"/>
        <v>Within SLA</v>
      </c>
      <c r="O339" t="str">
        <f t="shared" si="47"/>
        <v>Dissatisfied</v>
      </c>
      <c r="P339" t="str">
        <f t="shared" si="44"/>
        <v>Resolved</v>
      </c>
      <c r="Q339" s="2" t="str">
        <f t="shared" si="45"/>
        <v>Nov-2025</v>
      </c>
      <c r="R339" s="2">
        <f t="shared" si="46"/>
        <v>45962</v>
      </c>
    </row>
    <row r="340" spans="1:18">
      <c r="A340" t="s">
        <v>708</v>
      </c>
      <c r="B340" s="2" t="s">
        <v>709</v>
      </c>
      <c r="C340">
        <v>1690</v>
      </c>
      <c r="D340" t="s">
        <v>26</v>
      </c>
      <c r="E340" t="s">
        <v>27</v>
      </c>
      <c r="F340" t="s">
        <v>28</v>
      </c>
      <c r="G340">
        <v>110</v>
      </c>
      <c r="H340">
        <v>3565</v>
      </c>
      <c r="I340" t="s">
        <v>20</v>
      </c>
      <c r="K340" s="1">
        <f t="shared" si="40"/>
        <v>45962</v>
      </c>
      <c r="L340" s="3">
        <f t="shared" si="41"/>
        <v>59.416666666666664</v>
      </c>
      <c r="M340" s="3">
        <f t="shared" si="42"/>
        <v>1.8333333333333333</v>
      </c>
      <c r="N340" t="str">
        <f t="shared" si="43"/>
        <v>Breached</v>
      </c>
      <c r="O340" t="str">
        <f t="shared" si="47"/>
        <v>No Rating</v>
      </c>
      <c r="P340" t="str">
        <f t="shared" si="44"/>
        <v>Resolved</v>
      </c>
      <c r="Q340" s="2" t="str">
        <f t="shared" si="45"/>
        <v>Nov-2025</v>
      </c>
      <c r="R340" s="2">
        <f t="shared" si="46"/>
        <v>45962</v>
      </c>
    </row>
    <row r="341" spans="1:18">
      <c r="A341" t="s">
        <v>710</v>
      </c>
      <c r="B341" s="2" t="s">
        <v>711</v>
      </c>
      <c r="C341">
        <v>1966</v>
      </c>
      <c r="D341" t="s">
        <v>18</v>
      </c>
      <c r="E341" t="s">
        <v>27</v>
      </c>
      <c r="F341" t="s">
        <v>23</v>
      </c>
      <c r="G341">
        <v>39</v>
      </c>
      <c r="H341">
        <v>1717</v>
      </c>
      <c r="I341" t="s">
        <v>15</v>
      </c>
      <c r="K341" s="1">
        <f t="shared" si="40"/>
        <v>45962</v>
      </c>
      <c r="L341" s="3">
        <f t="shared" si="41"/>
        <v>28.616666666666667</v>
      </c>
      <c r="M341" s="3">
        <f t="shared" si="42"/>
        <v>0.65</v>
      </c>
      <c r="N341" t="str">
        <f t="shared" si="43"/>
        <v>Within SLA</v>
      </c>
      <c r="O341" t="str">
        <f t="shared" si="47"/>
        <v>No Rating</v>
      </c>
      <c r="P341" t="str">
        <f t="shared" si="44"/>
        <v>Resolved</v>
      </c>
      <c r="Q341" s="2" t="str">
        <f t="shared" si="45"/>
        <v>Nov-2025</v>
      </c>
      <c r="R341" s="2">
        <f t="shared" si="46"/>
        <v>45962</v>
      </c>
    </row>
    <row r="342" spans="1:18">
      <c r="A342" t="s">
        <v>712</v>
      </c>
      <c r="B342" s="2" t="s">
        <v>713</v>
      </c>
      <c r="C342">
        <v>1074</v>
      </c>
      <c r="D342" t="s">
        <v>12</v>
      </c>
      <c r="E342" t="s">
        <v>19</v>
      </c>
      <c r="F342" t="s">
        <v>54</v>
      </c>
      <c r="G342">
        <v>41</v>
      </c>
      <c r="H342">
        <v>979</v>
      </c>
      <c r="I342" t="s">
        <v>15</v>
      </c>
      <c r="J342">
        <v>1</v>
      </c>
      <c r="K342" s="1">
        <f t="shared" si="40"/>
        <v>45963</v>
      </c>
      <c r="L342" s="3">
        <f t="shared" si="41"/>
        <v>16.316666666666666</v>
      </c>
      <c r="M342" s="3">
        <f t="shared" si="42"/>
        <v>0.68333333333333335</v>
      </c>
      <c r="N342" t="str">
        <f t="shared" si="43"/>
        <v>Within SLA</v>
      </c>
      <c r="O342" t="str">
        <f t="shared" si="47"/>
        <v>Dissatisfied</v>
      </c>
      <c r="P342" t="str">
        <f t="shared" si="44"/>
        <v>Resolved</v>
      </c>
      <c r="Q342" s="2" t="str">
        <f t="shared" si="45"/>
        <v>Nov-2025</v>
      </c>
      <c r="R342" s="2">
        <f t="shared" si="46"/>
        <v>45962</v>
      </c>
    </row>
    <row r="343" spans="1:18">
      <c r="A343" t="s">
        <v>714</v>
      </c>
      <c r="B343" s="2" t="s">
        <v>715</v>
      </c>
      <c r="C343">
        <v>1845</v>
      </c>
      <c r="D343" t="s">
        <v>26</v>
      </c>
      <c r="E343" t="s">
        <v>27</v>
      </c>
      <c r="F343" t="s">
        <v>54</v>
      </c>
      <c r="G343">
        <v>42</v>
      </c>
      <c r="H343">
        <v>1762</v>
      </c>
      <c r="I343" t="s">
        <v>15</v>
      </c>
      <c r="K343" s="1">
        <f t="shared" si="40"/>
        <v>45963</v>
      </c>
      <c r="L343" s="3">
        <f t="shared" si="41"/>
        <v>29.366666666666667</v>
      </c>
      <c r="M343" s="3">
        <f t="shared" si="42"/>
        <v>0.7</v>
      </c>
      <c r="N343" t="str">
        <f t="shared" si="43"/>
        <v>Within SLA</v>
      </c>
      <c r="O343" t="str">
        <f t="shared" si="47"/>
        <v>No Rating</v>
      </c>
      <c r="P343" t="str">
        <f t="shared" si="44"/>
        <v>Resolved</v>
      </c>
      <c r="Q343" s="2" t="str">
        <f t="shared" si="45"/>
        <v>Nov-2025</v>
      </c>
      <c r="R343" s="2">
        <f t="shared" si="46"/>
        <v>45962</v>
      </c>
    </row>
    <row r="344" spans="1:18">
      <c r="A344" t="s">
        <v>716</v>
      </c>
      <c r="B344" s="2" t="s">
        <v>717</v>
      </c>
      <c r="C344">
        <v>1105</v>
      </c>
      <c r="D344" t="s">
        <v>12</v>
      </c>
      <c r="E344" t="s">
        <v>27</v>
      </c>
      <c r="F344" t="s">
        <v>64</v>
      </c>
      <c r="G344">
        <v>141</v>
      </c>
      <c r="H344">
        <v>1823</v>
      </c>
      <c r="I344" t="s">
        <v>15</v>
      </c>
      <c r="K344" s="1">
        <f t="shared" si="40"/>
        <v>45963</v>
      </c>
      <c r="L344" s="3">
        <f t="shared" si="41"/>
        <v>30.383333333333333</v>
      </c>
      <c r="M344" s="3">
        <f t="shared" si="42"/>
        <v>2.35</v>
      </c>
      <c r="N344" t="str">
        <f t="shared" si="43"/>
        <v>Within SLA</v>
      </c>
      <c r="O344" t="str">
        <f t="shared" si="47"/>
        <v>No Rating</v>
      </c>
      <c r="P344" t="str">
        <f t="shared" si="44"/>
        <v>Resolved</v>
      </c>
      <c r="Q344" s="2" t="str">
        <f t="shared" si="45"/>
        <v>Nov-2025</v>
      </c>
      <c r="R344" s="2">
        <f t="shared" si="46"/>
        <v>45962</v>
      </c>
    </row>
    <row r="345" spans="1:18">
      <c r="A345" t="s">
        <v>718</v>
      </c>
      <c r="B345" s="2" t="s">
        <v>719</v>
      </c>
      <c r="C345">
        <v>1235</v>
      </c>
      <c r="D345" t="s">
        <v>47</v>
      </c>
      <c r="E345" t="s">
        <v>27</v>
      </c>
      <c r="F345" t="s">
        <v>23</v>
      </c>
      <c r="G345">
        <v>127</v>
      </c>
      <c r="H345">
        <v>3261</v>
      </c>
      <c r="I345" t="s">
        <v>15</v>
      </c>
      <c r="J345">
        <v>2</v>
      </c>
      <c r="K345" s="1">
        <f t="shared" si="40"/>
        <v>45964</v>
      </c>
      <c r="L345" s="3">
        <f t="shared" si="41"/>
        <v>54.35</v>
      </c>
      <c r="M345" s="3">
        <f t="shared" si="42"/>
        <v>2.1166666666666667</v>
      </c>
      <c r="N345" t="str">
        <f t="shared" si="43"/>
        <v>Breached</v>
      </c>
      <c r="O345" t="str">
        <f t="shared" si="47"/>
        <v>Dissatisfied</v>
      </c>
      <c r="P345" t="str">
        <f t="shared" si="44"/>
        <v>Resolved</v>
      </c>
      <c r="Q345" s="2" t="str">
        <f t="shared" si="45"/>
        <v>Nov-2025</v>
      </c>
      <c r="R345" s="2">
        <f t="shared" si="46"/>
        <v>45962</v>
      </c>
    </row>
    <row r="346" spans="1:18">
      <c r="A346" t="s">
        <v>720</v>
      </c>
      <c r="B346" s="2" t="s">
        <v>721</v>
      </c>
      <c r="C346">
        <v>1845</v>
      </c>
      <c r="D346" t="s">
        <v>47</v>
      </c>
      <c r="E346" t="s">
        <v>13</v>
      </c>
      <c r="F346" t="s">
        <v>43</v>
      </c>
      <c r="G346">
        <v>11</v>
      </c>
      <c r="H346">
        <v>244</v>
      </c>
      <c r="I346" t="s">
        <v>15</v>
      </c>
      <c r="K346" s="1">
        <f t="shared" si="40"/>
        <v>45964</v>
      </c>
      <c r="L346" s="3">
        <f t="shared" si="41"/>
        <v>4.0666666666666664</v>
      </c>
      <c r="M346" s="3">
        <f t="shared" si="42"/>
        <v>0.18333333333333332</v>
      </c>
      <c r="N346" t="str">
        <f t="shared" si="43"/>
        <v>Within SLA</v>
      </c>
      <c r="O346" t="str">
        <f t="shared" si="47"/>
        <v>No Rating</v>
      </c>
      <c r="P346" t="str">
        <f t="shared" si="44"/>
        <v>Resolved</v>
      </c>
      <c r="Q346" s="2" t="str">
        <f t="shared" si="45"/>
        <v>Nov-2025</v>
      </c>
      <c r="R346" s="2">
        <f t="shared" si="46"/>
        <v>45962</v>
      </c>
    </row>
    <row r="347" spans="1:18">
      <c r="A347" t="s">
        <v>722</v>
      </c>
      <c r="B347" s="2" t="s">
        <v>723</v>
      </c>
      <c r="C347">
        <v>1562</v>
      </c>
      <c r="D347" t="s">
        <v>32</v>
      </c>
      <c r="E347" t="s">
        <v>33</v>
      </c>
      <c r="F347" t="s">
        <v>54</v>
      </c>
      <c r="G347">
        <v>314</v>
      </c>
      <c r="H347">
        <v>6918</v>
      </c>
      <c r="I347" t="s">
        <v>15</v>
      </c>
      <c r="K347" s="1">
        <f t="shared" si="40"/>
        <v>45964</v>
      </c>
      <c r="L347" s="3">
        <f t="shared" si="41"/>
        <v>115.3</v>
      </c>
      <c r="M347" s="3">
        <f t="shared" si="42"/>
        <v>5.2333333333333334</v>
      </c>
      <c r="N347" t="str">
        <f t="shared" si="43"/>
        <v>Breached</v>
      </c>
      <c r="O347" t="str">
        <f t="shared" si="47"/>
        <v>No Rating</v>
      </c>
      <c r="P347" t="str">
        <f t="shared" si="44"/>
        <v>Resolved</v>
      </c>
      <c r="Q347" s="2" t="str">
        <f t="shared" si="45"/>
        <v>Nov-2025</v>
      </c>
      <c r="R347" s="2">
        <f t="shared" si="46"/>
        <v>45962</v>
      </c>
    </row>
    <row r="348" spans="1:18">
      <c r="A348" t="s">
        <v>724</v>
      </c>
      <c r="B348" s="2" t="s">
        <v>725</v>
      </c>
      <c r="C348">
        <v>1460</v>
      </c>
      <c r="D348" t="s">
        <v>47</v>
      </c>
      <c r="E348" t="s">
        <v>19</v>
      </c>
      <c r="F348" t="s">
        <v>43</v>
      </c>
      <c r="G348">
        <v>28</v>
      </c>
      <c r="H348">
        <v>1185</v>
      </c>
      <c r="I348" t="s">
        <v>15</v>
      </c>
      <c r="K348" s="1">
        <f t="shared" si="40"/>
        <v>45965</v>
      </c>
      <c r="L348" s="3">
        <f t="shared" si="41"/>
        <v>19.75</v>
      </c>
      <c r="M348" s="3">
        <f t="shared" si="42"/>
        <v>0.46666666666666667</v>
      </c>
      <c r="N348" t="str">
        <f t="shared" si="43"/>
        <v>Within SLA</v>
      </c>
      <c r="O348" t="str">
        <f t="shared" si="47"/>
        <v>No Rating</v>
      </c>
      <c r="P348" t="str">
        <f t="shared" si="44"/>
        <v>Resolved</v>
      </c>
      <c r="Q348" s="2" t="str">
        <f t="shared" si="45"/>
        <v>Nov-2025</v>
      </c>
      <c r="R348" s="2">
        <f t="shared" si="46"/>
        <v>45962</v>
      </c>
    </row>
    <row r="349" spans="1:18">
      <c r="A349" t="s">
        <v>726</v>
      </c>
      <c r="B349" s="2" t="s">
        <v>727</v>
      </c>
      <c r="C349">
        <v>1028</v>
      </c>
      <c r="D349" t="s">
        <v>32</v>
      </c>
      <c r="E349" t="s">
        <v>27</v>
      </c>
      <c r="F349" t="s">
        <v>64</v>
      </c>
      <c r="G349">
        <v>29</v>
      </c>
      <c r="H349">
        <v>463</v>
      </c>
      <c r="I349" t="s">
        <v>15</v>
      </c>
      <c r="J349">
        <v>4</v>
      </c>
      <c r="K349" s="1">
        <f t="shared" si="40"/>
        <v>45965</v>
      </c>
      <c r="L349" s="3">
        <f t="shared" si="41"/>
        <v>7.7166666666666668</v>
      </c>
      <c r="M349" s="3">
        <f t="shared" si="42"/>
        <v>0.48333333333333334</v>
      </c>
      <c r="N349" t="str">
        <f t="shared" si="43"/>
        <v>Within SLA</v>
      </c>
      <c r="O349" t="str">
        <f t="shared" si="47"/>
        <v>Satisfied</v>
      </c>
      <c r="P349" t="str">
        <f t="shared" si="44"/>
        <v>Resolved</v>
      </c>
      <c r="Q349" s="2" t="str">
        <f t="shared" si="45"/>
        <v>Nov-2025</v>
      </c>
      <c r="R349" s="2">
        <f t="shared" si="46"/>
        <v>45962</v>
      </c>
    </row>
    <row r="350" spans="1:18">
      <c r="A350" t="s">
        <v>728</v>
      </c>
      <c r="B350" s="2" t="s">
        <v>729</v>
      </c>
      <c r="C350">
        <v>1477</v>
      </c>
      <c r="D350" t="s">
        <v>12</v>
      </c>
      <c r="E350" t="s">
        <v>33</v>
      </c>
      <c r="F350" t="s">
        <v>43</v>
      </c>
      <c r="G350">
        <v>220</v>
      </c>
      <c r="H350">
        <v>4009</v>
      </c>
      <c r="I350" t="s">
        <v>15</v>
      </c>
      <c r="J350">
        <v>1</v>
      </c>
      <c r="K350" s="1">
        <f t="shared" si="40"/>
        <v>45966</v>
      </c>
      <c r="L350" s="3">
        <f t="shared" si="41"/>
        <v>66.816666666666663</v>
      </c>
      <c r="M350" s="3">
        <f t="shared" si="42"/>
        <v>3.6666666666666665</v>
      </c>
      <c r="N350" t="str">
        <f t="shared" si="43"/>
        <v>Within SLA</v>
      </c>
      <c r="O350" t="str">
        <f t="shared" si="47"/>
        <v>Dissatisfied</v>
      </c>
      <c r="P350" t="str">
        <f t="shared" si="44"/>
        <v>Resolved</v>
      </c>
      <c r="Q350" s="2" t="str">
        <f t="shared" si="45"/>
        <v>Nov-2025</v>
      </c>
      <c r="R350" s="2">
        <f t="shared" si="46"/>
        <v>45962</v>
      </c>
    </row>
    <row r="351" spans="1:18">
      <c r="A351" t="s">
        <v>730</v>
      </c>
      <c r="B351" s="2" t="s">
        <v>731</v>
      </c>
      <c r="C351">
        <v>1109</v>
      </c>
      <c r="D351" t="s">
        <v>32</v>
      </c>
      <c r="E351" t="s">
        <v>13</v>
      </c>
      <c r="F351" t="s">
        <v>34</v>
      </c>
      <c r="G351">
        <v>10</v>
      </c>
      <c r="H351">
        <v>223</v>
      </c>
      <c r="I351" t="s">
        <v>15</v>
      </c>
      <c r="K351" s="1">
        <f t="shared" si="40"/>
        <v>45966</v>
      </c>
      <c r="L351" s="3">
        <f t="shared" si="41"/>
        <v>3.7166666666666668</v>
      </c>
      <c r="M351" s="3">
        <f t="shared" si="42"/>
        <v>0.16666666666666666</v>
      </c>
      <c r="N351" t="str">
        <f t="shared" si="43"/>
        <v>Within SLA</v>
      </c>
      <c r="O351" t="str">
        <f t="shared" si="47"/>
        <v>No Rating</v>
      </c>
      <c r="P351" t="str">
        <f t="shared" si="44"/>
        <v>Resolved</v>
      </c>
      <c r="Q351" s="2" t="str">
        <f t="shared" si="45"/>
        <v>Nov-2025</v>
      </c>
      <c r="R351" s="2">
        <f t="shared" si="46"/>
        <v>45962</v>
      </c>
    </row>
    <row r="352" spans="1:18">
      <c r="A352" t="s">
        <v>732</v>
      </c>
      <c r="B352" s="2" t="s">
        <v>733</v>
      </c>
      <c r="C352">
        <v>1986</v>
      </c>
      <c r="D352" t="s">
        <v>26</v>
      </c>
      <c r="E352" t="s">
        <v>27</v>
      </c>
      <c r="F352" t="s">
        <v>14</v>
      </c>
      <c r="G352">
        <v>160</v>
      </c>
      <c r="H352">
        <v>1009</v>
      </c>
      <c r="I352" t="s">
        <v>15</v>
      </c>
      <c r="J352">
        <v>5</v>
      </c>
      <c r="K352" s="1">
        <f t="shared" si="40"/>
        <v>45966</v>
      </c>
      <c r="L352" s="3">
        <f t="shared" si="41"/>
        <v>16.816666666666666</v>
      </c>
      <c r="M352" s="3">
        <f t="shared" si="42"/>
        <v>2.6666666666666665</v>
      </c>
      <c r="N352" t="str">
        <f t="shared" si="43"/>
        <v>Within SLA</v>
      </c>
      <c r="O352" t="str">
        <f t="shared" si="47"/>
        <v>Satisfied</v>
      </c>
      <c r="P352" t="str">
        <f t="shared" si="44"/>
        <v>Resolved</v>
      </c>
      <c r="Q352" s="2" t="str">
        <f t="shared" si="45"/>
        <v>Nov-2025</v>
      </c>
      <c r="R352" s="2">
        <f t="shared" si="46"/>
        <v>45962</v>
      </c>
    </row>
    <row r="353" spans="1:18">
      <c r="A353" t="s">
        <v>734</v>
      </c>
      <c r="B353" s="2" t="s">
        <v>735</v>
      </c>
      <c r="C353">
        <v>1554</v>
      </c>
      <c r="D353" t="s">
        <v>47</v>
      </c>
      <c r="E353" t="s">
        <v>19</v>
      </c>
      <c r="F353" t="s">
        <v>14</v>
      </c>
      <c r="G353">
        <v>36</v>
      </c>
      <c r="H353">
        <v>820</v>
      </c>
      <c r="I353" t="s">
        <v>20</v>
      </c>
      <c r="K353" s="1">
        <f t="shared" si="40"/>
        <v>45967</v>
      </c>
      <c r="L353" s="3">
        <f t="shared" si="41"/>
        <v>13.666666666666666</v>
      </c>
      <c r="M353" s="3">
        <f t="shared" si="42"/>
        <v>0.6</v>
      </c>
      <c r="N353" t="str">
        <f t="shared" si="43"/>
        <v>Within SLA</v>
      </c>
      <c r="O353" t="str">
        <f t="shared" si="47"/>
        <v>No Rating</v>
      </c>
      <c r="P353" t="str">
        <f t="shared" si="44"/>
        <v>Resolved</v>
      </c>
      <c r="Q353" s="2" t="str">
        <f t="shared" si="45"/>
        <v>Nov-2025</v>
      </c>
      <c r="R353" s="2">
        <f t="shared" si="46"/>
        <v>45962</v>
      </c>
    </row>
    <row r="354" spans="1:18">
      <c r="A354" t="s">
        <v>736</v>
      </c>
      <c r="B354" s="2" t="s">
        <v>737</v>
      </c>
      <c r="C354">
        <v>1817</v>
      </c>
      <c r="D354" t="s">
        <v>18</v>
      </c>
      <c r="E354" t="s">
        <v>19</v>
      </c>
      <c r="F354" t="s">
        <v>28</v>
      </c>
      <c r="G354">
        <v>17</v>
      </c>
      <c r="H354">
        <v>661</v>
      </c>
      <c r="I354" t="s">
        <v>15</v>
      </c>
      <c r="J354">
        <v>1</v>
      </c>
      <c r="K354" s="1">
        <f t="shared" si="40"/>
        <v>45967</v>
      </c>
      <c r="L354" s="3">
        <f t="shared" si="41"/>
        <v>11.016666666666667</v>
      </c>
      <c r="M354" s="3">
        <f t="shared" si="42"/>
        <v>0.28333333333333333</v>
      </c>
      <c r="N354" t="str">
        <f t="shared" si="43"/>
        <v>Within SLA</v>
      </c>
      <c r="O354" t="str">
        <f t="shared" si="47"/>
        <v>Dissatisfied</v>
      </c>
      <c r="P354" t="str">
        <f t="shared" si="44"/>
        <v>Resolved</v>
      </c>
      <c r="Q354" s="2" t="str">
        <f t="shared" si="45"/>
        <v>Nov-2025</v>
      </c>
      <c r="R354" s="2">
        <f t="shared" si="46"/>
        <v>45962</v>
      </c>
    </row>
    <row r="355" spans="1:18">
      <c r="A355" t="s">
        <v>738</v>
      </c>
      <c r="B355" s="2" t="s">
        <v>739</v>
      </c>
      <c r="C355">
        <v>1268</v>
      </c>
      <c r="D355" t="s">
        <v>12</v>
      </c>
      <c r="E355" t="s">
        <v>19</v>
      </c>
      <c r="F355" t="s">
        <v>64</v>
      </c>
      <c r="G355">
        <v>22</v>
      </c>
      <c r="H355">
        <v>826</v>
      </c>
      <c r="I355" t="s">
        <v>20</v>
      </c>
      <c r="K355" s="1">
        <f t="shared" si="40"/>
        <v>45967</v>
      </c>
      <c r="L355" s="3">
        <f t="shared" si="41"/>
        <v>13.766666666666667</v>
      </c>
      <c r="M355" s="3">
        <f t="shared" si="42"/>
        <v>0.36666666666666664</v>
      </c>
      <c r="N355" t="str">
        <f t="shared" si="43"/>
        <v>Within SLA</v>
      </c>
      <c r="O355" t="str">
        <f t="shared" si="47"/>
        <v>No Rating</v>
      </c>
      <c r="P355" t="str">
        <f t="shared" si="44"/>
        <v>Resolved</v>
      </c>
      <c r="Q355" s="2" t="str">
        <f t="shared" si="45"/>
        <v>Nov-2025</v>
      </c>
      <c r="R355" s="2">
        <f t="shared" si="46"/>
        <v>45962</v>
      </c>
    </row>
    <row r="356" spans="1:18">
      <c r="A356" t="s">
        <v>740</v>
      </c>
      <c r="B356" s="2" t="s">
        <v>741</v>
      </c>
      <c r="C356">
        <v>1123</v>
      </c>
      <c r="D356" t="s">
        <v>32</v>
      </c>
      <c r="E356" t="s">
        <v>27</v>
      </c>
      <c r="F356" t="s">
        <v>54</v>
      </c>
      <c r="G356">
        <v>109</v>
      </c>
      <c r="H356">
        <v>2817</v>
      </c>
      <c r="I356" t="s">
        <v>15</v>
      </c>
      <c r="J356">
        <v>3</v>
      </c>
      <c r="K356" s="1">
        <f t="shared" si="40"/>
        <v>45968</v>
      </c>
      <c r="L356" s="3">
        <f t="shared" si="41"/>
        <v>46.95</v>
      </c>
      <c r="M356" s="3">
        <f t="shared" si="42"/>
        <v>1.8166666666666667</v>
      </c>
      <c r="N356" t="str">
        <f t="shared" si="43"/>
        <v>Within SLA</v>
      </c>
      <c r="O356" t="str">
        <f t="shared" si="47"/>
        <v>Neutral</v>
      </c>
      <c r="P356" t="str">
        <f t="shared" si="44"/>
        <v>Resolved</v>
      </c>
      <c r="Q356" s="2" t="str">
        <f t="shared" si="45"/>
        <v>Nov-2025</v>
      </c>
      <c r="R356" s="2">
        <f t="shared" si="46"/>
        <v>45962</v>
      </c>
    </row>
    <row r="357" spans="1:18">
      <c r="A357" t="s">
        <v>742</v>
      </c>
      <c r="B357" s="2" t="s">
        <v>743</v>
      </c>
      <c r="C357">
        <v>1900</v>
      </c>
      <c r="D357" t="s">
        <v>18</v>
      </c>
      <c r="E357" t="s">
        <v>13</v>
      </c>
      <c r="F357" t="s">
        <v>54</v>
      </c>
      <c r="G357">
        <v>9</v>
      </c>
      <c r="H357">
        <v>254</v>
      </c>
      <c r="I357" t="s">
        <v>15</v>
      </c>
      <c r="J357">
        <v>5</v>
      </c>
      <c r="K357" s="1">
        <f t="shared" si="40"/>
        <v>45968</v>
      </c>
      <c r="L357" s="3">
        <f t="shared" si="41"/>
        <v>4.2333333333333334</v>
      </c>
      <c r="M357" s="3">
        <f t="shared" si="42"/>
        <v>0.15</v>
      </c>
      <c r="N357" t="str">
        <f t="shared" si="43"/>
        <v>Within SLA</v>
      </c>
      <c r="O357" t="str">
        <f t="shared" si="47"/>
        <v>Satisfied</v>
      </c>
      <c r="P357" t="str">
        <f t="shared" si="44"/>
        <v>Resolved</v>
      </c>
      <c r="Q357" s="2" t="str">
        <f t="shared" si="45"/>
        <v>Nov-2025</v>
      </c>
      <c r="R357" s="2">
        <f t="shared" si="46"/>
        <v>45962</v>
      </c>
    </row>
    <row r="358" spans="1:18">
      <c r="A358" t="s">
        <v>744</v>
      </c>
      <c r="B358" s="2" t="s">
        <v>745</v>
      </c>
      <c r="C358">
        <v>1239</v>
      </c>
      <c r="D358" t="s">
        <v>18</v>
      </c>
      <c r="E358" t="s">
        <v>13</v>
      </c>
      <c r="F358" t="s">
        <v>23</v>
      </c>
      <c r="G358">
        <v>12</v>
      </c>
      <c r="H358">
        <v>108</v>
      </c>
      <c r="I358" t="s">
        <v>15</v>
      </c>
      <c r="J358">
        <v>5</v>
      </c>
      <c r="K358" s="1">
        <f t="shared" si="40"/>
        <v>45968</v>
      </c>
      <c r="L358" s="3">
        <f t="shared" si="41"/>
        <v>1.8</v>
      </c>
      <c r="M358" s="3">
        <f t="shared" si="42"/>
        <v>0.2</v>
      </c>
      <c r="N358" t="str">
        <f t="shared" si="43"/>
        <v>Within SLA</v>
      </c>
      <c r="O358" t="str">
        <f t="shared" si="47"/>
        <v>Satisfied</v>
      </c>
      <c r="P358" t="str">
        <f t="shared" si="44"/>
        <v>Resolved</v>
      </c>
      <c r="Q358" s="2" t="str">
        <f t="shared" si="45"/>
        <v>Nov-2025</v>
      </c>
      <c r="R358" s="2">
        <f t="shared" si="46"/>
        <v>45962</v>
      </c>
    </row>
    <row r="359" spans="1:18">
      <c r="A359" t="s">
        <v>746</v>
      </c>
      <c r="B359" s="2" t="s">
        <v>747</v>
      </c>
      <c r="C359">
        <v>1253</v>
      </c>
      <c r="D359" t="s">
        <v>32</v>
      </c>
      <c r="E359" t="s">
        <v>33</v>
      </c>
      <c r="F359" t="s">
        <v>71</v>
      </c>
      <c r="G359">
        <v>143</v>
      </c>
      <c r="H359">
        <v>4015</v>
      </c>
      <c r="I359" t="s">
        <v>15</v>
      </c>
      <c r="J359">
        <v>1</v>
      </c>
      <c r="K359" s="1">
        <f t="shared" si="40"/>
        <v>45969</v>
      </c>
      <c r="L359" s="3">
        <f t="shared" si="41"/>
        <v>66.916666666666671</v>
      </c>
      <c r="M359" s="3">
        <f t="shared" si="42"/>
        <v>2.3833333333333333</v>
      </c>
      <c r="N359" t="str">
        <f t="shared" si="43"/>
        <v>Within SLA</v>
      </c>
      <c r="O359" t="str">
        <f t="shared" si="47"/>
        <v>Dissatisfied</v>
      </c>
      <c r="P359" t="str">
        <f t="shared" si="44"/>
        <v>Resolved</v>
      </c>
      <c r="Q359" s="2" t="str">
        <f t="shared" si="45"/>
        <v>Nov-2025</v>
      </c>
      <c r="R359" s="2">
        <f t="shared" si="46"/>
        <v>45962</v>
      </c>
    </row>
    <row r="360" spans="1:18">
      <c r="A360" t="s">
        <v>748</v>
      </c>
      <c r="B360" s="2" t="s">
        <v>749</v>
      </c>
      <c r="C360">
        <v>1098</v>
      </c>
      <c r="D360" t="s">
        <v>12</v>
      </c>
      <c r="E360" t="s">
        <v>33</v>
      </c>
      <c r="F360" t="s">
        <v>54</v>
      </c>
      <c r="G360">
        <v>382</v>
      </c>
      <c r="H360">
        <v>2671</v>
      </c>
      <c r="I360" t="s">
        <v>20</v>
      </c>
      <c r="J360">
        <v>1</v>
      </c>
      <c r="K360" s="1">
        <f t="shared" si="40"/>
        <v>45969</v>
      </c>
      <c r="L360" s="3">
        <f t="shared" si="41"/>
        <v>44.516666666666666</v>
      </c>
      <c r="M360" s="3">
        <f t="shared" si="42"/>
        <v>6.3666666666666663</v>
      </c>
      <c r="N360" t="str">
        <f t="shared" si="43"/>
        <v>Within SLA</v>
      </c>
      <c r="O360" t="str">
        <f t="shared" si="47"/>
        <v>Dissatisfied</v>
      </c>
      <c r="P360" t="str">
        <f t="shared" si="44"/>
        <v>Resolved</v>
      </c>
      <c r="Q360" s="2" t="str">
        <f t="shared" si="45"/>
        <v>Nov-2025</v>
      </c>
      <c r="R360" s="2">
        <f t="shared" si="46"/>
        <v>45962</v>
      </c>
    </row>
    <row r="361" spans="1:18">
      <c r="A361" t="s">
        <v>750</v>
      </c>
      <c r="B361" s="2" t="s">
        <v>751</v>
      </c>
      <c r="C361">
        <v>1192</v>
      </c>
      <c r="D361" t="s">
        <v>47</v>
      </c>
      <c r="E361" t="s">
        <v>27</v>
      </c>
      <c r="F361" t="s">
        <v>23</v>
      </c>
      <c r="G361">
        <v>70</v>
      </c>
      <c r="I361" t="s">
        <v>29</v>
      </c>
      <c r="K361" s="1">
        <f t="shared" si="40"/>
        <v>45970</v>
      </c>
      <c r="L361" s="3" t="str">
        <f t="shared" si="41"/>
        <v/>
      </c>
      <c r="M361" s="3">
        <f t="shared" si="42"/>
        <v>1.1666666666666667</v>
      </c>
      <c r="N361" t="str">
        <f t="shared" si="43"/>
        <v>Open</v>
      </c>
      <c r="O361" t="str">
        <f t="shared" si="47"/>
        <v>No Rating</v>
      </c>
      <c r="P361" t="str">
        <f t="shared" si="44"/>
        <v>Unresolved</v>
      </c>
      <c r="Q361" s="2" t="str">
        <f t="shared" si="45"/>
        <v>Nov-2025</v>
      </c>
      <c r="R361" s="2">
        <f t="shared" si="46"/>
        <v>45962</v>
      </c>
    </row>
    <row r="362" spans="1:18">
      <c r="A362" t="s">
        <v>752</v>
      </c>
      <c r="B362" s="2" t="s">
        <v>753</v>
      </c>
      <c r="C362">
        <v>1832</v>
      </c>
      <c r="D362" t="s">
        <v>32</v>
      </c>
      <c r="E362" t="s">
        <v>33</v>
      </c>
      <c r="F362" t="s">
        <v>71</v>
      </c>
      <c r="G362">
        <v>437</v>
      </c>
      <c r="H362">
        <v>7197</v>
      </c>
      <c r="I362" t="s">
        <v>15</v>
      </c>
      <c r="J362">
        <v>1</v>
      </c>
      <c r="K362" s="1">
        <f t="shared" si="40"/>
        <v>45970</v>
      </c>
      <c r="L362" s="3">
        <f t="shared" si="41"/>
        <v>119.95</v>
      </c>
      <c r="M362" s="3">
        <f t="shared" si="42"/>
        <v>7.2833333333333332</v>
      </c>
      <c r="N362" t="str">
        <f t="shared" si="43"/>
        <v>Breached</v>
      </c>
      <c r="O362" t="str">
        <f t="shared" si="47"/>
        <v>Dissatisfied</v>
      </c>
      <c r="P362" t="str">
        <f t="shared" si="44"/>
        <v>Resolved</v>
      </c>
      <c r="Q362" s="2" t="str">
        <f t="shared" si="45"/>
        <v>Nov-2025</v>
      </c>
      <c r="R362" s="2">
        <f t="shared" si="46"/>
        <v>45962</v>
      </c>
    </row>
    <row r="363" spans="1:18">
      <c r="A363" t="s">
        <v>754</v>
      </c>
      <c r="B363" s="2" t="s">
        <v>755</v>
      </c>
      <c r="C363">
        <v>1960</v>
      </c>
      <c r="D363" t="s">
        <v>18</v>
      </c>
      <c r="E363" t="s">
        <v>19</v>
      </c>
      <c r="F363" t="s">
        <v>71</v>
      </c>
      <c r="G363">
        <v>22</v>
      </c>
      <c r="H363">
        <v>792</v>
      </c>
      <c r="I363" t="s">
        <v>15</v>
      </c>
      <c r="K363" s="1">
        <f t="shared" si="40"/>
        <v>45970</v>
      </c>
      <c r="L363" s="3">
        <f t="shared" si="41"/>
        <v>13.2</v>
      </c>
      <c r="M363" s="3">
        <f t="shared" si="42"/>
        <v>0.36666666666666664</v>
      </c>
      <c r="N363" t="str">
        <f t="shared" si="43"/>
        <v>Within SLA</v>
      </c>
      <c r="O363" t="str">
        <f t="shared" si="47"/>
        <v>No Rating</v>
      </c>
      <c r="P363" t="str">
        <f t="shared" si="44"/>
        <v>Resolved</v>
      </c>
      <c r="Q363" s="2" t="str">
        <f t="shared" si="45"/>
        <v>Nov-2025</v>
      </c>
      <c r="R363" s="2">
        <f t="shared" si="46"/>
        <v>45962</v>
      </c>
    </row>
    <row r="364" spans="1:18">
      <c r="A364" t="s">
        <v>756</v>
      </c>
      <c r="B364" s="2" t="s">
        <v>757</v>
      </c>
      <c r="C364">
        <v>1171</v>
      </c>
      <c r="D364" t="s">
        <v>26</v>
      </c>
      <c r="E364" t="s">
        <v>33</v>
      </c>
      <c r="F364" t="s">
        <v>64</v>
      </c>
      <c r="G364">
        <v>203</v>
      </c>
      <c r="H364">
        <v>1548</v>
      </c>
      <c r="I364" t="s">
        <v>20</v>
      </c>
      <c r="J364">
        <v>3</v>
      </c>
      <c r="K364" s="1">
        <f t="shared" si="40"/>
        <v>45971</v>
      </c>
      <c r="L364" s="3">
        <f t="shared" si="41"/>
        <v>25.8</v>
      </c>
      <c r="M364" s="3">
        <f t="shared" si="42"/>
        <v>3.3833333333333333</v>
      </c>
      <c r="N364" t="str">
        <f t="shared" si="43"/>
        <v>Within SLA</v>
      </c>
      <c r="O364" t="str">
        <f t="shared" si="47"/>
        <v>Neutral</v>
      </c>
      <c r="P364" t="str">
        <f t="shared" si="44"/>
        <v>Resolved</v>
      </c>
      <c r="Q364" s="2" t="str">
        <f t="shared" si="45"/>
        <v>Nov-2025</v>
      </c>
      <c r="R364" s="2">
        <f t="shared" si="46"/>
        <v>45962</v>
      </c>
    </row>
    <row r="365" spans="1:18">
      <c r="A365" t="s">
        <v>758</v>
      </c>
      <c r="B365" s="2" t="s">
        <v>759</v>
      </c>
      <c r="C365">
        <v>1965</v>
      </c>
      <c r="D365" t="s">
        <v>18</v>
      </c>
      <c r="E365" t="s">
        <v>27</v>
      </c>
      <c r="F365" t="s">
        <v>34</v>
      </c>
      <c r="G365">
        <v>36</v>
      </c>
      <c r="H365">
        <v>2348</v>
      </c>
      <c r="I365" t="s">
        <v>15</v>
      </c>
      <c r="K365" s="1">
        <f t="shared" si="40"/>
        <v>45971</v>
      </c>
      <c r="L365" s="3">
        <f t="shared" si="41"/>
        <v>39.133333333333333</v>
      </c>
      <c r="M365" s="3">
        <f t="shared" si="42"/>
        <v>0.6</v>
      </c>
      <c r="N365" t="str">
        <f t="shared" si="43"/>
        <v>Within SLA</v>
      </c>
      <c r="O365" t="str">
        <f t="shared" si="47"/>
        <v>No Rating</v>
      </c>
      <c r="P365" t="str">
        <f t="shared" si="44"/>
        <v>Resolved</v>
      </c>
      <c r="Q365" s="2" t="str">
        <f t="shared" si="45"/>
        <v>Nov-2025</v>
      </c>
      <c r="R365" s="2">
        <f t="shared" si="46"/>
        <v>45962</v>
      </c>
    </row>
    <row r="366" spans="1:18">
      <c r="A366" t="s">
        <v>760</v>
      </c>
      <c r="B366" s="2" t="s">
        <v>761</v>
      </c>
      <c r="C366">
        <v>1194</v>
      </c>
      <c r="D366" t="s">
        <v>12</v>
      </c>
      <c r="E366" t="s">
        <v>13</v>
      </c>
      <c r="F366" t="s">
        <v>71</v>
      </c>
      <c r="G366">
        <v>6</v>
      </c>
      <c r="H366">
        <v>302</v>
      </c>
      <c r="I366" t="s">
        <v>20</v>
      </c>
      <c r="K366" s="1">
        <f t="shared" si="40"/>
        <v>45971</v>
      </c>
      <c r="L366" s="3">
        <f t="shared" si="41"/>
        <v>5.0333333333333332</v>
      </c>
      <c r="M366" s="3">
        <f t="shared" si="42"/>
        <v>0.1</v>
      </c>
      <c r="N366" t="str">
        <f t="shared" si="43"/>
        <v>Within SLA</v>
      </c>
      <c r="O366" t="str">
        <f t="shared" si="47"/>
        <v>No Rating</v>
      </c>
      <c r="P366" t="str">
        <f t="shared" si="44"/>
        <v>Resolved</v>
      </c>
      <c r="Q366" s="2" t="str">
        <f t="shared" si="45"/>
        <v>Nov-2025</v>
      </c>
      <c r="R366" s="2">
        <f t="shared" si="46"/>
        <v>45962</v>
      </c>
    </row>
    <row r="367" spans="1:18">
      <c r="A367" t="s">
        <v>762</v>
      </c>
      <c r="B367" s="2" t="s">
        <v>763</v>
      </c>
      <c r="C367">
        <v>1212</v>
      </c>
      <c r="D367" t="s">
        <v>32</v>
      </c>
      <c r="E367" t="s">
        <v>27</v>
      </c>
      <c r="F367" t="s">
        <v>34</v>
      </c>
      <c r="G367">
        <v>129</v>
      </c>
      <c r="H367">
        <v>2181</v>
      </c>
      <c r="I367" t="s">
        <v>15</v>
      </c>
      <c r="J367">
        <v>5</v>
      </c>
      <c r="K367" s="1">
        <f t="shared" si="40"/>
        <v>45972</v>
      </c>
      <c r="L367" s="3">
        <f t="shared" si="41"/>
        <v>36.35</v>
      </c>
      <c r="M367" s="3">
        <f t="shared" si="42"/>
        <v>2.15</v>
      </c>
      <c r="N367" t="str">
        <f t="shared" si="43"/>
        <v>Within SLA</v>
      </c>
      <c r="O367" t="str">
        <f t="shared" si="47"/>
        <v>Satisfied</v>
      </c>
      <c r="P367" t="str">
        <f t="shared" si="44"/>
        <v>Resolved</v>
      </c>
      <c r="Q367" s="2" t="str">
        <f t="shared" si="45"/>
        <v>Nov-2025</v>
      </c>
      <c r="R367" s="2">
        <f t="shared" si="46"/>
        <v>45962</v>
      </c>
    </row>
    <row r="368" spans="1:18">
      <c r="A368" t="s">
        <v>764</v>
      </c>
      <c r="B368" s="2" t="s">
        <v>765</v>
      </c>
      <c r="C368">
        <v>1253</v>
      </c>
      <c r="D368" t="s">
        <v>26</v>
      </c>
      <c r="E368" t="s">
        <v>19</v>
      </c>
      <c r="F368" t="s">
        <v>59</v>
      </c>
      <c r="G368">
        <v>26</v>
      </c>
      <c r="H368">
        <v>477</v>
      </c>
      <c r="I368" t="s">
        <v>15</v>
      </c>
      <c r="J368">
        <v>1</v>
      </c>
      <c r="K368" s="1">
        <f t="shared" si="40"/>
        <v>45972</v>
      </c>
      <c r="L368" s="3">
        <f t="shared" si="41"/>
        <v>7.95</v>
      </c>
      <c r="M368" s="3">
        <f t="shared" si="42"/>
        <v>0.43333333333333335</v>
      </c>
      <c r="N368" t="str">
        <f t="shared" si="43"/>
        <v>Within SLA</v>
      </c>
      <c r="O368" t="str">
        <f t="shared" si="47"/>
        <v>Dissatisfied</v>
      </c>
      <c r="P368" t="str">
        <f t="shared" si="44"/>
        <v>Resolved</v>
      </c>
      <c r="Q368" s="2" t="str">
        <f t="shared" si="45"/>
        <v>Nov-2025</v>
      </c>
      <c r="R368" s="2">
        <f t="shared" si="46"/>
        <v>45962</v>
      </c>
    </row>
    <row r="369" spans="1:18">
      <c r="A369" t="s">
        <v>766</v>
      </c>
      <c r="B369" s="2" t="s">
        <v>767</v>
      </c>
      <c r="C369">
        <v>1942</v>
      </c>
      <c r="D369" t="s">
        <v>47</v>
      </c>
      <c r="E369" t="s">
        <v>27</v>
      </c>
      <c r="F369" t="s">
        <v>43</v>
      </c>
      <c r="G369">
        <v>34</v>
      </c>
      <c r="H369">
        <v>1315</v>
      </c>
      <c r="I369" t="s">
        <v>20</v>
      </c>
      <c r="J369">
        <v>2</v>
      </c>
      <c r="K369" s="1">
        <f t="shared" si="40"/>
        <v>45972</v>
      </c>
      <c r="L369" s="3">
        <f t="shared" si="41"/>
        <v>21.916666666666668</v>
      </c>
      <c r="M369" s="3">
        <f t="shared" si="42"/>
        <v>0.56666666666666665</v>
      </c>
      <c r="N369" t="str">
        <f t="shared" si="43"/>
        <v>Within SLA</v>
      </c>
      <c r="O369" t="str">
        <f t="shared" si="47"/>
        <v>Dissatisfied</v>
      </c>
      <c r="P369" t="str">
        <f t="shared" si="44"/>
        <v>Resolved</v>
      </c>
      <c r="Q369" s="2" t="str">
        <f t="shared" si="45"/>
        <v>Nov-2025</v>
      </c>
      <c r="R369" s="2">
        <f t="shared" si="46"/>
        <v>45962</v>
      </c>
    </row>
    <row r="370" spans="1:18">
      <c r="A370" t="s">
        <v>768</v>
      </c>
      <c r="B370" s="2" t="s">
        <v>769</v>
      </c>
      <c r="C370">
        <v>1691</v>
      </c>
      <c r="D370" t="s">
        <v>18</v>
      </c>
      <c r="E370" t="s">
        <v>27</v>
      </c>
      <c r="F370" t="s">
        <v>23</v>
      </c>
      <c r="G370">
        <v>53</v>
      </c>
      <c r="H370">
        <v>1300</v>
      </c>
      <c r="I370" t="s">
        <v>15</v>
      </c>
      <c r="K370" s="1">
        <f t="shared" si="40"/>
        <v>45973</v>
      </c>
      <c r="L370" s="3">
        <f t="shared" si="41"/>
        <v>21.666666666666668</v>
      </c>
      <c r="M370" s="3">
        <f t="shared" si="42"/>
        <v>0.8833333333333333</v>
      </c>
      <c r="N370" t="str">
        <f t="shared" si="43"/>
        <v>Within SLA</v>
      </c>
      <c r="O370" t="str">
        <f t="shared" si="47"/>
        <v>No Rating</v>
      </c>
      <c r="P370" t="str">
        <f t="shared" si="44"/>
        <v>Resolved</v>
      </c>
      <c r="Q370" s="2" t="str">
        <f t="shared" si="45"/>
        <v>Nov-2025</v>
      </c>
      <c r="R370" s="2">
        <f t="shared" si="46"/>
        <v>45962</v>
      </c>
    </row>
    <row r="371" spans="1:18">
      <c r="A371" t="s">
        <v>770</v>
      </c>
      <c r="B371" s="2" t="s">
        <v>771</v>
      </c>
      <c r="C371">
        <v>1867</v>
      </c>
      <c r="D371" t="s">
        <v>12</v>
      </c>
      <c r="E371" t="s">
        <v>19</v>
      </c>
      <c r="F371" t="s">
        <v>34</v>
      </c>
      <c r="G371">
        <v>41</v>
      </c>
      <c r="H371">
        <v>493</v>
      </c>
      <c r="I371" t="s">
        <v>15</v>
      </c>
      <c r="J371">
        <v>5</v>
      </c>
      <c r="K371" s="1">
        <f t="shared" si="40"/>
        <v>45973</v>
      </c>
      <c r="L371" s="3">
        <f t="shared" si="41"/>
        <v>8.2166666666666668</v>
      </c>
      <c r="M371" s="3">
        <f t="shared" si="42"/>
        <v>0.68333333333333335</v>
      </c>
      <c r="N371" t="str">
        <f t="shared" si="43"/>
        <v>Within SLA</v>
      </c>
      <c r="O371" t="str">
        <f t="shared" si="47"/>
        <v>Satisfied</v>
      </c>
      <c r="P371" t="str">
        <f t="shared" si="44"/>
        <v>Resolved</v>
      </c>
      <c r="Q371" s="2" t="str">
        <f t="shared" si="45"/>
        <v>Nov-2025</v>
      </c>
      <c r="R371" s="2">
        <f t="shared" si="46"/>
        <v>45962</v>
      </c>
    </row>
    <row r="372" spans="1:18">
      <c r="A372" t="s">
        <v>772</v>
      </c>
      <c r="B372" s="2" t="s">
        <v>773</v>
      </c>
      <c r="C372">
        <v>1504</v>
      </c>
      <c r="D372" t="s">
        <v>12</v>
      </c>
      <c r="E372" t="s">
        <v>19</v>
      </c>
      <c r="F372" t="s">
        <v>64</v>
      </c>
      <c r="G372">
        <v>36</v>
      </c>
      <c r="H372">
        <v>214</v>
      </c>
      <c r="I372" t="s">
        <v>15</v>
      </c>
      <c r="K372" s="1">
        <f t="shared" si="40"/>
        <v>45974</v>
      </c>
      <c r="L372" s="3">
        <f t="shared" si="41"/>
        <v>3.5666666666666669</v>
      </c>
      <c r="M372" s="3">
        <f t="shared" si="42"/>
        <v>0.6</v>
      </c>
      <c r="N372" t="str">
        <f t="shared" si="43"/>
        <v>Within SLA</v>
      </c>
      <c r="O372" t="str">
        <f t="shared" si="47"/>
        <v>No Rating</v>
      </c>
      <c r="P372" t="str">
        <f t="shared" si="44"/>
        <v>Resolved</v>
      </c>
      <c r="Q372" s="2" t="str">
        <f t="shared" si="45"/>
        <v>Nov-2025</v>
      </c>
      <c r="R372" s="2">
        <f t="shared" si="46"/>
        <v>45962</v>
      </c>
    </row>
    <row r="373" spans="1:18">
      <c r="A373" t="s">
        <v>774</v>
      </c>
      <c r="B373" s="2" t="s">
        <v>775</v>
      </c>
      <c r="C373">
        <v>1921</v>
      </c>
      <c r="D373" t="s">
        <v>26</v>
      </c>
      <c r="E373" t="s">
        <v>19</v>
      </c>
      <c r="F373" t="s">
        <v>14</v>
      </c>
      <c r="G373">
        <v>11</v>
      </c>
      <c r="I373" t="s">
        <v>44</v>
      </c>
      <c r="K373" s="1">
        <f t="shared" si="40"/>
        <v>45974</v>
      </c>
      <c r="L373" s="3" t="str">
        <f t="shared" si="41"/>
        <v/>
      </c>
      <c r="M373" s="3">
        <f t="shared" si="42"/>
        <v>0.18333333333333332</v>
      </c>
      <c r="N373" t="str">
        <f t="shared" si="43"/>
        <v>Open</v>
      </c>
      <c r="O373" t="str">
        <f t="shared" si="47"/>
        <v>No Rating</v>
      </c>
      <c r="P373" t="str">
        <f t="shared" si="44"/>
        <v>Unresolved</v>
      </c>
      <c r="Q373" s="2" t="str">
        <f t="shared" si="45"/>
        <v>Nov-2025</v>
      </c>
      <c r="R373" s="2">
        <f t="shared" si="46"/>
        <v>45962</v>
      </c>
    </row>
    <row r="374" spans="1:18">
      <c r="A374" t="s">
        <v>776</v>
      </c>
      <c r="B374" s="2" t="s">
        <v>777</v>
      </c>
      <c r="C374">
        <v>1652</v>
      </c>
      <c r="D374" t="s">
        <v>12</v>
      </c>
      <c r="E374" t="s">
        <v>13</v>
      </c>
      <c r="F374" t="s">
        <v>64</v>
      </c>
      <c r="G374">
        <v>7</v>
      </c>
      <c r="I374" t="s">
        <v>44</v>
      </c>
      <c r="K374" s="1">
        <f t="shared" si="40"/>
        <v>45974</v>
      </c>
      <c r="L374" s="3" t="str">
        <f t="shared" si="41"/>
        <v/>
      </c>
      <c r="M374" s="3">
        <f t="shared" si="42"/>
        <v>0.11666666666666667</v>
      </c>
      <c r="N374" t="str">
        <f t="shared" si="43"/>
        <v>Open</v>
      </c>
      <c r="O374" t="str">
        <f t="shared" si="47"/>
        <v>No Rating</v>
      </c>
      <c r="P374" t="str">
        <f t="shared" si="44"/>
        <v>Unresolved</v>
      </c>
      <c r="Q374" s="2" t="str">
        <f t="shared" si="45"/>
        <v>Nov-2025</v>
      </c>
      <c r="R374" s="2">
        <f t="shared" si="46"/>
        <v>45962</v>
      </c>
    </row>
    <row r="375" spans="1:18">
      <c r="A375" t="s">
        <v>778</v>
      </c>
      <c r="B375" s="2" t="s">
        <v>779</v>
      </c>
      <c r="C375">
        <v>1197</v>
      </c>
      <c r="D375" t="s">
        <v>26</v>
      </c>
      <c r="E375" t="s">
        <v>27</v>
      </c>
      <c r="F375" t="s">
        <v>71</v>
      </c>
      <c r="G375">
        <v>62</v>
      </c>
      <c r="H375">
        <v>993</v>
      </c>
      <c r="I375" t="s">
        <v>15</v>
      </c>
      <c r="J375">
        <v>1</v>
      </c>
      <c r="K375" s="1">
        <f t="shared" si="40"/>
        <v>45975</v>
      </c>
      <c r="L375" s="3">
        <f t="shared" si="41"/>
        <v>16.55</v>
      </c>
      <c r="M375" s="3">
        <f t="shared" si="42"/>
        <v>1.0333333333333334</v>
      </c>
      <c r="N375" t="str">
        <f t="shared" si="43"/>
        <v>Within SLA</v>
      </c>
      <c r="O375" t="str">
        <f t="shared" si="47"/>
        <v>Dissatisfied</v>
      </c>
      <c r="P375" t="str">
        <f t="shared" si="44"/>
        <v>Resolved</v>
      </c>
      <c r="Q375" s="2" t="str">
        <f t="shared" si="45"/>
        <v>Nov-2025</v>
      </c>
      <c r="R375" s="2">
        <f t="shared" si="46"/>
        <v>45962</v>
      </c>
    </row>
    <row r="376" spans="1:18">
      <c r="A376" t="s">
        <v>780</v>
      </c>
      <c r="B376" s="2" t="s">
        <v>781</v>
      </c>
      <c r="C376">
        <v>1480</v>
      </c>
      <c r="D376" t="s">
        <v>47</v>
      </c>
      <c r="E376" t="s">
        <v>27</v>
      </c>
      <c r="F376" t="s">
        <v>28</v>
      </c>
      <c r="G376">
        <v>136</v>
      </c>
      <c r="H376">
        <v>1801</v>
      </c>
      <c r="I376" t="s">
        <v>15</v>
      </c>
      <c r="J376">
        <v>5</v>
      </c>
      <c r="K376" s="1">
        <f t="shared" si="40"/>
        <v>45975</v>
      </c>
      <c r="L376" s="3">
        <f t="shared" si="41"/>
        <v>30.016666666666666</v>
      </c>
      <c r="M376" s="3">
        <f t="shared" si="42"/>
        <v>2.2666666666666666</v>
      </c>
      <c r="N376" t="str">
        <f t="shared" si="43"/>
        <v>Within SLA</v>
      </c>
      <c r="O376" t="str">
        <f t="shared" si="47"/>
        <v>Satisfied</v>
      </c>
      <c r="P376" t="str">
        <f t="shared" si="44"/>
        <v>Resolved</v>
      </c>
      <c r="Q376" s="2" t="str">
        <f t="shared" si="45"/>
        <v>Nov-2025</v>
      </c>
      <c r="R376" s="2">
        <f t="shared" si="46"/>
        <v>45962</v>
      </c>
    </row>
    <row r="377" spans="1:18">
      <c r="A377" t="s">
        <v>782</v>
      </c>
      <c r="B377" s="2" t="s">
        <v>783</v>
      </c>
      <c r="C377">
        <v>1338</v>
      </c>
      <c r="D377" t="s">
        <v>32</v>
      </c>
      <c r="E377" t="s">
        <v>33</v>
      </c>
      <c r="F377" t="s">
        <v>14</v>
      </c>
      <c r="G377">
        <v>270</v>
      </c>
      <c r="I377" t="s">
        <v>44</v>
      </c>
      <c r="K377" s="1">
        <f t="shared" si="40"/>
        <v>45975</v>
      </c>
      <c r="L377" s="3" t="str">
        <f t="shared" si="41"/>
        <v/>
      </c>
      <c r="M377" s="3">
        <f t="shared" si="42"/>
        <v>4.5</v>
      </c>
      <c r="N377" t="str">
        <f t="shared" si="43"/>
        <v>Open</v>
      </c>
      <c r="O377" t="str">
        <f t="shared" si="47"/>
        <v>No Rating</v>
      </c>
      <c r="P377" t="str">
        <f t="shared" si="44"/>
        <v>Unresolved</v>
      </c>
      <c r="Q377" s="2" t="str">
        <f t="shared" si="45"/>
        <v>Nov-2025</v>
      </c>
      <c r="R377" s="2">
        <f t="shared" si="46"/>
        <v>45962</v>
      </c>
    </row>
    <row r="378" spans="1:18">
      <c r="A378" t="s">
        <v>784</v>
      </c>
      <c r="B378" s="2" t="s">
        <v>785</v>
      </c>
      <c r="C378">
        <v>1264</v>
      </c>
      <c r="D378" t="s">
        <v>18</v>
      </c>
      <c r="E378" t="s">
        <v>19</v>
      </c>
      <c r="F378" t="s">
        <v>59</v>
      </c>
      <c r="G378">
        <v>36</v>
      </c>
      <c r="H378">
        <v>961</v>
      </c>
      <c r="I378" t="s">
        <v>15</v>
      </c>
      <c r="K378" s="1">
        <f t="shared" si="40"/>
        <v>45976</v>
      </c>
      <c r="L378" s="3">
        <f t="shared" si="41"/>
        <v>16.016666666666666</v>
      </c>
      <c r="M378" s="3">
        <f t="shared" si="42"/>
        <v>0.6</v>
      </c>
      <c r="N378" t="str">
        <f t="shared" si="43"/>
        <v>Within SLA</v>
      </c>
      <c r="O378" t="str">
        <f t="shared" si="47"/>
        <v>No Rating</v>
      </c>
      <c r="P378" t="str">
        <f t="shared" si="44"/>
        <v>Resolved</v>
      </c>
      <c r="Q378" s="2" t="str">
        <f t="shared" si="45"/>
        <v>Nov-2025</v>
      </c>
      <c r="R378" s="2">
        <f t="shared" si="46"/>
        <v>45962</v>
      </c>
    </row>
    <row r="379" spans="1:18">
      <c r="A379" t="s">
        <v>786</v>
      </c>
      <c r="B379" s="2" t="s">
        <v>787</v>
      </c>
      <c r="C379">
        <v>1998</v>
      </c>
      <c r="D379" t="s">
        <v>12</v>
      </c>
      <c r="E379" t="s">
        <v>13</v>
      </c>
      <c r="F379" t="s">
        <v>23</v>
      </c>
      <c r="G379">
        <v>9</v>
      </c>
      <c r="H379">
        <v>369</v>
      </c>
      <c r="I379" t="s">
        <v>20</v>
      </c>
      <c r="K379" s="1">
        <f t="shared" si="40"/>
        <v>45976</v>
      </c>
      <c r="L379" s="3">
        <f t="shared" si="41"/>
        <v>6.15</v>
      </c>
      <c r="M379" s="3">
        <f t="shared" si="42"/>
        <v>0.15</v>
      </c>
      <c r="N379" t="str">
        <f t="shared" si="43"/>
        <v>Within SLA</v>
      </c>
      <c r="O379" t="str">
        <f t="shared" si="47"/>
        <v>No Rating</v>
      </c>
      <c r="P379" t="str">
        <f t="shared" si="44"/>
        <v>Resolved</v>
      </c>
      <c r="Q379" s="2" t="str">
        <f t="shared" si="45"/>
        <v>Nov-2025</v>
      </c>
      <c r="R379" s="2">
        <f t="shared" si="46"/>
        <v>45962</v>
      </c>
    </row>
    <row r="380" spans="1:18">
      <c r="A380" t="s">
        <v>788</v>
      </c>
      <c r="B380" s="2" t="s">
        <v>789</v>
      </c>
      <c r="C380">
        <v>1771</v>
      </c>
      <c r="D380" t="s">
        <v>12</v>
      </c>
      <c r="E380" t="s">
        <v>33</v>
      </c>
      <c r="F380" t="s">
        <v>54</v>
      </c>
      <c r="G380">
        <v>288</v>
      </c>
      <c r="H380">
        <v>7945</v>
      </c>
      <c r="I380" t="s">
        <v>20</v>
      </c>
      <c r="K380" s="1">
        <f t="shared" si="40"/>
        <v>45976</v>
      </c>
      <c r="L380" s="3">
        <f t="shared" si="41"/>
        <v>132.41666666666666</v>
      </c>
      <c r="M380" s="3">
        <f t="shared" si="42"/>
        <v>4.8</v>
      </c>
      <c r="N380" t="str">
        <f t="shared" si="43"/>
        <v>Breached</v>
      </c>
      <c r="O380" t="str">
        <f t="shared" si="47"/>
        <v>No Rating</v>
      </c>
      <c r="P380" t="str">
        <f t="shared" si="44"/>
        <v>Resolved</v>
      </c>
      <c r="Q380" s="2" t="str">
        <f t="shared" si="45"/>
        <v>Nov-2025</v>
      </c>
      <c r="R380" s="2">
        <f t="shared" si="46"/>
        <v>45962</v>
      </c>
    </row>
    <row r="381" spans="1:18">
      <c r="A381" t="s">
        <v>790</v>
      </c>
      <c r="B381" s="2" t="s">
        <v>791</v>
      </c>
      <c r="C381">
        <v>1780</v>
      </c>
      <c r="D381" t="s">
        <v>18</v>
      </c>
      <c r="E381" t="s">
        <v>27</v>
      </c>
      <c r="F381" t="s">
        <v>59</v>
      </c>
      <c r="G381">
        <v>133</v>
      </c>
      <c r="H381">
        <v>2986</v>
      </c>
      <c r="I381" t="s">
        <v>20</v>
      </c>
      <c r="J381">
        <v>2</v>
      </c>
      <c r="K381" s="1">
        <f t="shared" si="40"/>
        <v>45977</v>
      </c>
      <c r="L381" s="3">
        <f t="shared" si="41"/>
        <v>49.766666666666666</v>
      </c>
      <c r="M381" s="3">
        <f t="shared" si="42"/>
        <v>2.2166666666666668</v>
      </c>
      <c r="N381" t="str">
        <f t="shared" si="43"/>
        <v>Breached</v>
      </c>
      <c r="O381" t="str">
        <f t="shared" si="47"/>
        <v>Dissatisfied</v>
      </c>
      <c r="P381" t="str">
        <f t="shared" si="44"/>
        <v>Resolved</v>
      </c>
      <c r="Q381" s="2" t="str">
        <f t="shared" si="45"/>
        <v>Nov-2025</v>
      </c>
      <c r="R381" s="2">
        <f t="shared" si="46"/>
        <v>45962</v>
      </c>
    </row>
    <row r="382" spans="1:18">
      <c r="A382" t="s">
        <v>792</v>
      </c>
      <c r="B382" s="2" t="s">
        <v>793</v>
      </c>
      <c r="C382">
        <v>2000</v>
      </c>
      <c r="D382" t="s">
        <v>18</v>
      </c>
      <c r="E382" t="s">
        <v>13</v>
      </c>
      <c r="F382" t="s">
        <v>28</v>
      </c>
      <c r="G382">
        <v>6</v>
      </c>
      <c r="H382">
        <v>107</v>
      </c>
      <c r="I382" t="s">
        <v>15</v>
      </c>
      <c r="J382">
        <v>2</v>
      </c>
      <c r="K382" s="1">
        <f t="shared" si="40"/>
        <v>45977</v>
      </c>
      <c r="L382" s="3">
        <f t="shared" si="41"/>
        <v>1.7833333333333334</v>
      </c>
      <c r="M382" s="3">
        <f t="shared" si="42"/>
        <v>0.1</v>
      </c>
      <c r="N382" t="str">
        <f t="shared" si="43"/>
        <v>Within SLA</v>
      </c>
      <c r="O382" t="str">
        <f t="shared" si="47"/>
        <v>Dissatisfied</v>
      </c>
      <c r="P382" t="str">
        <f t="shared" si="44"/>
        <v>Resolved</v>
      </c>
      <c r="Q382" s="2" t="str">
        <f t="shared" si="45"/>
        <v>Nov-2025</v>
      </c>
      <c r="R382" s="2">
        <f t="shared" si="46"/>
        <v>45962</v>
      </c>
    </row>
    <row r="383" spans="1:18">
      <c r="A383" t="s">
        <v>794</v>
      </c>
      <c r="B383" s="2" t="s">
        <v>795</v>
      </c>
      <c r="C383">
        <v>2000</v>
      </c>
      <c r="D383" t="s">
        <v>26</v>
      </c>
      <c r="E383" t="s">
        <v>27</v>
      </c>
      <c r="F383" t="s">
        <v>34</v>
      </c>
      <c r="G383">
        <v>108</v>
      </c>
      <c r="H383">
        <v>3155</v>
      </c>
      <c r="I383" t="s">
        <v>15</v>
      </c>
      <c r="J383">
        <v>1</v>
      </c>
      <c r="K383" s="1">
        <f t="shared" si="40"/>
        <v>45978</v>
      </c>
      <c r="L383" s="3">
        <f t="shared" si="41"/>
        <v>52.583333333333336</v>
      </c>
      <c r="M383" s="3">
        <f t="shared" si="42"/>
        <v>1.8</v>
      </c>
      <c r="N383" t="str">
        <f t="shared" si="43"/>
        <v>Breached</v>
      </c>
      <c r="O383" t="str">
        <f t="shared" si="47"/>
        <v>Dissatisfied</v>
      </c>
      <c r="P383" t="str">
        <f t="shared" si="44"/>
        <v>Resolved</v>
      </c>
      <c r="Q383" s="2" t="str">
        <f t="shared" si="45"/>
        <v>Nov-2025</v>
      </c>
      <c r="R383" s="2">
        <f t="shared" si="46"/>
        <v>45962</v>
      </c>
    </row>
    <row r="384" spans="1:18">
      <c r="A384" t="s">
        <v>796</v>
      </c>
      <c r="B384" s="2" t="s">
        <v>797</v>
      </c>
      <c r="C384">
        <v>1877</v>
      </c>
      <c r="D384" t="s">
        <v>18</v>
      </c>
      <c r="E384" t="s">
        <v>27</v>
      </c>
      <c r="F384" t="s">
        <v>71</v>
      </c>
      <c r="G384">
        <v>33</v>
      </c>
      <c r="H384">
        <v>1349</v>
      </c>
      <c r="I384" t="s">
        <v>15</v>
      </c>
      <c r="J384">
        <v>4</v>
      </c>
      <c r="K384" s="1">
        <f t="shared" si="40"/>
        <v>45978</v>
      </c>
      <c r="L384" s="3">
        <f t="shared" si="41"/>
        <v>22.483333333333334</v>
      </c>
      <c r="M384" s="3">
        <f t="shared" si="42"/>
        <v>0.55000000000000004</v>
      </c>
      <c r="N384" t="str">
        <f t="shared" si="43"/>
        <v>Within SLA</v>
      </c>
      <c r="O384" t="str">
        <f t="shared" si="47"/>
        <v>Satisfied</v>
      </c>
      <c r="P384" t="str">
        <f t="shared" si="44"/>
        <v>Resolved</v>
      </c>
      <c r="Q384" s="2" t="str">
        <f t="shared" si="45"/>
        <v>Nov-2025</v>
      </c>
      <c r="R384" s="2">
        <f t="shared" si="46"/>
        <v>45962</v>
      </c>
    </row>
    <row r="385" spans="1:18">
      <c r="A385" t="s">
        <v>798</v>
      </c>
      <c r="B385" s="2" t="s">
        <v>799</v>
      </c>
      <c r="C385">
        <v>1763</v>
      </c>
      <c r="D385" t="s">
        <v>12</v>
      </c>
      <c r="E385" t="s">
        <v>13</v>
      </c>
      <c r="F385" t="s">
        <v>43</v>
      </c>
      <c r="G385">
        <v>12</v>
      </c>
      <c r="H385">
        <v>429</v>
      </c>
      <c r="I385" t="s">
        <v>20</v>
      </c>
      <c r="K385" s="1">
        <f t="shared" si="40"/>
        <v>45978</v>
      </c>
      <c r="L385" s="3">
        <f t="shared" si="41"/>
        <v>7.15</v>
      </c>
      <c r="M385" s="3">
        <f t="shared" si="42"/>
        <v>0.2</v>
      </c>
      <c r="N385" t="str">
        <f t="shared" si="43"/>
        <v>Within SLA</v>
      </c>
      <c r="O385" t="str">
        <f t="shared" si="47"/>
        <v>No Rating</v>
      </c>
      <c r="P385" t="str">
        <f t="shared" si="44"/>
        <v>Resolved</v>
      </c>
      <c r="Q385" s="2" t="str">
        <f t="shared" si="45"/>
        <v>Nov-2025</v>
      </c>
      <c r="R385" s="2">
        <f t="shared" si="46"/>
        <v>45962</v>
      </c>
    </row>
    <row r="386" spans="1:18">
      <c r="A386" t="s">
        <v>800</v>
      </c>
      <c r="B386" s="2" t="s">
        <v>801</v>
      </c>
      <c r="C386">
        <v>1610</v>
      </c>
      <c r="D386" t="s">
        <v>18</v>
      </c>
      <c r="E386" t="s">
        <v>27</v>
      </c>
      <c r="F386" t="s">
        <v>14</v>
      </c>
      <c r="G386">
        <v>73</v>
      </c>
      <c r="H386">
        <v>616</v>
      </c>
      <c r="I386" t="s">
        <v>15</v>
      </c>
      <c r="J386">
        <v>4</v>
      </c>
      <c r="K386" s="1">
        <f t="shared" si="40"/>
        <v>45979</v>
      </c>
      <c r="L386" s="3">
        <f t="shared" si="41"/>
        <v>10.266666666666667</v>
      </c>
      <c r="M386" s="3">
        <f t="shared" si="42"/>
        <v>1.2166666666666666</v>
      </c>
      <c r="N386" t="str">
        <f t="shared" si="43"/>
        <v>Within SLA</v>
      </c>
      <c r="O386" t="str">
        <f t="shared" si="47"/>
        <v>Satisfied</v>
      </c>
      <c r="P386" t="str">
        <f t="shared" si="44"/>
        <v>Resolved</v>
      </c>
      <c r="Q386" s="2" t="str">
        <f t="shared" si="45"/>
        <v>Nov-2025</v>
      </c>
      <c r="R386" s="2">
        <f t="shared" si="46"/>
        <v>45962</v>
      </c>
    </row>
    <row r="387" spans="1:18">
      <c r="A387" t="s">
        <v>802</v>
      </c>
      <c r="B387" s="2" t="s">
        <v>803</v>
      </c>
      <c r="C387">
        <v>1624</v>
      </c>
      <c r="D387" t="s">
        <v>26</v>
      </c>
      <c r="E387" t="s">
        <v>33</v>
      </c>
      <c r="F387" t="s">
        <v>14</v>
      </c>
      <c r="G387">
        <v>467</v>
      </c>
      <c r="H387">
        <v>8679</v>
      </c>
      <c r="I387" t="s">
        <v>15</v>
      </c>
      <c r="J387">
        <v>4</v>
      </c>
      <c r="K387" s="1">
        <f t="shared" ref="K387:K450" si="48">IF(B387="","",DATEVALUE(LEFT(B387,10)))</f>
        <v>45979</v>
      </c>
      <c r="L387" s="3">
        <f t="shared" ref="L387:L450" si="49">IF(H387="","",H387/60)</f>
        <v>144.65</v>
      </c>
      <c r="M387" s="3">
        <f t="shared" ref="M387:M450" si="50">IF(G387="","",G387/60)</f>
        <v>7.7833333333333332</v>
      </c>
      <c r="N387" t="str">
        <f t="shared" ref="N387:N450" si="51">IF(L387="","Open",IF(L387&lt;=IF(E387="Urgent",8,IF(E387="High",24,IF(E387="Normal",48,72))),"Within SLA","Breached"))</f>
        <v>Breached</v>
      </c>
      <c r="O387" t="str">
        <f t="shared" si="47"/>
        <v>Satisfied</v>
      </c>
      <c r="P387" t="str">
        <f t="shared" ref="P387:P450" si="52">IF(I387="Closed","Resolved",IF(I387="Resolved","Resolved","Unresolved"))</f>
        <v>Resolved</v>
      </c>
      <c r="Q387" s="2" t="str">
        <f t="shared" ref="Q387:Q450" si="53">IF(K387="","",TEXT(K387,"mmm-yyyy"))</f>
        <v>Nov-2025</v>
      </c>
      <c r="R387" s="2">
        <f t="shared" ref="R387:R450" si="54">IF(K387="","",DATE(YEAR(K387),MONTH(K387),1))</f>
        <v>45962</v>
      </c>
    </row>
    <row r="388" spans="1:18">
      <c r="A388" t="s">
        <v>804</v>
      </c>
      <c r="B388" s="2" t="s">
        <v>805</v>
      </c>
      <c r="C388">
        <v>1481</v>
      </c>
      <c r="D388" t="s">
        <v>26</v>
      </c>
      <c r="E388" t="s">
        <v>13</v>
      </c>
      <c r="F388" t="s">
        <v>43</v>
      </c>
      <c r="G388">
        <v>11</v>
      </c>
      <c r="H388">
        <v>199</v>
      </c>
      <c r="I388" t="s">
        <v>15</v>
      </c>
      <c r="J388">
        <v>2</v>
      </c>
      <c r="K388" s="1">
        <f t="shared" si="48"/>
        <v>45979</v>
      </c>
      <c r="L388" s="3">
        <f t="shared" si="49"/>
        <v>3.3166666666666669</v>
      </c>
      <c r="M388" s="3">
        <f t="shared" si="50"/>
        <v>0.18333333333333332</v>
      </c>
      <c r="N388" t="str">
        <f t="shared" si="51"/>
        <v>Within SLA</v>
      </c>
      <c r="O388" t="str">
        <f t="shared" ref="O388:O451" si="55">IF(J388="","No Rating",IF(J388&gt;=4,"Satisfied",IF(J388=3,"Neutral","Dissatisfied")))</f>
        <v>Dissatisfied</v>
      </c>
      <c r="P388" t="str">
        <f t="shared" si="52"/>
        <v>Resolved</v>
      </c>
      <c r="Q388" s="2" t="str">
        <f t="shared" si="53"/>
        <v>Nov-2025</v>
      </c>
      <c r="R388" s="2">
        <f t="shared" si="54"/>
        <v>45962</v>
      </c>
    </row>
    <row r="389" spans="1:18">
      <c r="A389" t="s">
        <v>806</v>
      </c>
      <c r="B389" s="2" t="s">
        <v>807</v>
      </c>
      <c r="C389">
        <v>1416</v>
      </c>
      <c r="D389" t="s">
        <v>26</v>
      </c>
      <c r="E389" t="s">
        <v>13</v>
      </c>
      <c r="F389" t="s">
        <v>14</v>
      </c>
      <c r="G389">
        <v>10</v>
      </c>
      <c r="H389">
        <v>281</v>
      </c>
      <c r="I389" t="s">
        <v>15</v>
      </c>
      <c r="J389">
        <v>1</v>
      </c>
      <c r="K389" s="1">
        <f t="shared" si="48"/>
        <v>45980</v>
      </c>
      <c r="L389" s="3">
        <f t="shared" si="49"/>
        <v>4.6833333333333336</v>
      </c>
      <c r="M389" s="3">
        <f t="shared" si="50"/>
        <v>0.16666666666666666</v>
      </c>
      <c r="N389" t="str">
        <f t="shared" si="51"/>
        <v>Within SLA</v>
      </c>
      <c r="O389" t="str">
        <f t="shared" si="55"/>
        <v>Dissatisfied</v>
      </c>
      <c r="P389" t="str">
        <f t="shared" si="52"/>
        <v>Resolved</v>
      </c>
      <c r="Q389" s="2" t="str">
        <f t="shared" si="53"/>
        <v>Nov-2025</v>
      </c>
      <c r="R389" s="2">
        <f t="shared" si="54"/>
        <v>45962</v>
      </c>
    </row>
    <row r="390" spans="1:18">
      <c r="A390" t="s">
        <v>808</v>
      </c>
      <c r="B390" s="2" t="s">
        <v>809</v>
      </c>
      <c r="C390">
        <v>1531</v>
      </c>
      <c r="D390" t="s">
        <v>32</v>
      </c>
      <c r="E390" t="s">
        <v>13</v>
      </c>
      <c r="F390" t="s">
        <v>64</v>
      </c>
      <c r="G390">
        <v>7</v>
      </c>
      <c r="H390">
        <v>121</v>
      </c>
      <c r="I390" t="s">
        <v>15</v>
      </c>
      <c r="J390">
        <v>1</v>
      </c>
      <c r="K390" s="1">
        <f t="shared" si="48"/>
        <v>45980</v>
      </c>
      <c r="L390" s="3">
        <f t="shared" si="49"/>
        <v>2.0166666666666666</v>
      </c>
      <c r="M390" s="3">
        <f t="shared" si="50"/>
        <v>0.11666666666666667</v>
      </c>
      <c r="N390" t="str">
        <f t="shared" si="51"/>
        <v>Within SLA</v>
      </c>
      <c r="O390" t="str">
        <f t="shared" si="55"/>
        <v>Dissatisfied</v>
      </c>
      <c r="P390" t="str">
        <f t="shared" si="52"/>
        <v>Resolved</v>
      </c>
      <c r="Q390" s="2" t="str">
        <f t="shared" si="53"/>
        <v>Nov-2025</v>
      </c>
      <c r="R390" s="2">
        <f t="shared" si="54"/>
        <v>45962</v>
      </c>
    </row>
    <row r="391" spans="1:18">
      <c r="A391" t="s">
        <v>810</v>
      </c>
      <c r="B391" s="2" t="s">
        <v>811</v>
      </c>
      <c r="C391">
        <v>1595</v>
      </c>
      <c r="D391" t="s">
        <v>47</v>
      </c>
      <c r="E391" t="s">
        <v>13</v>
      </c>
      <c r="F391" t="s">
        <v>59</v>
      </c>
      <c r="G391">
        <v>7</v>
      </c>
      <c r="H391">
        <v>207</v>
      </c>
      <c r="I391" t="s">
        <v>15</v>
      </c>
      <c r="J391">
        <v>4</v>
      </c>
      <c r="K391" s="1">
        <f t="shared" si="48"/>
        <v>45980</v>
      </c>
      <c r="L391" s="3">
        <f t="shared" si="49"/>
        <v>3.45</v>
      </c>
      <c r="M391" s="3">
        <f t="shared" si="50"/>
        <v>0.11666666666666667</v>
      </c>
      <c r="N391" t="str">
        <f t="shared" si="51"/>
        <v>Within SLA</v>
      </c>
      <c r="O391" t="str">
        <f t="shared" si="55"/>
        <v>Satisfied</v>
      </c>
      <c r="P391" t="str">
        <f t="shared" si="52"/>
        <v>Resolved</v>
      </c>
      <c r="Q391" s="2" t="str">
        <f t="shared" si="53"/>
        <v>Nov-2025</v>
      </c>
      <c r="R391" s="2">
        <f t="shared" si="54"/>
        <v>45962</v>
      </c>
    </row>
    <row r="392" spans="1:18">
      <c r="A392" t="s">
        <v>812</v>
      </c>
      <c r="B392" s="2" t="s">
        <v>813</v>
      </c>
      <c r="C392">
        <v>1959</v>
      </c>
      <c r="D392" t="s">
        <v>12</v>
      </c>
      <c r="E392" t="s">
        <v>13</v>
      </c>
      <c r="F392" t="s">
        <v>71</v>
      </c>
      <c r="G392">
        <v>4</v>
      </c>
      <c r="I392" t="s">
        <v>29</v>
      </c>
      <c r="K392" s="1">
        <f t="shared" si="48"/>
        <v>45981</v>
      </c>
      <c r="L392" s="3" t="str">
        <f t="shared" si="49"/>
        <v/>
      </c>
      <c r="M392" s="3">
        <f t="shared" si="50"/>
        <v>6.6666666666666666E-2</v>
      </c>
      <c r="N392" t="str">
        <f t="shared" si="51"/>
        <v>Open</v>
      </c>
      <c r="O392" t="str">
        <f t="shared" si="55"/>
        <v>No Rating</v>
      </c>
      <c r="P392" t="str">
        <f t="shared" si="52"/>
        <v>Unresolved</v>
      </c>
      <c r="Q392" s="2" t="str">
        <f t="shared" si="53"/>
        <v>Nov-2025</v>
      </c>
      <c r="R392" s="2">
        <f t="shared" si="54"/>
        <v>45962</v>
      </c>
    </row>
    <row r="393" spans="1:18">
      <c r="A393" t="s">
        <v>814</v>
      </c>
      <c r="B393" s="2" t="s">
        <v>815</v>
      </c>
      <c r="C393">
        <v>1336</v>
      </c>
      <c r="D393" t="s">
        <v>18</v>
      </c>
      <c r="E393" t="s">
        <v>13</v>
      </c>
      <c r="F393" t="s">
        <v>28</v>
      </c>
      <c r="G393">
        <v>2</v>
      </c>
      <c r="H393">
        <v>322</v>
      </c>
      <c r="I393" t="s">
        <v>15</v>
      </c>
      <c r="K393" s="1">
        <f t="shared" si="48"/>
        <v>45981</v>
      </c>
      <c r="L393" s="3">
        <f t="shared" si="49"/>
        <v>5.3666666666666663</v>
      </c>
      <c r="M393" s="3">
        <f t="shared" si="50"/>
        <v>3.3333333333333333E-2</v>
      </c>
      <c r="N393" t="str">
        <f t="shared" si="51"/>
        <v>Within SLA</v>
      </c>
      <c r="O393" t="str">
        <f t="shared" si="55"/>
        <v>No Rating</v>
      </c>
      <c r="P393" t="str">
        <f t="shared" si="52"/>
        <v>Resolved</v>
      </c>
      <c r="Q393" s="2" t="str">
        <f t="shared" si="53"/>
        <v>Nov-2025</v>
      </c>
      <c r="R393" s="2">
        <f t="shared" si="54"/>
        <v>45962</v>
      </c>
    </row>
    <row r="394" spans="1:18">
      <c r="A394" t="s">
        <v>816</v>
      </c>
      <c r="B394" s="2" t="s">
        <v>817</v>
      </c>
      <c r="C394">
        <v>1234</v>
      </c>
      <c r="D394" t="s">
        <v>47</v>
      </c>
      <c r="E394" t="s">
        <v>27</v>
      </c>
      <c r="F394" t="s">
        <v>23</v>
      </c>
      <c r="G394">
        <v>87</v>
      </c>
      <c r="H394">
        <v>3654</v>
      </c>
      <c r="I394" t="s">
        <v>15</v>
      </c>
      <c r="K394" s="1">
        <f t="shared" si="48"/>
        <v>45982</v>
      </c>
      <c r="L394" s="3">
        <f t="shared" si="49"/>
        <v>60.9</v>
      </c>
      <c r="M394" s="3">
        <f t="shared" si="50"/>
        <v>1.45</v>
      </c>
      <c r="N394" t="str">
        <f t="shared" si="51"/>
        <v>Breached</v>
      </c>
      <c r="O394" t="str">
        <f t="shared" si="55"/>
        <v>No Rating</v>
      </c>
      <c r="P394" t="str">
        <f t="shared" si="52"/>
        <v>Resolved</v>
      </c>
      <c r="Q394" s="2" t="str">
        <f t="shared" si="53"/>
        <v>Nov-2025</v>
      </c>
      <c r="R394" s="2">
        <f t="shared" si="54"/>
        <v>45962</v>
      </c>
    </row>
    <row r="395" spans="1:18">
      <c r="A395" t="s">
        <v>818</v>
      </c>
      <c r="B395" s="2" t="s">
        <v>819</v>
      </c>
      <c r="C395">
        <v>1573</v>
      </c>
      <c r="D395" t="s">
        <v>47</v>
      </c>
      <c r="E395" t="s">
        <v>27</v>
      </c>
      <c r="F395" t="s">
        <v>64</v>
      </c>
      <c r="G395">
        <v>98</v>
      </c>
      <c r="H395">
        <v>841</v>
      </c>
      <c r="I395" t="s">
        <v>15</v>
      </c>
      <c r="J395">
        <v>5</v>
      </c>
      <c r="K395" s="1">
        <f t="shared" si="48"/>
        <v>45982</v>
      </c>
      <c r="L395" s="3">
        <f t="shared" si="49"/>
        <v>14.016666666666667</v>
      </c>
      <c r="M395" s="3">
        <f t="shared" si="50"/>
        <v>1.6333333333333333</v>
      </c>
      <c r="N395" t="str">
        <f t="shared" si="51"/>
        <v>Within SLA</v>
      </c>
      <c r="O395" t="str">
        <f t="shared" si="55"/>
        <v>Satisfied</v>
      </c>
      <c r="P395" t="str">
        <f t="shared" si="52"/>
        <v>Resolved</v>
      </c>
      <c r="Q395" s="2" t="str">
        <f t="shared" si="53"/>
        <v>Nov-2025</v>
      </c>
      <c r="R395" s="2">
        <f t="shared" si="54"/>
        <v>45962</v>
      </c>
    </row>
    <row r="396" spans="1:18">
      <c r="A396" t="s">
        <v>820</v>
      </c>
      <c r="B396" s="2" t="s">
        <v>821</v>
      </c>
      <c r="C396">
        <v>1894</v>
      </c>
      <c r="D396" t="s">
        <v>32</v>
      </c>
      <c r="E396" t="s">
        <v>27</v>
      </c>
      <c r="F396" t="s">
        <v>54</v>
      </c>
      <c r="G396">
        <v>98</v>
      </c>
      <c r="H396">
        <v>2458</v>
      </c>
      <c r="I396" t="s">
        <v>15</v>
      </c>
      <c r="K396" s="1">
        <f t="shared" si="48"/>
        <v>45982</v>
      </c>
      <c r="L396" s="3">
        <f t="shared" si="49"/>
        <v>40.966666666666669</v>
      </c>
      <c r="M396" s="3">
        <f t="shared" si="50"/>
        <v>1.6333333333333333</v>
      </c>
      <c r="N396" t="str">
        <f t="shared" si="51"/>
        <v>Within SLA</v>
      </c>
      <c r="O396" t="str">
        <f t="shared" si="55"/>
        <v>No Rating</v>
      </c>
      <c r="P396" t="str">
        <f t="shared" si="52"/>
        <v>Resolved</v>
      </c>
      <c r="Q396" s="2" t="str">
        <f t="shared" si="53"/>
        <v>Nov-2025</v>
      </c>
      <c r="R396" s="2">
        <f t="shared" si="54"/>
        <v>45962</v>
      </c>
    </row>
    <row r="397" spans="1:18">
      <c r="A397" t="s">
        <v>822</v>
      </c>
      <c r="B397" s="2" t="s">
        <v>823</v>
      </c>
      <c r="C397">
        <v>1051</v>
      </c>
      <c r="D397" t="s">
        <v>47</v>
      </c>
      <c r="E397" t="s">
        <v>27</v>
      </c>
      <c r="F397" t="s">
        <v>14</v>
      </c>
      <c r="G397">
        <v>91</v>
      </c>
      <c r="H397">
        <v>2010</v>
      </c>
      <c r="I397" t="s">
        <v>15</v>
      </c>
      <c r="J397">
        <v>3</v>
      </c>
      <c r="K397" s="1">
        <f t="shared" si="48"/>
        <v>45983</v>
      </c>
      <c r="L397" s="3">
        <f t="shared" si="49"/>
        <v>33.5</v>
      </c>
      <c r="M397" s="3">
        <f t="shared" si="50"/>
        <v>1.5166666666666666</v>
      </c>
      <c r="N397" t="str">
        <f t="shared" si="51"/>
        <v>Within SLA</v>
      </c>
      <c r="O397" t="str">
        <f t="shared" si="55"/>
        <v>Neutral</v>
      </c>
      <c r="P397" t="str">
        <f t="shared" si="52"/>
        <v>Resolved</v>
      </c>
      <c r="Q397" s="2" t="str">
        <f t="shared" si="53"/>
        <v>Nov-2025</v>
      </c>
      <c r="R397" s="2">
        <f t="shared" si="54"/>
        <v>45962</v>
      </c>
    </row>
    <row r="398" spans="1:18">
      <c r="A398" t="s">
        <v>824</v>
      </c>
      <c r="B398" s="2" t="s">
        <v>825</v>
      </c>
      <c r="C398">
        <v>1261</v>
      </c>
      <c r="D398" t="s">
        <v>18</v>
      </c>
      <c r="E398" t="s">
        <v>13</v>
      </c>
      <c r="F398" t="s">
        <v>28</v>
      </c>
      <c r="G398">
        <v>7</v>
      </c>
      <c r="H398">
        <v>405</v>
      </c>
      <c r="I398" t="s">
        <v>15</v>
      </c>
      <c r="J398">
        <v>5</v>
      </c>
      <c r="K398" s="1">
        <f t="shared" si="48"/>
        <v>45983</v>
      </c>
      <c r="L398" s="3">
        <f t="shared" si="49"/>
        <v>6.75</v>
      </c>
      <c r="M398" s="3">
        <f t="shared" si="50"/>
        <v>0.11666666666666667</v>
      </c>
      <c r="N398" t="str">
        <f t="shared" si="51"/>
        <v>Within SLA</v>
      </c>
      <c r="O398" t="str">
        <f t="shared" si="55"/>
        <v>Satisfied</v>
      </c>
      <c r="P398" t="str">
        <f t="shared" si="52"/>
        <v>Resolved</v>
      </c>
      <c r="Q398" s="2" t="str">
        <f t="shared" si="53"/>
        <v>Nov-2025</v>
      </c>
      <c r="R398" s="2">
        <f t="shared" si="54"/>
        <v>45962</v>
      </c>
    </row>
    <row r="399" spans="1:18">
      <c r="A399" t="s">
        <v>826</v>
      </c>
      <c r="B399" s="2" t="s">
        <v>827</v>
      </c>
      <c r="C399">
        <v>1457</v>
      </c>
      <c r="D399" t="s">
        <v>47</v>
      </c>
      <c r="E399" t="s">
        <v>33</v>
      </c>
      <c r="F399" t="s">
        <v>54</v>
      </c>
      <c r="G399">
        <v>413</v>
      </c>
      <c r="H399">
        <v>7260</v>
      </c>
      <c r="I399" t="s">
        <v>15</v>
      </c>
      <c r="J399">
        <v>2</v>
      </c>
      <c r="K399" s="1">
        <f t="shared" si="48"/>
        <v>45983</v>
      </c>
      <c r="L399" s="3">
        <f t="shared" si="49"/>
        <v>121</v>
      </c>
      <c r="M399" s="3">
        <f t="shared" si="50"/>
        <v>6.8833333333333337</v>
      </c>
      <c r="N399" t="str">
        <f t="shared" si="51"/>
        <v>Breached</v>
      </c>
      <c r="O399" t="str">
        <f t="shared" si="55"/>
        <v>Dissatisfied</v>
      </c>
      <c r="P399" t="str">
        <f t="shared" si="52"/>
        <v>Resolved</v>
      </c>
      <c r="Q399" s="2" t="str">
        <f t="shared" si="53"/>
        <v>Nov-2025</v>
      </c>
      <c r="R399" s="2">
        <f t="shared" si="54"/>
        <v>45962</v>
      </c>
    </row>
    <row r="400" spans="1:18">
      <c r="A400" t="s">
        <v>828</v>
      </c>
      <c r="B400" s="2" t="s">
        <v>829</v>
      </c>
      <c r="C400">
        <v>1936</v>
      </c>
      <c r="D400" t="s">
        <v>18</v>
      </c>
      <c r="E400" t="s">
        <v>19</v>
      </c>
      <c r="F400" t="s">
        <v>54</v>
      </c>
      <c r="G400">
        <v>45</v>
      </c>
      <c r="H400">
        <v>721</v>
      </c>
      <c r="I400" t="s">
        <v>15</v>
      </c>
      <c r="J400">
        <v>5</v>
      </c>
      <c r="K400" s="1">
        <f t="shared" si="48"/>
        <v>45984</v>
      </c>
      <c r="L400" s="3">
        <f t="shared" si="49"/>
        <v>12.016666666666667</v>
      </c>
      <c r="M400" s="3">
        <f t="shared" si="50"/>
        <v>0.75</v>
      </c>
      <c r="N400" t="str">
        <f t="shared" si="51"/>
        <v>Within SLA</v>
      </c>
      <c r="O400" t="str">
        <f t="shared" si="55"/>
        <v>Satisfied</v>
      </c>
      <c r="P400" t="str">
        <f t="shared" si="52"/>
        <v>Resolved</v>
      </c>
      <c r="Q400" s="2" t="str">
        <f t="shared" si="53"/>
        <v>Nov-2025</v>
      </c>
      <c r="R400" s="2">
        <f t="shared" si="54"/>
        <v>45962</v>
      </c>
    </row>
    <row r="401" spans="1:18">
      <c r="A401" t="s">
        <v>830</v>
      </c>
      <c r="B401" s="2" t="s">
        <v>831</v>
      </c>
      <c r="C401">
        <v>1535</v>
      </c>
      <c r="D401" t="s">
        <v>18</v>
      </c>
      <c r="E401" t="s">
        <v>27</v>
      </c>
      <c r="F401" t="s">
        <v>71</v>
      </c>
      <c r="G401">
        <v>87</v>
      </c>
      <c r="H401">
        <v>1227</v>
      </c>
      <c r="I401" t="s">
        <v>15</v>
      </c>
      <c r="J401">
        <v>5</v>
      </c>
      <c r="K401" s="1">
        <f t="shared" si="48"/>
        <v>45984</v>
      </c>
      <c r="L401" s="3">
        <f t="shared" si="49"/>
        <v>20.45</v>
      </c>
      <c r="M401" s="3">
        <f t="shared" si="50"/>
        <v>1.45</v>
      </c>
      <c r="N401" t="str">
        <f t="shared" si="51"/>
        <v>Within SLA</v>
      </c>
      <c r="O401" t="str">
        <f t="shared" si="55"/>
        <v>Satisfied</v>
      </c>
      <c r="P401" t="str">
        <f t="shared" si="52"/>
        <v>Resolved</v>
      </c>
      <c r="Q401" s="2" t="str">
        <f t="shared" si="53"/>
        <v>Nov-2025</v>
      </c>
      <c r="R401" s="2">
        <f t="shared" si="54"/>
        <v>45962</v>
      </c>
    </row>
    <row r="402" spans="1:18">
      <c r="A402" t="s">
        <v>832</v>
      </c>
      <c r="B402" s="2" t="s">
        <v>833</v>
      </c>
      <c r="C402">
        <v>1009</v>
      </c>
      <c r="D402" t="s">
        <v>32</v>
      </c>
      <c r="E402" t="s">
        <v>13</v>
      </c>
      <c r="F402" t="s">
        <v>28</v>
      </c>
      <c r="G402">
        <v>10</v>
      </c>
      <c r="H402">
        <v>221</v>
      </c>
      <c r="I402" t="s">
        <v>15</v>
      </c>
      <c r="J402">
        <v>1</v>
      </c>
      <c r="K402" s="1">
        <f t="shared" si="48"/>
        <v>45985</v>
      </c>
      <c r="L402" s="3">
        <f t="shared" si="49"/>
        <v>3.6833333333333331</v>
      </c>
      <c r="M402" s="3">
        <f t="shared" si="50"/>
        <v>0.16666666666666666</v>
      </c>
      <c r="N402" t="str">
        <f t="shared" si="51"/>
        <v>Within SLA</v>
      </c>
      <c r="O402" t="str">
        <f t="shared" si="55"/>
        <v>Dissatisfied</v>
      </c>
      <c r="P402" t="str">
        <f t="shared" si="52"/>
        <v>Resolved</v>
      </c>
      <c r="Q402" s="2" t="str">
        <f t="shared" si="53"/>
        <v>Nov-2025</v>
      </c>
      <c r="R402" s="2">
        <f t="shared" si="54"/>
        <v>45962</v>
      </c>
    </row>
    <row r="403" spans="1:18">
      <c r="A403" t="s">
        <v>834</v>
      </c>
      <c r="B403" s="2" t="s">
        <v>835</v>
      </c>
      <c r="C403">
        <v>1904</v>
      </c>
      <c r="D403" t="s">
        <v>32</v>
      </c>
      <c r="E403" t="s">
        <v>27</v>
      </c>
      <c r="F403" t="s">
        <v>23</v>
      </c>
      <c r="G403">
        <v>117</v>
      </c>
      <c r="H403">
        <v>1592</v>
      </c>
      <c r="I403" t="s">
        <v>20</v>
      </c>
      <c r="K403" s="1">
        <f t="shared" si="48"/>
        <v>45985</v>
      </c>
      <c r="L403" s="3">
        <f t="shared" si="49"/>
        <v>26.533333333333335</v>
      </c>
      <c r="M403" s="3">
        <f t="shared" si="50"/>
        <v>1.95</v>
      </c>
      <c r="N403" t="str">
        <f t="shared" si="51"/>
        <v>Within SLA</v>
      </c>
      <c r="O403" t="str">
        <f t="shared" si="55"/>
        <v>No Rating</v>
      </c>
      <c r="P403" t="str">
        <f t="shared" si="52"/>
        <v>Resolved</v>
      </c>
      <c r="Q403" s="2" t="str">
        <f t="shared" si="53"/>
        <v>Nov-2025</v>
      </c>
      <c r="R403" s="2">
        <f t="shared" si="54"/>
        <v>45962</v>
      </c>
    </row>
    <row r="404" spans="1:18">
      <c r="A404" t="s">
        <v>836</v>
      </c>
      <c r="B404" s="2" t="s">
        <v>837</v>
      </c>
      <c r="C404">
        <v>1289</v>
      </c>
      <c r="D404" t="s">
        <v>26</v>
      </c>
      <c r="E404" t="s">
        <v>19</v>
      </c>
      <c r="F404" t="s">
        <v>54</v>
      </c>
      <c r="G404">
        <v>26</v>
      </c>
      <c r="H404">
        <v>938</v>
      </c>
      <c r="I404" t="s">
        <v>15</v>
      </c>
      <c r="K404" s="1">
        <f t="shared" si="48"/>
        <v>45985</v>
      </c>
      <c r="L404" s="3">
        <f t="shared" si="49"/>
        <v>15.633333333333333</v>
      </c>
      <c r="M404" s="3">
        <f t="shared" si="50"/>
        <v>0.43333333333333335</v>
      </c>
      <c r="N404" t="str">
        <f t="shared" si="51"/>
        <v>Within SLA</v>
      </c>
      <c r="O404" t="str">
        <f t="shared" si="55"/>
        <v>No Rating</v>
      </c>
      <c r="P404" t="str">
        <f t="shared" si="52"/>
        <v>Resolved</v>
      </c>
      <c r="Q404" s="2" t="str">
        <f t="shared" si="53"/>
        <v>Nov-2025</v>
      </c>
      <c r="R404" s="2">
        <f t="shared" si="54"/>
        <v>45962</v>
      </c>
    </row>
    <row r="405" spans="1:18">
      <c r="A405" t="s">
        <v>838</v>
      </c>
      <c r="B405" s="2" t="s">
        <v>839</v>
      </c>
      <c r="C405">
        <v>1189</v>
      </c>
      <c r="D405" t="s">
        <v>12</v>
      </c>
      <c r="E405" t="s">
        <v>19</v>
      </c>
      <c r="F405" t="s">
        <v>64</v>
      </c>
      <c r="G405">
        <v>18</v>
      </c>
      <c r="H405">
        <v>1079</v>
      </c>
      <c r="I405" t="s">
        <v>15</v>
      </c>
      <c r="K405" s="1">
        <f t="shared" si="48"/>
        <v>45986</v>
      </c>
      <c r="L405" s="3">
        <f t="shared" si="49"/>
        <v>17.983333333333334</v>
      </c>
      <c r="M405" s="3">
        <f t="shared" si="50"/>
        <v>0.3</v>
      </c>
      <c r="N405" t="str">
        <f t="shared" si="51"/>
        <v>Within SLA</v>
      </c>
      <c r="O405" t="str">
        <f t="shared" si="55"/>
        <v>No Rating</v>
      </c>
      <c r="P405" t="str">
        <f t="shared" si="52"/>
        <v>Resolved</v>
      </c>
      <c r="Q405" s="2" t="str">
        <f t="shared" si="53"/>
        <v>Nov-2025</v>
      </c>
      <c r="R405" s="2">
        <f t="shared" si="54"/>
        <v>45962</v>
      </c>
    </row>
    <row r="406" spans="1:18">
      <c r="A406" t="s">
        <v>840</v>
      </c>
      <c r="B406" s="2" t="s">
        <v>841</v>
      </c>
      <c r="C406">
        <v>1085</v>
      </c>
      <c r="D406" t="s">
        <v>26</v>
      </c>
      <c r="E406" t="s">
        <v>33</v>
      </c>
      <c r="F406" t="s">
        <v>64</v>
      </c>
      <c r="G406">
        <v>328</v>
      </c>
      <c r="H406">
        <v>5267</v>
      </c>
      <c r="I406" t="s">
        <v>15</v>
      </c>
      <c r="J406">
        <v>2</v>
      </c>
      <c r="K406" s="1">
        <f t="shared" si="48"/>
        <v>45986</v>
      </c>
      <c r="L406" s="3">
        <f t="shared" si="49"/>
        <v>87.783333333333331</v>
      </c>
      <c r="M406" s="3">
        <f t="shared" si="50"/>
        <v>5.4666666666666668</v>
      </c>
      <c r="N406" t="str">
        <f t="shared" si="51"/>
        <v>Breached</v>
      </c>
      <c r="O406" t="str">
        <f t="shared" si="55"/>
        <v>Dissatisfied</v>
      </c>
      <c r="P406" t="str">
        <f t="shared" si="52"/>
        <v>Resolved</v>
      </c>
      <c r="Q406" s="2" t="str">
        <f t="shared" si="53"/>
        <v>Nov-2025</v>
      </c>
      <c r="R406" s="2">
        <f t="shared" si="54"/>
        <v>45962</v>
      </c>
    </row>
    <row r="407" spans="1:18">
      <c r="A407" t="s">
        <v>842</v>
      </c>
      <c r="B407" s="2" t="s">
        <v>843</v>
      </c>
      <c r="C407">
        <v>1517</v>
      </c>
      <c r="D407" t="s">
        <v>47</v>
      </c>
      <c r="E407" t="s">
        <v>13</v>
      </c>
      <c r="F407" t="s">
        <v>23</v>
      </c>
      <c r="G407">
        <v>10</v>
      </c>
      <c r="I407" t="s">
        <v>29</v>
      </c>
      <c r="K407" s="1">
        <f t="shared" si="48"/>
        <v>45986</v>
      </c>
      <c r="L407" s="3" t="str">
        <f t="shared" si="49"/>
        <v/>
      </c>
      <c r="M407" s="3">
        <f t="shared" si="50"/>
        <v>0.16666666666666666</v>
      </c>
      <c r="N407" t="str">
        <f t="shared" si="51"/>
        <v>Open</v>
      </c>
      <c r="O407" t="str">
        <f t="shared" si="55"/>
        <v>No Rating</v>
      </c>
      <c r="P407" t="str">
        <f t="shared" si="52"/>
        <v>Unresolved</v>
      </c>
      <c r="Q407" s="2" t="str">
        <f t="shared" si="53"/>
        <v>Nov-2025</v>
      </c>
      <c r="R407" s="2">
        <f t="shared" si="54"/>
        <v>45962</v>
      </c>
    </row>
    <row r="408" spans="1:18">
      <c r="A408" t="s">
        <v>844</v>
      </c>
      <c r="B408" s="2" t="s">
        <v>845</v>
      </c>
      <c r="C408">
        <v>1387</v>
      </c>
      <c r="D408" t="s">
        <v>18</v>
      </c>
      <c r="E408" t="s">
        <v>27</v>
      </c>
      <c r="F408" t="s">
        <v>43</v>
      </c>
      <c r="G408">
        <v>96</v>
      </c>
      <c r="H408">
        <v>1367</v>
      </c>
      <c r="I408" t="s">
        <v>15</v>
      </c>
      <c r="J408">
        <v>3</v>
      </c>
      <c r="K408" s="1">
        <f t="shared" si="48"/>
        <v>45987</v>
      </c>
      <c r="L408" s="3">
        <f t="shared" si="49"/>
        <v>22.783333333333335</v>
      </c>
      <c r="M408" s="3">
        <f t="shared" si="50"/>
        <v>1.6</v>
      </c>
      <c r="N408" t="str">
        <f t="shared" si="51"/>
        <v>Within SLA</v>
      </c>
      <c r="O408" t="str">
        <f t="shared" si="55"/>
        <v>Neutral</v>
      </c>
      <c r="P408" t="str">
        <f t="shared" si="52"/>
        <v>Resolved</v>
      </c>
      <c r="Q408" s="2" t="str">
        <f t="shared" si="53"/>
        <v>Nov-2025</v>
      </c>
      <c r="R408" s="2">
        <f t="shared" si="54"/>
        <v>45962</v>
      </c>
    </row>
    <row r="409" spans="1:18">
      <c r="A409" t="s">
        <v>846</v>
      </c>
      <c r="B409" s="2" t="s">
        <v>847</v>
      </c>
      <c r="C409">
        <v>1219</v>
      </c>
      <c r="D409" t="s">
        <v>18</v>
      </c>
      <c r="E409" t="s">
        <v>27</v>
      </c>
      <c r="F409" t="s">
        <v>34</v>
      </c>
      <c r="G409">
        <v>153</v>
      </c>
      <c r="H409">
        <v>3014</v>
      </c>
      <c r="I409" t="s">
        <v>15</v>
      </c>
      <c r="J409">
        <v>1</v>
      </c>
      <c r="K409" s="1">
        <f t="shared" si="48"/>
        <v>45987</v>
      </c>
      <c r="L409" s="3">
        <f t="shared" si="49"/>
        <v>50.233333333333334</v>
      </c>
      <c r="M409" s="3">
        <f t="shared" si="50"/>
        <v>2.5499999999999998</v>
      </c>
      <c r="N409" t="str">
        <f t="shared" si="51"/>
        <v>Breached</v>
      </c>
      <c r="O409" t="str">
        <f t="shared" si="55"/>
        <v>Dissatisfied</v>
      </c>
      <c r="P409" t="str">
        <f t="shared" si="52"/>
        <v>Resolved</v>
      </c>
      <c r="Q409" s="2" t="str">
        <f t="shared" si="53"/>
        <v>Nov-2025</v>
      </c>
      <c r="R409" s="2">
        <f t="shared" si="54"/>
        <v>45962</v>
      </c>
    </row>
    <row r="410" spans="1:18">
      <c r="A410" t="s">
        <v>848</v>
      </c>
      <c r="B410" s="2" t="s">
        <v>849</v>
      </c>
      <c r="C410">
        <v>1558</v>
      </c>
      <c r="D410" t="s">
        <v>32</v>
      </c>
      <c r="E410" t="s">
        <v>33</v>
      </c>
      <c r="F410" t="s">
        <v>54</v>
      </c>
      <c r="G410">
        <v>464</v>
      </c>
      <c r="H410">
        <v>8841</v>
      </c>
      <c r="I410" t="s">
        <v>15</v>
      </c>
      <c r="K410" s="1">
        <f t="shared" si="48"/>
        <v>45987</v>
      </c>
      <c r="L410" s="3">
        <f t="shared" si="49"/>
        <v>147.35</v>
      </c>
      <c r="M410" s="3">
        <f t="shared" si="50"/>
        <v>7.7333333333333334</v>
      </c>
      <c r="N410" t="str">
        <f t="shared" si="51"/>
        <v>Breached</v>
      </c>
      <c r="O410" t="str">
        <f t="shared" si="55"/>
        <v>No Rating</v>
      </c>
      <c r="P410" t="str">
        <f t="shared" si="52"/>
        <v>Resolved</v>
      </c>
      <c r="Q410" s="2" t="str">
        <f t="shared" si="53"/>
        <v>Nov-2025</v>
      </c>
      <c r="R410" s="2">
        <f t="shared" si="54"/>
        <v>45962</v>
      </c>
    </row>
    <row r="411" spans="1:18">
      <c r="A411" t="s">
        <v>850</v>
      </c>
      <c r="B411" s="2" t="s">
        <v>851</v>
      </c>
      <c r="C411">
        <v>1656</v>
      </c>
      <c r="D411" t="s">
        <v>12</v>
      </c>
      <c r="E411" t="s">
        <v>19</v>
      </c>
      <c r="F411" t="s">
        <v>54</v>
      </c>
      <c r="G411">
        <v>8</v>
      </c>
      <c r="I411" t="s">
        <v>44</v>
      </c>
      <c r="K411" s="1">
        <f t="shared" si="48"/>
        <v>45988</v>
      </c>
      <c r="L411" s="3" t="str">
        <f t="shared" si="49"/>
        <v/>
      </c>
      <c r="M411" s="3">
        <f t="shared" si="50"/>
        <v>0.13333333333333333</v>
      </c>
      <c r="N411" t="str">
        <f t="shared" si="51"/>
        <v>Open</v>
      </c>
      <c r="O411" t="str">
        <f t="shared" si="55"/>
        <v>No Rating</v>
      </c>
      <c r="P411" t="str">
        <f t="shared" si="52"/>
        <v>Unresolved</v>
      </c>
      <c r="Q411" s="2" t="str">
        <f t="shared" si="53"/>
        <v>Nov-2025</v>
      </c>
      <c r="R411" s="2">
        <f t="shared" si="54"/>
        <v>45962</v>
      </c>
    </row>
    <row r="412" spans="1:18">
      <c r="A412" t="s">
        <v>852</v>
      </c>
      <c r="B412" s="2" t="s">
        <v>853</v>
      </c>
      <c r="C412">
        <v>1772</v>
      </c>
      <c r="D412" t="s">
        <v>26</v>
      </c>
      <c r="E412" t="s">
        <v>33</v>
      </c>
      <c r="F412" t="s">
        <v>59</v>
      </c>
      <c r="G412">
        <v>254</v>
      </c>
      <c r="H412">
        <v>8660</v>
      </c>
      <c r="I412" t="s">
        <v>15</v>
      </c>
      <c r="J412">
        <v>5</v>
      </c>
      <c r="K412" s="1">
        <f t="shared" si="48"/>
        <v>45988</v>
      </c>
      <c r="L412" s="3">
        <f t="shared" si="49"/>
        <v>144.33333333333334</v>
      </c>
      <c r="M412" s="3">
        <f t="shared" si="50"/>
        <v>4.2333333333333334</v>
      </c>
      <c r="N412" t="str">
        <f t="shared" si="51"/>
        <v>Breached</v>
      </c>
      <c r="O412" t="str">
        <f t="shared" si="55"/>
        <v>Satisfied</v>
      </c>
      <c r="P412" t="str">
        <f t="shared" si="52"/>
        <v>Resolved</v>
      </c>
      <c r="Q412" s="2" t="str">
        <f t="shared" si="53"/>
        <v>Nov-2025</v>
      </c>
      <c r="R412" s="2">
        <f t="shared" si="54"/>
        <v>45962</v>
      </c>
    </row>
    <row r="413" spans="1:18">
      <c r="A413" t="s">
        <v>854</v>
      </c>
      <c r="B413" s="2" t="s">
        <v>855</v>
      </c>
      <c r="C413">
        <v>1602</v>
      </c>
      <c r="D413" t="s">
        <v>12</v>
      </c>
      <c r="E413" t="s">
        <v>27</v>
      </c>
      <c r="F413" t="s">
        <v>43</v>
      </c>
      <c r="G413">
        <v>120</v>
      </c>
      <c r="H413">
        <v>3076</v>
      </c>
      <c r="I413" t="s">
        <v>15</v>
      </c>
      <c r="J413">
        <v>1</v>
      </c>
      <c r="K413" s="1">
        <f t="shared" si="48"/>
        <v>45989</v>
      </c>
      <c r="L413" s="3">
        <f t="shared" si="49"/>
        <v>51.266666666666666</v>
      </c>
      <c r="M413" s="3">
        <f t="shared" si="50"/>
        <v>2</v>
      </c>
      <c r="N413" t="str">
        <f t="shared" si="51"/>
        <v>Breached</v>
      </c>
      <c r="O413" t="str">
        <f t="shared" si="55"/>
        <v>Dissatisfied</v>
      </c>
      <c r="P413" t="str">
        <f t="shared" si="52"/>
        <v>Resolved</v>
      </c>
      <c r="Q413" s="2" t="str">
        <f t="shared" si="53"/>
        <v>Nov-2025</v>
      </c>
      <c r="R413" s="2">
        <f t="shared" si="54"/>
        <v>45962</v>
      </c>
    </row>
    <row r="414" spans="1:18">
      <c r="A414" t="s">
        <v>856</v>
      </c>
      <c r="B414" s="2" t="s">
        <v>857</v>
      </c>
      <c r="C414">
        <v>1994</v>
      </c>
      <c r="D414" t="s">
        <v>26</v>
      </c>
      <c r="E414" t="s">
        <v>33</v>
      </c>
      <c r="F414" t="s">
        <v>71</v>
      </c>
      <c r="G414">
        <v>75</v>
      </c>
      <c r="H414">
        <v>6027</v>
      </c>
      <c r="I414" t="s">
        <v>15</v>
      </c>
      <c r="J414">
        <v>3</v>
      </c>
      <c r="K414" s="1">
        <f t="shared" si="48"/>
        <v>45989</v>
      </c>
      <c r="L414" s="3">
        <f t="shared" si="49"/>
        <v>100.45</v>
      </c>
      <c r="M414" s="3">
        <f t="shared" si="50"/>
        <v>1.25</v>
      </c>
      <c r="N414" t="str">
        <f t="shared" si="51"/>
        <v>Breached</v>
      </c>
      <c r="O414" t="str">
        <f t="shared" si="55"/>
        <v>Neutral</v>
      </c>
      <c r="P414" t="str">
        <f t="shared" si="52"/>
        <v>Resolved</v>
      </c>
      <c r="Q414" s="2" t="str">
        <f t="shared" si="53"/>
        <v>Nov-2025</v>
      </c>
      <c r="R414" s="2">
        <f t="shared" si="54"/>
        <v>45962</v>
      </c>
    </row>
    <row r="415" spans="1:18">
      <c r="A415" t="s">
        <v>858</v>
      </c>
      <c r="B415" s="2" t="s">
        <v>859</v>
      </c>
      <c r="C415">
        <v>1062</v>
      </c>
      <c r="D415" t="s">
        <v>18</v>
      </c>
      <c r="E415" t="s">
        <v>19</v>
      </c>
      <c r="F415" t="s">
        <v>64</v>
      </c>
      <c r="G415">
        <v>13</v>
      </c>
      <c r="H415">
        <v>205</v>
      </c>
      <c r="I415" t="s">
        <v>15</v>
      </c>
      <c r="J415">
        <v>2</v>
      </c>
      <c r="K415" s="1">
        <f t="shared" si="48"/>
        <v>45989</v>
      </c>
      <c r="L415" s="3">
        <f t="shared" si="49"/>
        <v>3.4166666666666665</v>
      </c>
      <c r="M415" s="3">
        <f t="shared" si="50"/>
        <v>0.21666666666666667</v>
      </c>
      <c r="N415" t="str">
        <f t="shared" si="51"/>
        <v>Within SLA</v>
      </c>
      <c r="O415" t="str">
        <f t="shared" si="55"/>
        <v>Dissatisfied</v>
      </c>
      <c r="P415" t="str">
        <f t="shared" si="52"/>
        <v>Resolved</v>
      </c>
      <c r="Q415" s="2" t="str">
        <f t="shared" si="53"/>
        <v>Nov-2025</v>
      </c>
      <c r="R415" s="2">
        <f t="shared" si="54"/>
        <v>45962</v>
      </c>
    </row>
    <row r="416" spans="1:18">
      <c r="A416" t="s">
        <v>860</v>
      </c>
      <c r="B416" s="2" t="s">
        <v>861</v>
      </c>
      <c r="C416">
        <v>1332</v>
      </c>
      <c r="D416" t="s">
        <v>18</v>
      </c>
      <c r="E416" t="s">
        <v>19</v>
      </c>
      <c r="F416" t="s">
        <v>71</v>
      </c>
      <c r="G416">
        <v>41</v>
      </c>
      <c r="H416">
        <v>507</v>
      </c>
      <c r="I416" t="s">
        <v>15</v>
      </c>
      <c r="J416">
        <v>3</v>
      </c>
      <c r="K416" s="1">
        <f t="shared" si="48"/>
        <v>45990</v>
      </c>
      <c r="L416" s="3">
        <f t="shared" si="49"/>
        <v>8.4499999999999993</v>
      </c>
      <c r="M416" s="3">
        <f t="shared" si="50"/>
        <v>0.68333333333333335</v>
      </c>
      <c r="N416" t="str">
        <f t="shared" si="51"/>
        <v>Within SLA</v>
      </c>
      <c r="O416" t="str">
        <f t="shared" si="55"/>
        <v>Neutral</v>
      </c>
      <c r="P416" t="str">
        <f t="shared" si="52"/>
        <v>Resolved</v>
      </c>
      <c r="Q416" s="2" t="str">
        <f t="shared" si="53"/>
        <v>Nov-2025</v>
      </c>
      <c r="R416" s="2">
        <f t="shared" si="54"/>
        <v>45962</v>
      </c>
    </row>
    <row r="417" spans="1:18">
      <c r="A417" t="s">
        <v>862</v>
      </c>
      <c r="B417" s="2" t="s">
        <v>863</v>
      </c>
      <c r="C417">
        <v>1392</v>
      </c>
      <c r="D417" t="s">
        <v>32</v>
      </c>
      <c r="E417" t="s">
        <v>27</v>
      </c>
      <c r="F417" t="s">
        <v>59</v>
      </c>
      <c r="G417">
        <v>121</v>
      </c>
      <c r="H417">
        <v>720</v>
      </c>
      <c r="I417" t="s">
        <v>20</v>
      </c>
      <c r="K417" s="1">
        <f t="shared" si="48"/>
        <v>45990</v>
      </c>
      <c r="L417" s="3">
        <f t="shared" si="49"/>
        <v>12</v>
      </c>
      <c r="M417" s="3">
        <f t="shared" si="50"/>
        <v>2.0166666666666666</v>
      </c>
      <c r="N417" t="str">
        <f t="shared" si="51"/>
        <v>Within SLA</v>
      </c>
      <c r="O417" t="str">
        <f t="shared" si="55"/>
        <v>No Rating</v>
      </c>
      <c r="P417" t="str">
        <f t="shared" si="52"/>
        <v>Resolved</v>
      </c>
      <c r="Q417" s="2" t="str">
        <f t="shared" si="53"/>
        <v>Nov-2025</v>
      </c>
      <c r="R417" s="2">
        <f t="shared" si="54"/>
        <v>45962</v>
      </c>
    </row>
    <row r="418" spans="1:18">
      <c r="A418" t="s">
        <v>864</v>
      </c>
      <c r="B418" s="2" t="s">
        <v>865</v>
      </c>
      <c r="C418">
        <v>1470</v>
      </c>
      <c r="D418" t="s">
        <v>32</v>
      </c>
      <c r="E418" t="s">
        <v>13</v>
      </c>
      <c r="F418" t="s">
        <v>23</v>
      </c>
      <c r="G418">
        <v>2</v>
      </c>
      <c r="H418">
        <v>269</v>
      </c>
      <c r="I418" t="s">
        <v>20</v>
      </c>
      <c r="K418" s="1">
        <f t="shared" si="48"/>
        <v>45990</v>
      </c>
      <c r="L418" s="3">
        <f t="shared" si="49"/>
        <v>4.4833333333333334</v>
      </c>
      <c r="M418" s="3">
        <f t="shared" si="50"/>
        <v>3.3333333333333333E-2</v>
      </c>
      <c r="N418" t="str">
        <f t="shared" si="51"/>
        <v>Within SLA</v>
      </c>
      <c r="O418" t="str">
        <f t="shared" si="55"/>
        <v>No Rating</v>
      </c>
      <c r="P418" t="str">
        <f t="shared" si="52"/>
        <v>Resolved</v>
      </c>
      <c r="Q418" s="2" t="str">
        <f t="shared" si="53"/>
        <v>Nov-2025</v>
      </c>
      <c r="R418" s="2">
        <f t="shared" si="54"/>
        <v>45962</v>
      </c>
    </row>
    <row r="419" spans="1:18">
      <c r="A419" t="s">
        <v>866</v>
      </c>
      <c r="B419" s="2" t="s">
        <v>867</v>
      </c>
      <c r="C419">
        <v>1569</v>
      </c>
      <c r="D419" t="s">
        <v>12</v>
      </c>
      <c r="E419" t="s">
        <v>19</v>
      </c>
      <c r="F419" t="s">
        <v>43</v>
      </c>
      <c r="G419">
        <v>13</v>
      </c>
      <c r="H419">
        <v>1042</v>
      </c>
      <c r="I419" t="s">
        <v>15</v>
      </c>
      <c r="K419" s="1">
        <f t="shared" si="48"/>
        <v>45991</v>
      </c>
      <c r="L419" s="3">
        <f t="shared" si="49"/>
        <v>17.366666666666667</v>
      </c>
      <c r="M419" s="3">
        <f t="shared" si="50"/>
        <v>0.21666666666666667</v>
      </c>
      <c r="N419" t="str">
        <f t="shared" si="51"/>
        <v>Within SLA</v>
      </c>
      <c r="O419" t="str">
        <f t="shared" si="55"/>
        <v>No Rating</v>
      </c>
      <c r="P419" t="str">
        <f t="shared" si="52"/>
        <v>Resolved</v>
      </c>
      <c r="Q419" s="2" t="str">
        <f t="shared" si="53"/>
        <v>Nov-2025</v>
      </c>
      <c r="R419" s="2">
        <f t="shared" si="54"/>
        <v>45962</v>
      </c>
    </row>
    <row r="420" spans="1:18">
      <c r="A420" t="s">
        <v>868</v>
      </c>
      <c r="B420" s="2" t="s">
        <v>869</v>
      </c>
      <c r="C420">
        <v>1114</v>
      </c>
      <c r="D420" t="s">
        <v>47</v>
      </c>
      <c r="E420" t="s">
        <v>33</v>
      </c>
      <c r="F420" t="s">
        <v>64</v>
      </c>
      <c r="G420">
        <v>297</v>
      </c>
      <c r="H420">
        <v>8477</v>
      </c>
      <c r="I420" t="s">
        <v>15</v>
      </c>
      <c r="K420" s="1">
        <f t="shared" si="48"/>
        <v>45991</v>
      </c>
      <c r="L420" s="3">
        <f t="shared" si="49"/>
        <v>141.28333333333333</v>
      </c>
      <c r="M420" s="3">
        <f t="shared" si="50"/>
        <v>4.95</v>
      </c>
      <c r="N420" t="str">
        <f t="shared" si="51"/>
        <v>Breached</v>
      </c>
      <c r="O420" t="str">
        <f t="shared" si="55"/>
        <v>No Rating</v>
      </c>
      <c r="P420" t="str">
        <f t="shared" si="52"/>
        <v>Resolved</v>
      </c>
      <c r="Q420" s="2" t="str">
        <f t="shared" si="53"/>
        <v>Nov-2025</v>
      </c>
      <c r="R420" s="2">
        <f t="shared" si="54"/>
        <v>45962</v>
      </c>
    </row>
    <row r="421" spans="1:18">
      <c r="A421" t="s">
        <v>870</v>
      </c>
      <c r="B421" s="2" t="s">
        <v>871</v>
      </c>
      <c r="C421">
        <v>1042</v>
      </c>
      <c r="D421" t="s">
        <v>12</v>
      </c>
      <c r="E421" t="s">
        <v>19</v>
      </c>
      <c r="F421" t="s">
        <v>59</v>
      </c>
      <c r="G421">
        <v>11</v>
      </c>
      <c r="I421" t="s">
        <v>29</v>
      </c>
      <c r="K421" s="1">
        <f t="shared" si="48"/>
        <v>45991</v>
      </c>
      <c r="L421" s="3" t="str">
        <f t="shared" si="49"/>
        <v/>
      </c>
      <c r="M421" s="3">
        <f t="shared" si="50"/>
        <v>0.18333333333333332</v>
      </c>
      <c r="N421" t="str">
        <f t="shared" si="51"/>
        <v>Open</v>
      </c>
      <c r="O421" t="str">
        <f t="shared" si="55"/>
        <v>No Rating</v>
      </c>
      <c r="P421" t="str">
        <f t="shared" si="52"/>
        <v>Unresolved</v>
      </c>
      <c r="Q421" s="2" t="str">
        <f t="shared" si="53"/>
        <v>Nov-2025</v>
      </c>
      <c r="R421" s="2">
        <f t="shared" si="54"/>
        <v>45962</v>
      </c>
    </row>
    <row r="422" spans="1:18">
      <c r="A422" t="s">
        <v>872</v>
      </c>
      <c r="B422" s="2" t="s">
        <v>873</v>
      </c>
      <c r="C422">
        <v>1764</v>
      </c>
      <c r="D422" t="s">
        <v>47</v>
      </c>
      <c r="E422" t="s">
        <v>19</v>
      </c>
      <c r="F422" t="s">
        <v>23</v>
      </c>
      <c r="G422">
        <v>39</v>
      </c>
      <c r="I422" t="s">
        <v>44</v>
      </c>
      <c r="K422" s="1">
        <f t="shared" si="48"/>
        <v>45992</v>
      </c>
      <c r="L422" s="3" t="str">
        <f t="shared" si="49"/>
        <v/>
      </c>
      <c r="M422" s="3">
        <f t="shared" si="50"/>
        <v>0.65</v>
      </c>
      <c r="N422" t="str">
        <f t="shared" si="51"/>
        <v>Open</v>
      </c>
      <c r="O422" t="str">
        <f t="shared" si="55"/>
        <v>No Rating</v>
      </c>
      <c r="P422" t="str">
        <f t="shared" si="52"/>
        <v>Unresolved</v>
      </c>
      <c r="Q422" s="2" t="str">
        <f t="shared" si="53"/>
        <v>Dec-2025</v>
      </c>
      <c r="R422" s="2">
        <f t="shared" si="54"/>
        <v>45992</v>
      </c>
    </row>
    <row r="423" spans="1:18">
      <c r="A423" t="s">
        <v>874</v>
      </c>
      <c r="B423" s="2" t="s">
        <v>875</v>
      </c>
      <c r="C423">
        <v>1569</v>
      </c>
      <c r="D423" t="s">
        <v>18</v>
      </c>
      <c r="E423" t="s">
        <v>33</v>
      </c>
      <c r="F423" t="s">
        <v>23</v>
      </c>
      <c r="G423">
        <v>243</v>
      </c>
      <c r="H423">
        <v>1676</v>
      </c>
      <c r="I423" t="s">
        <v>15</v>
      </c>
      <c r="J423">
        <v>2</v>
      </c>
      <c r="K423" s="1">
        <f t="shared" si="48"/>
        <v>45992</v>
      </c>
      <c r="L423" s="3">
        <f t="shared" si="49"/>
        <v>27.933333333333334</v>
      </c>
      <c r="M423" s="3">
        <f t="shared" si="50"/>
        <v>4.05</v>
      </c>
      <c r="N423" t="str">
        <f t="shared" si="51"/>
        <v>Within SLA</v>
      </c>
      <c r="O423" t="str">
        <f t="shared" si="55"/>
        <v>Dissatisfied</v>
      </c>
      <c r="P423" t="str">
        <f t="shared" si="52"/>
        <v>Resolved</v>
      </c>
      <c r="Q423" s="2" t="str">
        <f t="shared" si="53"/>
        <v>Dec-2025</v>
      </c>
      <c r="R423" s="2">
        <f t="shared" si="54"/>
        <v>45992</v>
      </c>
    </row>
    <row r="424" spans="1:18">
      <c r="A424" t="s">
        <v>876</v>
      </c>
      <c r="B424" s="2" t="s">
        <v>877</v>
      </c>
      <c r="C424">
        <v>1004</v>
      </c>
      <c r="D424" t="s">
        <v>47</v>
      </c>
      <c r="E424" t="s">
        <v>33</v>
      </c>
      <c r="F424" t="s">
        <v>54</v>
      </c>
      <c r="G424">
        <v>204</v>
      </c>
      <c r="H424">
        <v>2796</v>
      </c>
      <c r="I424" t="s">
        <v>15</v>
      </c>
      <c r="J424">
        <v>4</v>
      </c>
      <c r="K424" s="1">
        <f t="shared" si="48"/>
        <v>45993</v>
      </c>
      <c r="L424" s="3">
        <f t="shared" si="49"/>
        <v>46.6</v>
      </c>
      <c r="M424" s="3">
        <f t="shared" si="50"/>
        <v>3.4</v>
      </c>
      <c r="N424" t="str">
        <f t="shared" si="51"/>
        <v>Within SLA</v>
      </c>
      <c r="O424" t="str">
        <f t="shared" si="55"/>
        <v>Satisfied</v>
      </c>
      <c r="P424" t="str">
        <f t="shared" si="52"/>
        <v>Resolved</v>
      </c>
      <c r="Q424" s="2" t="str">
        <f t="shared" si="53"/>
        <v>Dec-2025</v>
      </c>
      <c r="R424" s="2">
        <f t="shared" si="54"/>
        <v>45992</v>
      </c>
    </row>
    <row r="425" spans="1:18">
      <c r="A425" t="s">
        <v>878</v>
      </c>
      <c r="B425" s="2" t="s">
        <v>879</v>
      </c>
      <c r="C425">
        <v>1948</v>
      </c>
      <c r="D425" t="s">
        <v>12</v>
      </c>
      <c r="E425" t="s">
        <v>27</v>
      </c>
      <c r="F425" t="s">
        <v>54</v>
      </c>
      <c r="G425">
        <v>86</v>
      </c>
      <c r="H425">
        <v>752</v>
      </c>
      <c r="I425" t="s">
        <v>20</v>
      </c>
      <c r="K425" s="1">
        <f t="shared" si="48"/>
        <v>45993</v>
      </c>
      <c r="L425" s="3">
        <f t="shared" si="49"/>
        <v>12.533333333333333</v>
      </c>
      <c r="M425" s="3">
        <f t="shared" si="50"/>
        <v>1.4333333333333333</v>
      </c>
      <c r="N425" t="str">
        <f t="shared" si="51"/>
        <v>Within SLA</v>
      </c>
      <c r="O425" t="str">
        <f t="shared" si="55"/>
        <v>No Rating</v>
      </c>
      <c r="P425" t="str">
        <f t="shared" si="52"/>
        <v>Resolved</v>
      </c>
      <c r="Q425" s="2" t="str">
        <f t="shared" si="53"/>
        <v>Dec-2025</v>
      </c>
      <c r="R425" s="2">
        <f t="shared" si="54"/>
        <v>45992</v>
      </c>
    </row>
    <row r="426" spans="1:18">
      <c r="A426" t="s">
        <v>880</v>
      </c>
      <c r="B426" s="2" t="s">
        <v>881</v>
      </c>
      <c r="C426">
        <v>1865</v>
      </c>
      <c r="D426" t="s">
        <v>18</v>
      </c>
      <c r="E426" t="s">
        <v>27</v>
      </c>
      <c r="F426" t="s">
        <v>23</v>
      </c>
      <c r="G426">
        <v>155</v>
      </c>
      <c r="H426">
        <v>1566</v>
      </c>
      <c r="I426" t="s">
        <v>20</v>
      </c>
      <c r="J426">
        <v>5</v>
      </c>
      <c r="K426" s="1">
        <f t="shared" si="48"/>
        <v>45993</v>
      </c>
      <c r="L426" s="3">
        <f t="shared" si="49"/>
        <v>26.1</v>
      </c>
      <c r="M426" s="3">
        <f t="shared" si="50"/>
        <v>2.5833333333333335</v>
      </c>
      <c r="N426" t="str">
        <f t="shared" si="51"/>
        <v>Within SLA</v>
      </c>
      <c r="O426" t="str">
        <f t="shared" si="55"/>
        <v>Satisfied</v>
      </c>
      <c r="P426" t="str">
        <f t="shared" si="52"/>
        <v>Resolved</v>
      </c>
      <c r="Q426" s="2" t="str">
        <f t="shared" si="53"/>
        <v>Dec-2025</v>
      </c>
      <c r="R426" s="2">
        <f t="shared" si="54"/>
        <v>45992</v>
      </c>
    </row>
    <row r="427" spans="1:18">
      <c r="A427" t="s">
        <v>882</v>
      </c>
      <c r="B427" s="2" t="s">
        <v>883</v>
      </c>
      <c r="C427">
        <v>1438</v>
      </c>
      <c r="D427" t="s">
        <v>18</v>
      </c>
      <c r="E427" t="s">
        <v>27</v>
      </c>
      <c r="F427" t="s">
        <v>43</v>
      </c>
      <c r="G427">
        <v>139</v>
      </c>
      <c r="H427">
        <v>3444</v>
      </c>
      <c r="I427" t="s">
        <v>15</v>
      </c>
      <c r="J427">
        <v>4</v>
      </c>
      <c r="K427" s="1">
        <f t="shared" si="48"/>
        <v>45994</v>
      </c>
      <c r="L427" s="3">
        <f t="shared" si="49"/>
        <v>57.4</v>
      </c>
      <c r="M427" s="3">
        <f t="shared" si="50"/>
        <v>2.3166666666666669</v>
      </c>
      <c r="N427" t="str">
        <f t="shared" si="51"/>
        <v>Breached</v>
      </c>
      <c r="O427" t="str">
        <f t="shared" si="55"/>
        <v>Satisfied</v>
      </c>
      <c r="P427" t="str">
        <f t="shared" si="52"/>
        <v>Resolved</v>
      </c>
      <c r="Q427" s="2" t="str">
        <f t="shared" si="53"/>
        <v>Dec-2025</v>
      </c>
      <c r="R427" s="2">
        <f t="shared" si="54"/>
        <v>45992</v>
      </c>
    </row>
    <row r="428" spans="1:18">
      <c r="A428" t="s">
        <v>884</v>
      </c>
      <c r="B428" s="2" t="s">
        <v>885</v>
      </c>
      <c r="C428">
        <v>1557</v>
      </c>
      <c r="D428" t="s">
        <v>12</v>
      </c>
      <c r="E428" t="s">
        <v>27</v>
      </c>
      <c r="F428" t="s">
        <v>14</v>
      </c>
      <c r="G428">
        <v>101</v>
      </c>
      <c r="I428" t="s">
        <v>44</v>
      </c>
      <c r="K428" s="1">
        <f t="shared" si="48"/>
        <v>45994</v>
      </c>
      <c r="L428" s="3" t="str">
        <f t="shared" si="49"/>
        <v/>
      </c>
      <c r="M428" s="3">
        <f t="shared" si="50"/>
        <v>1.6833333333333333</v>
      </c>
      <c r="N428" t="str">
        <f t="shared" si="51"/>
        <v>Open</v>
      </c>
      <c r="O428" t="str">
        <f t="shared" si="55"/>
        <v>No Rating</v>
      </c>
      <c r="P428" t="str">
        <f t="shared" si="52"/>
        <v>Unresolved</v>
      </c>
      <c r="Q428" s="2" t="str">
        <f t="shared" si="53"/>
        <v>Dec-2025</v>
      </c>
      <c r="R428" s="2">
        <f t="shared" si="54"/>
        <v>45992</v>
      </c>
    </row>
    <row r="429" spans="1:18">
      <c r="A429" t="s">
        <v>886</v>
      </c>
      <c r="B429" s="2" t="s">
        <v>887</v>
      </c>
      <c r="C429">
        <v>1332</v>
      </c>
      <c r="D429" t="s">
        <v>47</v>
      </c>
      <c r="E429" t="s">
        <v>27</v>
      </c>
      <c r="F429" t="s">
        <v>71</v>
      </c>
      <c r="G429">
        <v>49</v>
      </c>
      <c r="H429">
        <v>2029</v>
      </c>
      <c r="I429" t="s">
        <v>15</v>
      </c>
      <c r="J429">
        <v>5</v>
      </c>
      <c r="K429" s="1">
        <f t="shared" si="48"/>
        <v>45994</v>
      </c>
      <c r="L429" s="3">
        <f t="shared" si="49"/>
        <v>33.81666666666667</v>
      </c>
      <c r="M429" s="3">
        <f t="shared" si="50"/>
        <v>0.81666666666666665</v>
      </c>
      <c r="N429" t="str">
        <f t="shared" si="51"/>
        <v>Within SLA</v>
      </c>
      <c r="O429" t="str">
        <f t="shared" si="55"/>
        <v>Satisfied</v>
      </c>
      <c r="P429" t="str">
        <f t="shared" si="52"/>
        <v>Resolved</v>
      </c>
      <c r="Q429" s="2" t="str">
        <f t="shared" si="53"/>
        <v>Dec-2025</v>
      </c>
      <c r="R429" s="2">
        <f t="shared" si="54"/>
        <v>45992</v>
      </c>
    </row>
    <row r="430" spans="1:18">
      <c r="A430" t="s">
        <v>888</v>
      </c>
      <c r="B430" s="2" t="s">
        <v>889</v>
      </c>
      <c r="C430">
        <v>1608</v>
      </c>
      <c r="D430" t="s">
        <v>12</v>
      </c>
      <c r="E430" t="s">
        <v>13</v>
      </c>
      <c r="F430" t="s">
        <v>54</v>
      </c>
      <c r="G430">
        <v>9</v>
      </c>
      <c r="H430">
        <v>209</v>
      </c>
      <c r="I430" t="s">
        <v>20</v>
      </c>
      <c r="K430" s="1">
        <f t="shared" si="48"/>
        <v>45995</v>
      </c>
      <c r="L430" s="3">
        <f t="shared" si="49"/>
        <v>3.4833333333333334</v>
      </c>
      <c r="M430" s="3">
        <f t="shared" si="50"/>
        <v>0.15</v>
      </c>
      <c r="N430" t="str">
        <f t="shared" si="51"/>
        <v>Within SLA</v>
      </c>
      <c r="O430" t="str">
        <f t="shared" si="55"/>
        <v>No Rating</v>
      </c>
      <c r="P430" t="str">
        <f t="shared" si="52"/>
        <v>Resolved</v>
      </c>
      <c r="Q430" s="2" t="str">
        <f t="shared" si="53"/>
        <v>Dec-2025</v>
      </c>
      <c r="R430" s="2">
        <f t="shared" si="54"/>
        <v>45992</v>
      </c>
    </row>
    <row r="431" spans="1:18">
      <c r="A431" t="s">
        <v>890</v>
      </c>
      <c r="B431" s="2" t="s">
        <v>891</v>
      </c>
      <c r="C431">
        <v>1307</v>
      </c>
      <c r="D431" t="s">
        <v>12</v>
      </c>
      <c r="E431" t="s">
        <v>19</v>
      </c>
      <c r="F431" t="s">
        <v>28</v>
      </c>
      <c r="G431">
        <v>14</v>
      </c>
      <c r="H431">
        <v>701</v>
      </c>
      <c r="I431" t="s">
        <v>15</v>
      </c>
      <c r="J431">
        <v>1</v>
      </c>
      <c r="K431" s="1">
        <f t="shared" si="48"/>
        <v>45995</v>
      </c>
      <c r="L431" s="3">
        <f t="shared" si="49"/>
        <v>11.683333333333334</v>
      </c>
      <c r="M431" s="3">
        <f t="shared" si="50"/>
        <v>0.23333333333333334</v>
      </c>
      <c r="N431" t="str">
        <f t="shared" si="51"/>
        <v>Within SLA</v>
      </c>
      <c r="O431" t="str">
        <f t="shared" si="55"/>
        <v>Dissatisfied</v>
      </c>
      <c r="P431" t="str">
        <f t="shared" si="52"/>
        <v>Resolved</v>
      </c>
      <c r="Q431" s="2" t="str">
        <f t="shared" si="53"/>
        <v>Dec-2025</v>
      </c>
      <c r="R431" s="2">
        <f t="shared" si="54"/>
        <v>45992</v>
      </c>
    </row>
    <row r="432" spans="1:18">
      <c r="A432" t="s">
        <v>892</v>
      </c>
      <c r="B432" s="2" t="s">
        <v>893</v>
      </c>
      <c r="C432">
        <v>1168</v>
      </c>
      <c r="D432" t="s">
        <v>12</v>
      </c>
      <c r="E432" t="s">
        <v>13</v>
      </c>
      <c r="F432" t="s">
        <v>23</v>
      </c>
      <c r="G432">
        <v>9</v>
      </c>
      <c r="H432">
        <v>196</v>
      </c>
      <c r="I432" t="s">
        <v>20</v>
      </c>
      <c r="J432">
        <v>3</v>
      </c>
      <c r="K432" s="1">
        <f t="shared" si="48"/>
        <v>45995</v>
      </c>
      <c r="L432" s="3">
        <f t="shared" si="49"/>
        <v>3.2666666666666666</v>
      </c>
      <c r="M432" s="3">
        <f t="shared" si="50"/>
        <v>0.15</v>
      </c>
      <c r="N432" t="str">
        <f t="shared" si="51"/>
        <v>Within SLA</v>
      </c>
      <c r="O432" t="str">
        <f t="shared" si="55"/>
        <v>Neutral</v>
      </c>
      <c r="P432" t="str">
        <f t="shared" si="52"/>
        <v>Resolved</v>
      </c>
      <c r="Q432" s="2" t="str">
        <f t="shared" si="53"/>
        <v>Dec-2025</v>
      </c>
      <c r="R432" s="2">
        <f t="shared" si="54"/>
        <v>45992</v>
      </c>
    </row>
    <row r="433" spans="1:18">
      <c r="A433" t="s">
        <v>894</v>
      </c>
      <c r="B433" s="2" t="s">
        <v>895</v>
      </c>
      <c r="C433">
        <v>1335</v>
      </c>
      <c r="D433" t="s">
        <v>12</v>
      </c>
      <c r="E433" t="s">
        <v>27</v>
      </c>
      <c r="F433" t="s">
        <v>28</v>
      </c>
      <c r="G433">
        <v>103</v>
      </c>
      <c r="H433">
        <v>1763</v>
      </c>
      <c r="I433" t="s">
        <v>20</v>
      </c>
      <c r="J433">
        <v>2</v>
      </c>
      <c r="K433" s="1">
        <f t="shared" si="48"/>
        <v>45996</v>
      </c>
      <c r="L433" s="3">
        <f t="shared" si="49"/>
        <v>29.383333333333333</v>
      </c>
      <c r="M433" s="3">
        <f t="shared" si="50"/>
        <v>1.7166666666666666</v>
      </c>
      <c r="N433" t="str">
        <f t="shared" si="51"/>
        <v>Within SLA</v>
      </c>
      <c r="O433" t="str">
        <f t="shared" si="55"/>
        <v>Dissatisfied</v>
      </c>
      <c r="P433" t="str">
        <f t="shared" si="52"/>
        <v>Resolved</v>
      </c>
      <c r="Q433" s="2" t="str">
        <f t="shared" si="53"/>
        <v>Dec-2025</v>
      </c>
      <c r="R433" s="2">
        <f t="shared" si="54"/>
        <v>45992</v>
      </c>
    </row>
    <row r="434" spans="1:18">
      <c r="A434" t="s">
        <v>896</v>
      </c>
      <c r="B434" s="2" t="s">
        <v>897</v>
      </c>
      <c r="C434">
        <v>1575</v>
      </c>
      <c r="D434" t="s">
        <v>12</v>
      </c>
      <c r="E434" t="s">
        <v>27</v>
      </c>
      <c r="F434" t="s">
        <v>54</v>
      </c>
      <c r="G434">
        <v>35</v>
      </c>
      <c r="H434">
        <v>3220</v>
      </c>
      <c r="I434" t="s">
        <v>15</v>
      </c>
      <c r="J434">
        <v>2</v>
      </c>
      <c r="K434" s="1">
        <f t="shared" si="48"/>
        <v>45996</v>
      </c>
      <c r="L434" s="3">
        <f t="shared" si="49"/>
        <v>53.666666666666664</v>
      </c>
      <c r="M434" s="3">
        <f t="shared" si="50"/>
        <v>0.58333333333333337</v>
      </c>
      <c r="N434" t="str">
        <f t="shared" si="51"/>
        <v>Breached</v>
      </c>
      <c r="O434" t="str">
        <f t="shared" si="55"/>
        <v>Dissatisfied</v>
      </c>
      <c r="P434" t="str">
        <f t="shared" si="52"/>
        <v>Resolved</v>
      </c>
      <c r="Q434" s="2" t="str">
        <f t="shared" si="53"/>
        <v>Dec-2025</v>
      </c>
      <c r="R434" s="2">
        <f t="shared" si="54"/>
        <v>45992</v>
      </c>
    </row>
    <row r="435" spans="1:18">
      <c r="A435" t="s">
        <v>898</v>
      </c>
      <c r="B435" s="2" t="s">
        <v>899</v>
      </c>
      <c r="C435">
        <v>1235</v>
      </c>
      <c r="D435" t="s">
        <v>18</v>
      </c>
      <c r="E435" t="s">
        <v>27</v>
      </c>
      <c r="F435" t="s">
        <v>43</v>
      </c>
      <c r="G435">
        <v>83</v>
      </c>
      <c r="H435">
        <v>2481</v>
      </c>
      <c r="I435" t="s">
        <v>15</v>
      </c>
      <c r="J435">
        <v>3</v>
      </c>
      <c r="K435" s="1">
        <f t="shared" si="48"/>
        <v>45997</v>
      </c>
      <c r="L435" s="3">
        <f t="shared" si="49"/>
        <v>41.35</v>
      </c>
      <c r="M435" s="3">
        <f t="shared" si="50"/>
        <v>1.3833333333333333</v>
      </c>
      <c r="N435" t="str">
        <f t="shared" si="51"/>
        <v>Within SLA</v>
      </c>
      <c r="O435" t="str">
        <f t="shared" si="55"/>
        <v>Neutral</v>
      </c>
      <c r="P435" t="str">
        <f t="shared" si="52"/>
        <v>Resolved</v>
      </c>
      <c r="Q435" s="2" t="str">
        <f t="shared" si="53"/>
        <v>Dec-2025</v>
      </c>
      <c r="R435" s="2">
        <f t="shared" si="54"/>
        <v>45992</v>
      </c>
    </row>
    <row r="436" spans="1:18">
      <c r="A436" t="s">
        <v>900</v>
      </c>
      <c r="B436" s="2" t="s">
        <v>901</v>
      </c>
      <c r="C436">
        <v>2000</v>
      </c>
      <c r="D436" t="s">
        <v>47</v>
      </c>
      <c r="E436" t="s">
        <v>19</v>
      </c>
      <c r="F436" t="s">
        <v>64</v>
      </c>
      <c r="G436">
        <v>43</v>
      </c>
      <c r="H436">
        <v>850</v>
      </c>
      <c r="I436" t="s">
        <v>15</v>
      </c>
      <c r="J436">
        <v>2</v>
      </c>
      <c r="K436" s="1">
        <f t="shared" si="48"/>
        <v>45997</v>
      </c>
      <c r="L436" s="3">
        <f t="shared" si="49"/>
        <v>14.166666666666666</v>
      </c>
      <c r="M436" s="3">
        <f t="shared" si="50"/>
        <v>0.71666666666666667</v>
      </c>
      <c r="N436" t="str">
        <f t="shared" si="51"/>
        <v>Within SLA</v>
      </c>
      <c r="O436" t="str">
        <f t="shared" si="55"/>
        <v>Dissatisfied</v>
      </c>
      <c r="P436" t="str">
        <f t="shared" si="52"/>
        <v>Resolved</v>
      </c>
      <c r="Q436" s="2" t="str">
        <f t="shared" si="53"/>
        <v>Dec-2025</v>
      </c>
      <c r="R436" s="2">
        <f t="shared" si="54"/>
        <v>45992</v>
      </c>
    </row>
    <row r="437" spans="1:18">
      <c r="A437" t="s">
        <v>902</v>
      </c>
      <c r="B437" s="2" t="s">
        <v>903</v>
      </c>
      <c r="C437">
        <v>1698</v>
      </c>
      <c r="D437" t="s">
        <v>32</v>
      </c>
      <c r="E437" t="s">
        <v>19</v>
      </c>
      <c r="F437" t="s">
        <v>71</v>
      </c>
      <c r="G437">
        <v>17</v>
      </c>
      <c r="H437">
        <v>822</v>
      </c>
      <c r="I437" t="s">
        <v>15</v>
      </c>
      <c r="J437">
        <v>3</v>
      </c>
      <c r="K437" s="1">
        <f t="shared" si="48"/>
        <v>45997</v>
      </c>
      <c r="L437" s="3">
        <f t="shared" si="49"/>
        <v>13.7</v>
      </c>
      <c r="M437" s="3">
        <f t="shared" si="50"/>
        <v>0.28333333333333333</v>
      </c>
      <c r="N437" t="str">
        <f t="shared" si="51"/>
        <v>Within SLA</v>
      </c>
      <c r="O437" t="str">
        <f t="shared" si="55"/>
        <v>Neutral</v>
      </c>
      <c r="P437" t="str">
        <f t="shared" si="52"/>
        <v>Resolved</v>
      </c>
      <c r="Q437" s="2" t="str">
        <f t="shared" si="53"/>
        <v>Dec-2025</v>
      </c>
      <c r="R437" s="2">
        <f t="shared" si="54"/>
        <v>45992</v>
      </c>
    </row>
    <row r="438" spans="1:18">
      <c r="A438" t="s">
        <v>904</v>
      </c>
      <c r="B438" s="2" t="s">
        <v>905</v>
      </c>
      <c r="C438">
        <v>1716</v>
      </c>
      <c r="D438" t="s">
        <v>32</v>
      </c>
      <c r="E438" t="s">
        <v>19</v>
      </c>
      <c r="F438" t="s">
        <v>14</v>
      </c>
      <c r="G438">
        <v>19</v>
      </c>
      <c r="H438">
        <v>153</v>
      </c>
      <c r="I438" t="s">
        <v>15</v>
      </c>
      <c r="J438">
        <v>1</v>
      </c>
      <c r="K438" s="1">
        <f t="shared" si="48"/>
        <v>45998</v>
      </c>
      <c r="L438" s="3">
        <f t="shared" si="49"/>
        <v>2.5499999999999998</v>
      </c>
      <c r="M438" s="3">
        <f t="shared" si="50"/>
        <v>0.31666666666666665</v>
      </c>
      <c r="N438" t="str">
        <f t="shared" si="51"/>
        <v>Within SLA</v>
      </c>
      <c r="O438" t="str">
        <f t="shared" si="55"/>
        <v>Dissatisfied</v>
      </c>
      <c r="P438" t="str">
        <f t="shared" si="52"/>
        <v>Resolved</v>
      </c>
      <c r="Q438" s="2" t="str">
        <f t="shared" si="53"/>
        <v>Dec-2025</v>
      </c>
      <c r="R438" s="2">
        <f t="shared" si="54"/>
        <v>45992</v>
      </c>
    </row>
    <row r="439" spans="1:18">
      <c r="A439" t="s">
        <v>906</v>
      </c>
      <c r="B439" s="2" t="s">
        <v>907</v>
      </c>
      <c r="C439">
        <v>1308</v>
      </c>
      <c r="D439" t="s">
        <v>47</v>
      </c>
      <c r="E439" t="s">
        <v>27</v>
      </c>
      <c r="F439" t="s">
        <v>64</v>
      </c>
      <c r="G439">
        <v>53</v>
      </c>
      <c r="H439">
        <v>2233</v>
      </c>
      <c r="I439" t="s">
        <v>15</v>
      </c>
      <c r="J439">
        <v>1</v>
      </c>
      <c r="K439" s="1">
        <f t="shared" si="48"/>
        <v>45998</v>
      </c>
      <c r="L439" s="3">
        <f t="shared" si="49"/>
        <v>37.216666666666669</v>
      </c>
      <c r="M439" s="3">
        <f t="shared" si="50"/>
        <v>0.8833333333333333</v>
      </c>
      <c r="N439" t="str">
        <f t="shared" si="51"/>
        <v>Within SLA</v>
      </c>
      <c r="O439" t="str">
        <f t="shared" si="55"/>
        <v>Dissatisfied</v>
      </c>
      <c r="P439" t="str">
        <f t="shared" si="52"/>
        <v>Resolved</v>
      </c>
      <c r="Q439" s="2" t="str">
        <f t="shared" si="53"/>
        <v>Dec-2025</v>
      </c>
      <c r="R439" s="2">
        <f t="shared" si="54"/>
        <v>45992</v>
      </c>
    </row>
    <row r="440" spans="1:18">
      <c r="A440" t="s">
        <v>908</v>
      </c>
      <c r="B440" s="2" t="s">
        <v>909</v>
      </c>
      <c r="C440">
        <v>1425</v>
      </c>
      <c r="D440" t="s">
        <v>18</v>
      </c>
      <c r="E440" t="s">
        <v>27</v>
      </c>
      <c r="F440" t="s">
        <v>64</v>
      </c>
      <c r="G440">
        <v>137</v>
      </c>
      <c r="H440">
        <v>2335</v>
      </c>
      <c r="I440" t="s">
        <v>15</v>
      </c>
      <c r="J440">
        <v>1</v>
      </c>
      <c r="K440" s="1">
        <f t="shared" si="48"/>
        <v>45998</v>
      </c>
      <c r="L440" s="3">
        <f t="shared" si="49"/>
        <v>38.916666666666664</v>
      </c>
      <c r="M440" s="3">
        <f t="shared" si="50"/>
        <v>2.2833333333333332</v>
      </c>
      <c r="N440" t="str">
        <f t="shared" si="51"/>
        <v>Within SLA</v>
      </c>
      <c r="O440" t="str">
        <f t="shared" si="55"/>
        <v>Dissatisfied</v>
      </c>
      <c r="P440" t="str">
        <f t="shared" si="52"/>
        <v>Resolved</v>
      </c>
      <c r="Q440" s="2" t="str">
        <f t="shared" si="53"/>
        <v>Dec-2025</v>
      </c>
      <c r="R440" s="2">
        <f t="shared" si="54"/>
        <v>45992</v>
      </c>
    </row>
    <row r="441" spans="1:18">
      <c r="A441" t="s">
        <v>910</v>
      </c>
      <c r="B441" s="2" t="s">
        <v>911</v>
      </c>
      <c r="C441">
        <v>1260</v>
      </c>
      <c r="D441" t="s">
        <v>32</v>
      </c>
      <c r="E441" t="s">
        <v>33</v>
      </c>
      <c r="F441" t="s">
        <v>14</v>
      </c>
      <c r="G441">
        <v>353</v>
      </c>
      <c r="H441">
        <v>1501</v>
      </c>
      <c r="I441" t="s">
        <v>15</v>
      </c>
      <c r="K441" s="1">
        <f t="shared" si="48"/>
        <v>45999</v>
      </c>
      <c r="L441" s="3">
        <f t="shared" si="49"/>
        <v>25.016666666666666</v>
      </c>
      <c r="M441" s="3">
        <f t="shared" si="50"/>
        <v>5.8833333333333337</v>
      </c>
      <c r="N441" t="str">
        <f t="shared" si="51"/>
        <v>Within SLA</v>
      </c>
      <c r="O441" t="str">
        <f t="shared" si="55"/>
        <v>No Rating</v>
      </c>
      <c r="P441" t="str">
        <f t="shared" si="52"/>
        <v>Resolved</v>
      </c>
      <c r="Q441" s="2" t="str">
        <f t="shared" si="53"/>
        <v>Dec-2025</v>
      </c>
      <c r="R441" s="2">
        <f t="shared" si="54"/>
        <v>45992</v>
      </c>
    </row>
    <row r="442" spans="1:18">
      <c r="A442" t="s">
        <v>912</v>
      </c>
      <c r="B442" s="2" t="s">
        <v>913</v>
      </c>
      <c r="C442">
        <v>1321</v>
      </c>
      <c r="D442" t="s">
        <v>47</v>
      </c>
      <c r="E442" t="s">
        <v>33</v>
      </c>
      <c r="F442" t="s">
        <v>71</v>
      </c>
      <c r="G442">
        <v>181</v>
      </c>
      <c r="I442" t="s">
        <v>29</v>
      </c>
      <c r="K442" s="1">
        <f t="shared" si="48"/>
        <v>45999</v>
      </c>
      <c r="L442" s="3" t="str">
        <f t="shared" si="49"/>
        <v/>
      </c>
      <c r="M442" s="3">
        <f t="shared" si="50"/>
        <v>3.0166666666666666</v>
      </c>
      <c r="N442" t="str">
        <f t="shared" si="51"/>
        <v>Open</v>
      </c>
      <c r="O442" t="str">
        <f t="shared" si="55"/>
        <v>No Rating</v>
      </c>
      <c r="P442" t="str">
        <f t="shared" si="52"/>
        <v>Unresolved</v>
      </c>
      <c r="Q442" s="2" t="str">
        <f t="shared" si="53"/>
        <v>Dec-2025</v>
      </c>
      <c r="R442" s="2">
        <f t="shared" si="54"/>
        <v>45992</v>
      </c>
    </row>
    <row r="443" spans="1:18">
      <c r="A443" t="s">
        <v>914</v>
      </c>
      <c r="B443" s="2" t="s">
        <v>915</v>
      </c>
      <c r="C443">
        <v>1759</v>
      </c>
      <c r="D443" t="s">
        <v>32</v>
      </c>
      <c r="E443" t="s">
        <v>19</v>
      </c>
      <c r="F443" t="s">
        <v>43</v>
      </c>
      <c r="G443">
        <v>35</v>
      </c>
      <c r="H443">
        <v>844</v>
      </c>
      <c r="I443" t="s">
        <v>15</v>
      </c>
      <c r="J443">
        <v>5</v>
      </c>
      <c r="K443" s="1">
        <f t="shared" si="48"/>
        <v>45999</v>
      </c>
      <c r="L443" s="3">
        <f t="shared" si="49"/>
        <v>14.066666666666666</v>
      </c>
      <c r="M443" s="3">
        <f t="shared" si="50"/>
        <v>0.58333333333333337</v>
      </c>
      <c r="N443" t="str">
        <f t="shared" si="51"/>
        <v>Within SLA</v>
      </c>
      <c r="O443" t="str">
        <f t="shared" si="55"/>
        <v>Satisfied</v>
      </c>
      <c r="P443" t="str">
        <f t="shared" si="52"/>
        <v>Resolved</v>
      </c>
      <c r="Q443" s="2" t="str">
        <f t="shared" si="53"/>
        <v>Dec-2025</v>
      </c>
      <c r="R443" s="2">
        <f t="shared" si="54"/>
        <v>45992</v>
      </c>
    </row>
    <row r="444" spans="1:18">
      <c r="A444" t="s">
        <v>916</v>
      </c>
      <c r="B444" s="2" t="s">
        <v>917</v>
      </c>
      <c r="C444">
        <v>1480</v>
      </c>
      <c r="D444" t="s">
        <v>47</v>
      </c>
      <c r="E444" t="s">
        <v>19</v>
      </c>
      <c r="F444" t="s">
        <v>71</v>
      </c>
      <c r="G444">
        <v>17</v>
      </c>
      <c r="H444">
        <v>192</v>
      </c>
      <c r="I444" t="s">
        <v>15</v>
      </c>
      <c r="J444">
        <v>2</v>
      </c>
      <c r="K444" s="1">
        <f t="shared" si="48"/>
        <v>46000</v>
      </c>
      <c r="L444" s="3">
        <f t="shared" si="49"/>
        <v>3.2</v>
      </c>
      <c r="M444" s="3">
        <f t="shared" si="50"/>
        <v>0.28333333333333333</v>
      </c>
      <c r="N444" t="str">
        <f t="shared" si="51"/>
        <v>Within SLA</v>
      </c>
      <c r="O444" t="str">
        <f t="shared" si="55"/>
        <v>Dissatisfied</v>
      </c>
      <c r="P444" t="str">
        <f t="shared" si="52"/>
        <v>Resolved</v>
      </c>
      <c r="Q444" s="2" t="str">
        <f t="shared" si="53"/>
        <v>Dec-2025</v>
      </c>
      <c r="R444" s="2">
        <f t="shared" si="54"/>
        <v>45992</v>
      </c>
    </row>
    <row r="445" spans="1:18">
      <c r="A445" t="s">
        <v>918</v>
      </c>
      <c r="B445" s="2" t="s">
        <v>919</v>
      </c>
      <c r="C445">
        <v>1094</v>
      </c>
      <c r="D445" t="s">
        <v>18</v>
      </c>
      <c r="E445" t="s">
        <v>33</v>
      </c>
      <c r="F445" t="s">
        <v>64</v>
      </c>
      <c r="G445">
        <v>204</v>
      </c>
      <c r="H445">
        <v>3054</v>
      </c>
      <c r="I445" t="s">
        <v>20</v>
      </c>
      <c r="K445" s="1">
        <f t="shared" si="48"/>
        <v>46000</v>
      </c>
      <c r="L445" s="3">
        <f t="shared" si="49"/>
        <v>50.9</v>
      </c>
      <c r="M445" s="3">
        <f t="shared" si="50"/>
        <v>3.4</v>
      </c>
      <c r="N445" t="str">
        <f t="shared" si="51"/>
        <v>Within SLA</v>
      </c>
      <c r="O445" t="str">
        <f t="shared" si="55"/>
        <v>No Rating</v>
      </c>
      <c r="P445" t="str">
        <f t="shared" si="52"/>
        <v>Resolved</v>
      </c>
      <c r="Q445" s="2" t="str">
        <f t="shared" si="53"/>
        <v>Dec-2025</v>
      </c>
      <c r="R445" s="2">
        <f t="shared" si="54"/>
        <v>45992</v>
      </c>
    </row>
    <row r="446" spans="1:18">
      <c r="A446" t="s">
        <v>920</v>
      </c>
      <c r="B446" s="2" t="s">
        <v>921</v>
      </c>
      <c r="C446">
        <v>1202</v>
      </c>
      <c r="D446" t="s">
        <v>18</v>
      </c>
      <c r="E446" t="s">
        <v>19</v>
      </c>
      <c r="F446" t="s">
        <v>14</v>
      </c>
      <c r="G446">
        <v>31</v>
      </c>
      <c r="H446">
        <v>997</v>
      </c>
      <c r="I446" t="s">
        <v>15</v>
      </c>
      <c r="K446" s="1">
        <f t="shared" si="48"/>
        <v>46001</v>
      </c>
      <c r="L446" s="3">
        <f t="shared" si="49"/>
        <v>16.616666666666667</v>
      </c>
      <c r="M446" s="3">
        <f t="shared" si="50"/>
        <v>0.51666666666666672</v>
      </c>
      <c r="N446" t="str">
        <f t="shared" si="51"/>
        <v>Within SLA</v>
      </c>
      <c r="O446" t="str">
        <f t="shared" si="55"/>
        <v>No Rating</v>
      </c>
      <c r="P446" t="str">
        <f t="shared" si="52"/>
        <v>Resolved</v>
      </c>
      <c r="Q446" s="2" t="str">
        <f t="shared" si="53"/>
        <v>Dec-2025</v>
      </c>
      <c r="R446" s="2">
        <f t="shared" si="54"/>
        <v>45992</v>
      </c>
    </row>
    <row r="447" spans="1:18">
      <c r="A447" t="s">
        <v>922</v>
      </c>
      <c r="B447" s="2" t="s">
        <v>923</v>
      </c>
      <c r="C447">
        <v>1686</v>
      </c>
      <c r="D447" t="s">
        <v>18</v>
      </c>
      <c r="E447" t="s">
        <v>27</v>
      </c>
      <c r="F447" t="s">
        <v>14</v>
      </c>
      <c r="G447">
        <v>99</v>
      </c>
      <c r="H447">
        <v>2314</v>
      </c>
      <c r="I447" t="s">
        <v>15</v>
      </c>
      <c r="K447" s="1">
        <f t="shared" si="48"/>
        <v>46001</v>
      </c>
      <c r="L447" s="3">
        <f t="shared" si="49"/>
        <v>38.56666666666667</v>
      </c>
      <c r="M447" s="3">
        <f t="shared" si="50"/>
        <v>1.65</v>
      </c>
      <c r="N447" t="str">
        <f t="shared" si="51"/>
        <v>Within SLA</v>
      </c>
      <c r="O447" t="str">
        <f t="shared" si="55"/>
        <v>No Rating</v>
      </c>
      <c r="P447" t="str">
        <f t="shared" si="52"/>
        <v>Resolved</v>
      </c>
      <c r="Q447" s="2" t="str">
        <f t="shared" si="53"/>
        <v>Dec-2025</v>
      </c>
      <c r="R447" s="2">
        <f t="shared" si="54"/>
        <v>45992</v>
      </c>
    </row>
    <row r="448" spans="1:18">
      <c r="A448" t="s">
        <v>924</v>
      </c>
      <c r="B448" s="2" t="s">
        <v>925</v>
      </c>
      <c r="C448">
        <v>1279</v>
      </c>
      <c r="D448" t="s">
        <v>47</v>
      </c>
      <c r="E448" t="s">
        <v>13</v>
      </c>
      <c r="F448" t="s">
        <v>54</v>
      </c>
      <c r="G448">
        <v>6</v>
      </c>
      <c r="H448">
        <v>244</v>
      </c>
      <c r="I448" t="s">
        <v>15</v>
      </c>
      <c r="K448" s="1">
        <f t="shared" si="48"/>
        <v>46001</v>
      </c>
      <c r="L448" s="3">
        <f t="shared" si="49"/>
        <v>4.0666666666666664</v>
      </c>
      <c r="M448" s="3">
        <f t="shared" si="50"/>
        <v>0.1</v>
      </c>
      <c r="N448" t="str">
        <f t="shared" si="51"/>
        <v>Within SLA</v>
      </c>
      <c r="O448" t="str">
        <f t="shared" si="55"/>
        <v>No Rating</v>
      </c>
      <c r="P448" t="str">
        <f t="shared" si="52"/>
        <v>Resolved</v>
      </c>
      <c r="Q448" s="2" t="str">
        <f t="shared" si="53"/>
        <v>Dec-2025</v>
      </c>
      <c r="R448" s="2">
        <f t="shared" si="54"/>
        <v>45992</v>
      </c>
    </row>
    <row r="449" spans="1:18">
      <c r="A449" t="s">
        <v>926</v>
      </c>
      <c r="B449" s="2" t="s">
        <v>927</v>
      </c>
      <c r="C449">
        <v>1098</v>
      </c>
      <c r="D449" t="s">
        <v>18</v>
      </c>
      <c r="E449" t="s">
        <v>27</v>
      </c>
      <c r="F449" t="s">
        <v>59</v>
      </c>
      <c r="G449">
        <v>55</v>
      </c>
      <c r="H449">
        <v>1009</v>
      </c>
      <c r="I449" t="s">
        <v>20</v>
      </c>
      <c r="J449">
        <v>2</v>
      </c>
      <c r="K449" s="1">
        <f t="shared" si="48"/>
        <v>46002</v>
      </c>
      <c r="L449" s="3">
        <f t="shared" si="49"/>
        <v>16.816666666666666</v>
      </c>
      <c r="M449" s="3">
        <f t="shared" si="50"/>
        <v>0.91666666666666663</v>
      </c>
      <c r="N449" t="str">
        <f t="shared" si="51"/>
        <v>Within SLA</v>
      </c>
      <c r="O449" t="str">
        <f t="shared" si="55"/>
        <v>Dissatisfied</v>
      </c>
      <c r="P449" t="str">
        <f t="shared" si="52"/>
        <v>Resolved</v>
      </c>
      <c r="Q449" s="2" t="str">
        <f t="shared" si="53"/>
        <v>Dec-2025</v>
      </c>
      <c r="R449" s="2">
        <f t="shared" si="54"/>
        <v>45992</v>
      </c>
    </row>
    <row r="450" spans="1:18">
      <c r="A450" t="s">
        <v>928</v>
      </c>
      <c r="B450" s="2" t="s">
        <v>929</v>
      </c>
      <c r="C450">
        <v>1315</v>
      </c>
      <c r="D450" t="s">
        <v>12</v>
      </c>
      <c r="E450" t="s">
        <v>27</v>
      </c>
      <c r="F450" t="s">
        <v>43</v>
      </c>
      <c r="G450">
        <v>93</v>
      </c>
      <c r="H450">
        <v>995</v>
      </c>
      <c r="I450" t="s">
        <v>15</v>
      </c>
      <c r="K450" s="1">
        <f t="shared" si="48"/>
        <v>46002</v>
      </c>
      <c r="L450" s="3">
        <f t="shared" si="49"/>
        <v>16.583333333333332</v>
      </c>
      <c r="M450" s="3">
        <f t="shared" si="50"/>
        <v>1.55</v>
      </c>
      <c r="N450" t="str">
        <f t="shared" si="51"/>
        <v>Within SLA</v>
      </c>
      <c r="O450" t="str">
        <f t="shared" si="55"/>
        <v>No Rating</v>
      </c>
      <c r="P450" t="str">
        <f t="shared" si="52"/>
        <v>Resolved</v>
      </c>
      <c r="Q450" s="2" t="str">
        <f t="shared" si="53"/>
        <v>Dec-2025</v>
      </c>
      <c r="R450" s="2">
        <f t="shared" si="54"/>
        <v>45992</v>
      </c>
    </row>
    <row r="451" spans="1:18">
      <c r="A451" t="s">
        <v>930</v>
      </c>
      <c r="B451" s="2" t="s">
        <v>931</v>
      </c>
      <c r="C451">
        <v>1330</v>
      </c>
      <c r="D451" t="s">
        <v>32</v>
      </c>
      <c r="E451" t="s">
        <v>27</v>
      </c>
      <c r="F451" t="s">
        <v>34</v>
      </c>
      <c r="G451">
        <v>110</v>
      </c>
      <c r="H451">
        <v>3300</v>
      </c>
      <c r="I451" t="s">
        <v>15</v>
      </c>
      <c r="K451" s="1">
        <f t="shared" ref="K451:K514" si="56">IF(B451="","",DATEVALUE(LEFT(B451,10)))</f>
        <v>46002</v>
      </c>
      <c r="L451" s="3">
        <f t="shared" ref="L451:L514" si="57">IF(H451="","",H451/60)</f>
        <v>55</v>
      </c>
      <c r="M451" s="3">
        <f t="shared" ref="M451:M514" si="58">IF(G451="","",G451/60)</f>
        <v>1.8333333333333333</v>
      </c>
      <c r="N451" t="str">
        <f t="shared" ref="N451:N514" si="59">IF(L451="","Open",IF(L451&lt;=IF(E451="Urgent",8,IF(E451="High",24,IF(E451="Normal",48,72))),"Within SLA","Breached"))</f>
        <v>Breached</v>
      </c>
      <c r="O451" t="str">
        <f t="shared" si="55"/>
        <v>No Rating</v>
      </c>
      <c r="P451" t="str">
        <f t="shared" ref="P451:P514" si="60">IF(I451="Closed","Resolved",IF(I451="Resolved","Resolved","Unresolved"))</f>
        <v>Resolved</v>
      </c>
      <c r="Q451" s="2" t="str">
        <f t="shared" ref="Q451:Q514" si="61">IF(K451="","",TEXT(K451,"mmm-yyyy"))</f>
        <v>Dec-2025</v>
      </c>
      <c r="R451" s="2">
        <f t="shared" ref="R451:R514" si="62">IF(K451="","",DATE(YEAR(K451),MONTH(K451),1))</f>
        <v>45992</v>
      </c>
    </row>
    <row r="452" spans="1:18">
      <c r="A452" t="s">
        <v>932</v>
      </c>
      <c r="B452" s="2" t="s">
        <v>933</v>
      </c>
      <c r="C452">
        <v>1961</v>
      </c>
      <c r="D452" t="s">
        <v>12</v>
      </c>
      <c r="E452" t="s">
        <v>13</v>
      </c>
      <c r="F452" t="s">
        <v>23</v>
      </c>
      <c r="G452">
        <v>3</v>
      </c>
      <c r="H452">
        <v>242</v>
      </c>
      <c r="I452" t="s">
        <v>15</v>
      </c>
      <c r="K452" s="1">
        <f t="shared" si="56"/>
        <v>46003</v>
      </c>
      <c r="L452" s="3">
        <f t="shared" si="57"/>
        <v>4.0333333333333332</v>
      </c>
      <c r="M452" s="3">
        <f t="shared" si="58"/>
        <v>0.05</v>
      </c>
      <c r="N452" t="str">
        <f t="shared" si="59"/>
        <v>Within SLA</v>
      </c>
      <c r="O452" t="str">
        <f t="shared" ref="O452:O515" si="63">IF(J452="","No Rating",IF(J452&gt;=4,"Satisfied",IF(J452=3,"Neutral","Dissatisfied")))</f>
        <v>No Rating</v>
      </c>
      <c r="P452" t="str">
        <f t="shared" si="60"/>
        <v>Resolved</v>
      </c>
      <c r="Q452" s="2" t="str">
        <f t="shared" si="61"/>
        <v>Dec-2025</v>
      </c>
      <c r="R452" s="2">
        <f t="shared" si="62"/>
        <v>45992</v>
      </c>
    </row>
    <row r="453" spans="1:18">
      <c r="A453" t="s">
        <v>934</v>
      </c>
      <c r="B453" s="2" t="s">
        <v>935</v>
      </c>
      <c r="C453">
        <v>1768</v>
      </c>
      <c r="D453" t="s">
        <v>26</v>
      </c>
      <c r="E453" t="s">
        <v>33</v>
      </c>
      <c r="F453" t="s">
        <v>59</v>
      </c>
      <c r="G453">
        <v>302</v>
      </c>
      <c r="H453">
        <v>3193</v>
      </c>
      <c r="I453" t="s">
        <v>15</v>
      </c>
      <c r="J453">
        <v>2</v>
      </c>
      <c r="K453" s="1">
        <f t="shared" si="56"/>
        <v>46003</v>
      </c>
      <c r="L453" s="3">
        <f t="shared" si="57"/>
        <v>53.216666666666669</v>
      </c>
      <c r="M453" s="3">
        <f t="shared" si="58"/>
        <v>5.0333333333333332</v>
      </c>
      <c r="N453" t="str">
        <f t="shared" si="59"/>
        <v>Within SLA</v>
      </c>
      <c r="O453" t="str">
        <f t="shared" si="63"/>
        <v>Dissatisfied</v>
      </c>
      <c r="P453" t="str">
        <f t="shared" si="60"/>
        <v>Resolved</v>
      </c>
      <c r="Q453" s="2" t="str">
        <f t="shared" si="61"/>
        <v>Dec-2025</v>
      </c>
      <c r="R453" s="2">
        <f t="shared" si="62"/>
        <v>45992</v>
      </c>
    </row>
    <row r="454" spans="1:18">
      <c r="A454" t="s">
        <v>936</v>
      </c>
      <c r="B454" s="2" t="s">
        <v>937</v>
      </c>
      <c r="C454">
        <v>1960</v>
      </c>
      <c r="D454" t="s">
        <v>12</v>
      </c>
      <c r="E454" t="s">
        <v>27</v>
      </c>
      <c r="F454" t="s">
        <v>71</v>
      </c>
      <c r="G454">
        <v>157</v>
      </c>
      <c r="H454">
        <v>3608</v>
      </c>
      <c r="I454" t="s">
        <v>15</v>
      </c>
      <c r="J454">
        <v>4</v>
      </c>
      <c r="K454" s="1">
        <f t="shared" si="56"/>
        <v>46003</v>
      </c>
      <c r="L454" s="3">
        <f t="shared" si="57"/>
        <v>60.133333333333333</v>
      </c>
      <c r="M454" s="3">
        <f t="shared" si="58"/>
        <v>2.6166666666666667</v>
      </c>
      <c r="N454" t="str">
        <f t="shared" si="59"/>
        <v>Breached</v>
      </c>
      <c r="O454" t="str">
        <f t="shared" si="63"/>
        <v>Satisfied</v>
      </c>
      <c r="P454" t="str">
        <f t="shared" si="60"/>
        <v>Resolved</v>
      </c>
      <c r="Q454" s="2" t="str">
        <f t="shared" si="61"/>
        <v>Dec-2025</v>
      </c>
      <c r="R454" s="2">
        <f t="shared" si="62"/>
        <v>45992</v>
      </c>
    </row>
    <row r="455" spans="1:18">
      <c r="A455" t="s">
        <v>938</v>
      </c>
      <c r="B455" s="2" t="s">
        <v>939</v>
      </c>
      <c r="C455">
        <v>1428</v>
      </c>
      <c r="D455" t="s">
        <v>18</v>
      </c>
      <c r="E455" t="s">
        <v>13</v>
      </c>
      <c r="F455" t="s">
        <v>23</v>
      </c>
      <c r="G455">
        <v>5</v>
      </c>
      <c r="H455">
        <v>404</v>
      </c>
      <c r="I455" t="s">
        <v>15</v>
      </c>
      <c r="J455">
        <v>2</v>
      </c>
      <c r="K455" s="1">
        <f t="shared" si="56"/>
        <v>46004</v>
      </c>
      <c r="L455" s="3">
        <f t="shared" si="57"/>
        <v>6.7333333333333334</v>
      </c>
      <c r="M455" s="3">
        <f t="shared" si="58"/>
        <v>8.3333333333333329E-2</v>
      </c>
      <c r="N455" t="str">
        <f t="shared" si="59"/>
        <v>Within SLA</v>
      </c>
      <c r="O455" t="str">
        <f t="shared" si="63"/>
        <v>Dissatisfied</v>
      </c>
      <c r="P455" t="str">
        <f t="shared" si="60"/>
        <v>Resolved</v>
      </c>
      <c r="Q455" s="2" t="str">
        <f t="shared" si="61"/>
        <v>Dec-2025</v>
      </c>
      <c r="R455" s="2">
        <f t="shared" si="62"/>
        <v>45992</v>
      </c>
    </row>
    <row r="456" spans="1:18">
      <c r="A456" t="s">
        <v>940</v>
      </c>
      <c r="B456" s="2" t="s">
        <v>941</v>
      </c>
      <c r="C456">
        <v>1222</v>
      </c>
      <c r="D456" t="s">
        <v>32</v>
      </c>
      <c r="E456" t="s">
        <v>19</v>
      </c>
      <c r="F456" t="s">
        <v>23</v>
      </c>
      <c r="G456">
        <v>21</v>
      </c>
      <c r="H456">
        <v>772</v>
      </c>
      <c r="I456" t="s">
        <v>15</v>
      </c>
      <c r="J456">
        <v>1</v>
      </c>
      <c r="K456" s="1">
        <f t="shared" si="56"/>
        <v>46004</v>
      </c>
      <c r="L456" s="3">
        <f t="shared" si="57"/>
        <v>12.866666666666667</v>
      </c>
      <c r="M456" s="3">
        <f t="shared" si="58"/>
        <v>0.35</v>
      </c>
      <c r="N456" t="str">
        <f t="shared" si="59"/>
        <v>Within SLA</v>
      </c>
      <c r="O456" t="str">
        <f t="shared" si="63"/>
        <v>Dissatisfied</v>
      </c>
      <c r="P456" t="str">
        <f t="shared" si="60"/>
        <v>Resolved</v>
      </c>
      <c r="Q456" s="2" t="str">
        <f t="shared" si="61"/>
        <v>Dec-2025</v>
      </c>
      <c r="R456" s="2">
        <f t="shared" si="62"/>
        <v>45992</v>
      </c>
    </row>
    <row r="457" spans="1:18">
      <c r="A457" t="s">
        <v>942</v>
      </c>
      <c r="B457" s="2" t="s">
        <v>943</v>
      </c>
      <c r="C457">
        <v>1705</v>
      </c>
      <c r="D457" t="s">
        <v>26</v>
      </c>
      <c r="E457" t="s">
        <v>27</v>
      </c>
      <c r="F457" t="s">
        <v>71</v>
      </c>
      <c r="G457">
        <v>55</v>
      </c>
      <c r="I457" t="s">
        <v>29</v>
      </c>
      <c r="K457" s="1">
        <f t="shared" si="56"/>
        <v>46005</v>
      </c>
      <c r="L457" s="3" t="str">
        <f t="shared" si="57"/>
        <v/>
      </c>
      <c r="M457" s="3">
        <f t="shared" si="58"/>
        <v>0.91666666666666663</v>
      </c>
      <c r="N457" t="str">
        <f t="shared" si="59"/>
        <v>Open</v>
      </c>
      <c r="O457" t="str">
        <f t="shared" si="63"/>
        <v>No Rating</v>
      </c>
      <c r="P457" t="str">
        <f t="shared" si="60"/>
        <v>Unresolved</v>
      </c>
      <c r="Q457" s="2" t="str">
        <f t="shared" si="61"/>
        <v>Dec-2025</v>
      </c>
      <c r="R457" s="2">
        <f t="shared" si="62"/>
        <v>45992</v>
      </c>
    </row>
    <row r="458" spans="1:18">
      <c r="A458" t="s">
        <v>944</v>
      </c>
      <c r="B458" s="2" t="s">
        <v>945</v>
      </c>
      <c r="C458">
        <v>1844</v>
      </c>
      <c r="D458" t="s">
        <v>26</v>
      </c>
      <c r="E458" t="s">
        <v>19</v>
      </c>
      <c r="F458" t="s">
        <v>34</v>
      </c>
      <c r="G458">
        <v>18</v>
      </c>
      <c r="H458">
        <v>1125</v>
      </c>
      <c r="I458" t="s">
        <v>15</v>
      </c>
      <c r="J458">
        <v>3</v>
      </c>
      <c r="K458" s="1">
        <f t="shared" si="56"/>
        <v>46005</v>
      </c>
      <c r="L458" s="3">
        <f t="shared" si="57"/>
        <v>18.75</v>
      </c>
      <c r="M458" s="3">
        <f t="shared" si="58"/>
        <v>0.3</v>
      </c>
      <c r="N458" t="str">
        <f t="shared" si="59"/>
        <v>Within SLA</v>
      </c>
      <c r="O458" t="str">
        <f t="shared" si="63"/>
        <v>Neutral</v>
      </c>
      <c r="P458" t="str">
        <f t="shared" si="60"/>
        <v>Resolved</v>
      </c>
      <c r="Q458" s="2" t="str">
        <f t="shared" si="61"/>
        <v>Dec-2025</v>
      </c>
      <c r="R458" s="2">
        <f t="shared" si="62"/>
        <v>45992</v>
      </c>
    </row>
    <row r="459" spans="1:18">
      <c r="A459" t="s">
        <v>946</v>
      </c>
      <c r="B459" s="2" t="s">
        <v>947</v>
      </c>
      <c r="C459">
        <v>1167</v>
      </c>
      <c r="D459" t="s">
        <v>32</v>
      </c>
      <c r="E459" t="s">
        <v>33</v>
      </c>
      <c r="F459" t="s">
        <v>54</v>
      </c>
      <c r="G459">
        <v>464</v>
      </c>
      <c r="H459">
        <v>1544</v>
      </c>
      <c r="I459" t="s">
        <v>15</v>
      </c>
      <c r="K459" s="1">
        <f t="shared" si="56"/>
        <v>46005</v>
      </c>
      <c r="L459" s="3">
        <f t="shared" si="57"/>
        <v>25.733333333333334</v>
      </c>
      <c r="M459" s="3">
        <f t="shared" si="58"/>
        <v>7.7333333333333334</v>
      </c>
      <c r="N459" t="str">
        <f t="shared" si="59"/>
        <v>Within SLA</v>
      </c>
      <c r="O459" t="str">
        <f t="shared" si="63"/>
        <v>No Rating</v>
      </c>
      <c r="P459" t="str">
        <f t="shared" si="60"/>
        <v>Resolved</v>
      </c>
      <c r="Q459" s="2" t="str">
        <f t="shared" si="61"/>
        <v>Dec-2025</v>
      </c>
      <c r="R459" s="2">
        <f t="shared" si="62"/>
        <v>45992</v>
      </c>
    </row>
    <row r="460" spans="1:18">
      <c r="A460" t="s">
        <v>948</v>
      </c>
      <c r="B460" s="2" t="s">
        <v>949</v>
      </c>
      <c r="C460">
        <v>1059</v>
      </c>
      <c r="D460" t="s">
        <v>12</v>
      </c>
      <c r="E460" t="s">
        <v>27</v>
      </c>
      <c r="F460" t="s">
        <v>23</v>
      </c>
      <c r="G460">
        <v>33</v>
      </c>
      <c r="H460">
        <v>2716</v>
      </c>
      <c r="I460" t="s">
        <v>15</v>
      </c>
      <c r="J460">
        <v>5</v>
      </c>
      <c r="K460" s="1">
        <f t="shared" si="56"/>
        <v>46006</v>
      </c>
      <c r="L460" s="3">
        <f t="shared" si="57"/>
        <v>45.266666666666666</v>
      </c>
      <c r="M460" s="3">
        <f t="shared" si="58"/>
        <v>0.55000000000000004</v>
      </c>
      <c r="N460" t="str">
        <f t="shared" si="59"/>
        <v>Within SLA</v>
      </c>
      <c r="O460" t="str">
        <f t="shared" si="63"/>
        <v>Satisfied</v>
      </c>
      <c r="P460" t="str">
        <f t="shared" si="60"/>
        <v>Resolved</v>
      </c>
      <c r="Q460" s="2" t="str">
        <f t="shared" si="61"/>
        <v>Dec-2025</v>
      </c>
      <c r="R460" s="2">
        <f t="shared" si="62"/>
        <v>45992</v>
      </c>
    </row>
    <row r="461" spans="1:18">
      <c r="A461" t="s">
        <v>950</v>
      </c>
      <c r="B461" s="2" t="s">
        <v>951</v>
      </c>
      <c r="C461">
        <v>1607</v>
      </c>
      <c r="D461" t="s">
        <v>26</v>
      </c>
      <c r="E461" t="s">
        <v>13</v>
      </c>
      <c r="F461" t="s">
        <v>71</v>
      </c>
      <c r="G461">
        <v>9</v>
      </c>
      <c r="I461" t="s">
        <v>44</v>
      </c>
      <c r="K461" s="1">
        <f t="shared" si="56"/>
        <v>46006</v>
      </c>
      <c r="L461" s="3" t="str">
        <f t="shared" si="57"/>
        <v/>
      </c>
      <c r="M461" s="3">
        <f t="shared" si="58"/>
        <v>0.15</v>
      </c>
      <c r="N461" t="str">
        <f t="shared" si="59"/>
        <v>Open</v>
      </c>
      <c r="O461" t="str">
        <f t="shared" si="63"/>
        <v>No Rating</v>
      </c>
      <c r="P461" t="str">
        <f t="shared" si="60"/>
        <v>Unresolved</v>
      </c>
      <c r="Q461" s="2" t="str">
        <f t="shared" si="61"/>
        <v>Dec-2025</v>
      </c>
      <c r="R461" s="2">
        <f t="shared" si="62"/>
        <v>45992</v>
      </c>
    </row>
    <row r="462" spans="1:18">
      <c r="A462" t="s">
        <v>952</v>
      </c>
      <c r="B462" s="2" t="s">
        <v>953</v>
      </c>
      <c r="C462">
        <v>1914</v>
      </c>
      <c r="D462" t="s">
        <v>18</v>
      </c>
      <c r="E462" t="s">
        <v>27</v>
      </c>
      <c r="F462" t="s">
        <v>59</v>
      </c>
      <c r="G462">
        <v>78</v>
      </c>
      <c r="H462">
        <v>3649</v>
      </c>
      <c r="I462" t="s">
        <v>15</v>
      </c>
      <c r="K462" s="1">
        <f t="shared" si="56"/>
        <v>46006</v>
      </c>
      <c r="L462" s="3">
        <f t="shared" si="57"/>
        <v>60.81666666666667</v>
      </c>
      <c r="M462" s="3">
        <f t="shared" si="58"/>
        <v>1.3</v>
      </c>
      <c r="N462" t="str">
        <f t="shared" si="59"/>
        <v>Breached</v>
      </c>
      <c r="O462" t="str">
        <f t="shared" si="63"/>
        <v>No Rating</v>
      </c>
      <c r="P462" t="str">
        <f t="shared" si="60"/>
        <v>Resolved</v>
      </c>
      <c r="Q462" s="2" t="str">
        <f t="shared" si="61"/>
        <v>Dec-2025</v>
      </c>
      <c r="R462" s="2">
        <f t="shared" si="62"/>
        <v>45992</v>
      </c>
    </row>
    <row r="463" spans="1:18">
      <c r="A463" t="s">
        <v>954</v>
      </c>
      <c r="B463" s="2" t="s">
        <v>955</v>
      </c>
      <c r="C463">
        <v>1472</v>
      </c>
      <c r="D463" t="s">
        <v>47</v>
      </c>
      <c r="E463" t="s">
        <v>13</v>
      </c>
      <c r="F463" t="s">
        <v>14</v>
      </c>
      <c r="G463">
        <v>6</v>
      </c>
      <c r="I463" t="s">
        <v>44</v>
      </c>
      <c r="K463" s="1">
        <f t="shared" si="56"/>
        <v>46007</v>
      </c>
      <c r="L463" s="3" t="str">
        <f t="shared" si="57"/>
        <v/>
      </c>
      <c r="M463" s="3">
        <f t="shared" si="58"/>
        <v>0.1</v>
      </c>
      <c r="N463" t="str">
        <f t="shared" si="59"/>
        <v>Open</v>
      </c>
      <c r="O463" t="str">
        <f t="shared" si="63"/>
        <v>No Rating</v>
      </c>
      <c r="P463" t="str">
        <f t="shared" si="60"/>
        <v>Unresolved</v>
      </c>
      <c r="Q463" s="2" t="str">
        <f t="shared" si="61"/>
        <v>Dec-2025</v>
      </c>
      <c r="R463" s="2">
        <f t="shared" si="62"/>
        <v>45992</v>
      </c>
    </row>
    <row r="464" spans="1:18">
      <c r="A464" t="s">
        <v>956</v>
      </c>
      <c r="B464" s="2" t="s">
        <v>957</v>
      </c>
      <c r="C464">
        <v>1144</v>
      </c>
      <c r="D464" t="s">
        <v>32</v>
      </c>
      <c r="E464" t="s">
        <v>19</v>
      </c>
      <c r="F464" t="s">
        <v>28</v>
      </c>
      <c r="G464">
        <v>28</v>
      </c>
      <c r="H464">
        <v>225</v>
      </c>
      <c r="I464" t="s">
        <v>15</v>
      </c>
      <c r="J464">
        <v>2</v>
      </c>
      <c r="K464" s="1">
        <f t="shared" si="56"/>
        <v>46007</v>
      </c>
      <c r="L464" s="3">
        <f t="shared" si="57"/>
        <v>3.75</v>
      </c>
      <c r="M464" s="3">
        <f t="shared" si="58"/>
        <v>0.46666666666666667</v>
      </c>
      <c r="N464" t="str">
        <f t="shared" si="59"/>
        <v>Within SLA</v>
      </c>
      <c r="O464" t="str">
        <f t="shared" si="63"/>
        <v>Dissatisfied</v>
      </c>
      <c r="P464" t="str">
        <f t="shared" si="60"/>
        <v>Resolved</v>
      </c>
      <c r="Q464" s="2" t="str">
        <f t="shared" si="61"/>
        <v>Dec-2025</v>
      </c>
      <c r="R464" s="2">
        <f t="shared" si="62"/>
        <v>45992</v>
      </c>
    </row>
    <row r="465" spans="1:18">
      <c r="A465" t="s">
        <v>958</v>
      </c>
      <c r="B465" s="2" t="s">
        <v>959</v>
      </c>
      <c r="C465">
        <v>1226</v>
      </c>
      <c r="D465" t="s">
        <v>32</v>
      </c>
      <c r="E465" t="s">
        <v>27</v>
      </c>
      <c r="F465" t="s">
        <v>43</v>
      </c>
      <c r="G465">
        <v>95</v>
      </c>
      <c r="H465">
        <v>3085</v>
      </c>
      <c r="I465" t="s">
        <v>20</v>
      </c>
      <c r="K465" s="1">
        <f t="shared" si="56"/>
        <v>46007</v>
      </c>
      <c r="L465" s="3">
        <f t="shared" si="57"/>
        <v>51.416666666666664</v>
      </c>
      <c r="M465" s="3">
        <f t="shared" si="58"/>
        <v>1.5833333333333333</v>
      </c>
      <c r="N465" t="str">
        <f t="shared" si="59"/>
        <v>Breached</v>
      </c>
      <c r="O465" t="str">
        <f t="shared" si="63"/>
        <v>No Rating</v>
      </c>
      <c r="P465" t="str">
        <f t="shared" si="60"/>
        <v>Resolved</v>
      </c>
      <c r="Q465" s="2" t="str">
        <f t="shared" si="61"/>
        <v>Dec-2025</v>
      </c>
      <c r="R465" s="2">
        <f t="shared" si="62"/>
        <v>45992</v>
      </c>
    </row>
    <row r="466" spans="1:18">
      <c r="A466" t="s">
        <v>960</v>
      </c>
      <c r="B466" s="2" t="s">
        <v>961</v>
      </c>
      <c r="C466">
        <v>1966</v>
      </c>
      <c r="D466" t="s">
        <v>32</v>
      </c>
      <c r="E466" t="s">
        <v>27</v>
      </c>
      <c r="F466" t="s">
        <v>34</v>
      </c>
      <c r="G466">
        <v>101</v>
      </c>
      <c r="H466">
        <v>894</v>
      </c>
      <c r="I466" t="s">
        <v>15</v>
      </c>
      <c r="J466">
        <v>5</v>
      </c>
      <c r="K466" s="1">
        <f t="shared" si="56"/>
        <v>46008</v>
      </c>
      <c r="L466" s="3">
        <f t="shared" si="57"/>
        <v>14.9</v>
      </c>
      <c r="M466" s="3">
        <f t="shared" si="58"/>
        <v>1.6833333333333333</v>
      </c>
      <c r="N466" t="str">
        <f t="shared" si="59"/>
        <v>Within SLA</v>
      </c>
      <c r="O466" t="str">
        <f t="shared" si="63"/>
        <v>Satisfied</v>
      </c>
      <c r="P466" t="str">
        <f t="shared" si="60"/>
        <v>Resolved</v>
      </c>
      <c r="Q466" s="2" t="str">
        <f t="shared" si="61"/>
        <v>Dec-2025</v>
      </c>
      <c r="R466" s="2">
        <f t="shared" si="62"/>
        <v>45992</v>
      </c>
    </row>
    <row r="467" spans="1:18">
      <c r="A467" t="s">
        <v>962</v>
      </c>
      <c r="B467" s="2" t="s">
        <v>963</v>
      </c>
      <c r="C467">
        <v>1188</v>
      </c>
      <c r="D467" t="s">
        <v>12</v>
      </c>
      <c r="E467" t="s">
        <v>33</v>
      </c>
      <c r="F467" t="s">
        <v>28</v>
      </c>
      <c r="G467">
        <v>438</v>
      </c>
      <c r="H467">
        <v>4865</v>
      </c>
      <c r="I467" t="s">
        <v>15</v>
      </c>
      <c r="J467">
        <v>1</v>
      </c>
      <c r="K467" s="1">
        <f t="shared" si="56"/>
        <v>46008</v>
      </c>
      <c r="L467" s="3">
        <f t="shared" si="57"/>
        <v>81.083333333333329</v>
      </c>
      <c r="M467" s="3">
        <f t="shared" si="58"/>
        <v>7.3</v>
      </c>
      <c r="N467" t="str">
        <f t="shared" si="59"/>
        <v>Breached</v>
      </c>
      <c r="O467" t="str">
        <f t="shared" si="63"/>
        <v>Dissatisfied</v>
      </c>
      <c r="P467" t="str">
        <f t="shared" si="60"/>
        <v>Resolved</v>
      </c>
      <c r="Q467" s="2" t="str">
        <f t="shared" si="61"/>
        <v>Dec-2025</v>
      </c>
      <c r="R467" s="2">
        <f t="shared" si="62"/>
        <v>45992</v>
      </c>
    </row>
    <row r="468" spans="1:18">
      <c r="A468" t="s">
        <v>964</v>
      </c>
      <c r="B468" s="2" t="s">
        <v>965</v>
      </c>
      <c r="C468">
        <v>1085</v>
      </c>
      <c r="D468" t="s">
        <v>26</v>
      </c>
      <c r="E468" t="s">
        <v>19</v>
      </c>
      <c r="F468" t="s">
        <v>14</v>
      </c>
      <c r="G468">
        <v>13</v>
      </c>
      <c r="H468">
        <v>202</v>
      </c>
      <c r="I468" t="s">
        <v>15</v>
      </c>
      <c r="K468" s="1">
        <f t="shared" si="56"/>
        <v>46009</v>
      </c>
      <c r="L468" s="3">
        <f t="shared" si="57"/>
        <v>3.3666666666666667</v>
      </c>
      <c r="M468" s="3">
        <f t="shared" si="58"/>
        <v>0.21666666666666667</v>
      </c>
      <c r="N468" t="str">
        <f t="shared" si="59"/>
        <v>Within SLA</v>
      </c>
      <c r="O468" t="str">
        <f t="shared" si="63"/>
        <v>No Rating</v>
      </c>
      <c r="P468" t="str">
        <f t="shared" si="60"/>
        <v>Resolved</v>
      </c>
      <c r="Q468" s="2" t="str">
        <f t="shared" si="61"/>
        <v>Dec-2025</v>
      </c>
      <c r="R468" s="2">
        <f t="shared" si="62"/>
        <v>45992</v>
      </c>
    </row>
    <row r="469" spans="1:18">
      <c r="A469" t="s">
        <v>966</v>
      </c>
      <c r="B469" s="2" t="s">
        <v>967</v>
      </c>
      <c r="C469">
        <v>1234</v>
      </c>
      <c r="D469" t="s">
        <v>18</v>
      </c>
      <c r="E469" t="s">
        <v>19</v>
      </c>
      <c r="F469" t="s">
        <v>14</v>
      </c>
      <c r="G469">
        <v>27</v>
      </c>
      <c r="H469">
        <v>681</v>
      </c>
      <c r="I469" t="s">
        <v>15</v>
      </c>
      <c r="J469">
        <v>2</v>
      </c>
      <c r="K469" s="1">
        <f t="shared" si="56"/>
        <v>46009</v>
      </c>
      <c r="L469" s="3">
        <f t="shared" si="57"/>
        <v>11.35</v>
      </c>
      <c r="M469" s="3">
        <f t="shared" si="58"/>
        <v>0.45</v>
      </c>
      <c r="N469" t="str">
        <f t="shared" si="59"/>
        <v>Within SLA</v>
      </c>
      <c r="O469" t="str">
        <f t="shared" si="63"/>
        <v>Dissatisfied</v>
      </c>
      <c r="P469" t="str">
        <f t="shared" si="60"/>
        <v>Resolved</v>
      </c>
      <c r="Q469" s="2" t="str">
        <f t="shared" si="61"/>
        <v>Dec-2025</v>
      </c>
      <c r="R469" s="2">
        <f t="shared" si="62"/>
        <v>45992</v>
      </c>
    </row>
    <row r="470" spans="1:18">
      <c r="A470" t="s">
        <v>968</v>
      </c>
      <c r="B470" s="2" t="s">
        <v>969</v>
      </c>
      <c r="C470">
        <v>1883</v>
      </c>
      <c r="D470" t="s">
        <v>12</v>
      </c>
      <c r="E470" t="s">
        <v>33</v>
      </c>
      <c r="F470" t="s">
        <v>71</v>
      </c>
      <c r="G470">
        <v>444</v>
      </c>
      <c r="H470">
        <v>2739</v>
      </c>
      <c r="I470" t="s">
        <v>20</v>
      </c>
      <c r="J470">
        <v>2</v>
      </c>
      <c r="K470" s="1">
        <f t="shared" si="56"/>
        <v>46009</v>
      </c>
      <c r="L470" s="3">
        <f t="shared" si="57"/>
        <v>45.65</v>
      </c>
      <c r="M470" s="3">
        <f t="shared" si="58"/>
        <v>7.4</v>
      </c>
      <c r="N470" t="str">
        <f t="shared" si="59"/>
        <v>Within SLA</v>
      </c>
      <c r="O470" t="str">
        <f t="shared" si="63"/>
        <v>Dissatisfied</v>
      </c>
      <c r="P470" t="str">
        <f t="shared" si="60"/>
        <v>Resolved</v>
      </c>
      <c r="Q470" s="2" t="str">
        <f t="shared" si="61"/>
        <v>Dec-2025</v>
      </c>
      <c r="R470" s="2">
        <f t="shared" si="62"/>
        <v>45992</v>
      </c>
    </row>
    <row r="471" spans="1:18">
      <c r="A471" t="s">
        <v>970</v>
      </c>
      <c r="B471" s="2" t="s">
        <v>971</v>
      </c>
      <c r="C471">
        <v>1554</v>
      </c>
      <c r="D471" t="s">
        <v>18</v>
      </c>
      <c r="E471" t="s">
        <v>27</v>
      </c>
      <c r="F471" t="s">
        <v>34</v>
      </c>
      <c r="G471">
        <v>179</v>
      </c>
      <c r="H471">
        <v>695</v>
      </c>
      <c r="I471" t="s">
        <v>15</v>
      </c>
      <c r="J471">
        <v>3</v>
      </c>
      <c r="K471" s="1">
        <f t="shared" si="56"/>
        <v>46010</v>
      </c>
      <c r="L471" s="3">
        <f t="shared" si="57"/>
        <v>11.583333333333334</v>
      </c>
      <c r="M471" s="3">
        <f t="shared" si="58"/>
        <v>2.9833333333333334</v>
      </c>
      <c r="N471" t="str">
        <f t="shared" si="59"/>
        <v>Within SLA</v>
      </c>
      <c r="O471" t="str">
        <f t="shared" si="63"/>
        <v>Neutral</v>
      </c>
      <c r="P471" t="str">
        <f t="shared" si="60"/>
        <v>Resolved</v>
      </c>
      <c r="Q471" s="2" t="str">
        <f t="shared" si="61"/>
        <v>Dec-2025</v>
      </c>
      <c r="R471" s="2">
        <f t="shared" si="62"/>
        <v>45992</v>
      </c>
    </row>
    <row r="472" spans="1:18">
      <c r="A472" t="s">
        <v>972</v>
      </c>
      <c r="B472" s="2" t="s">
        <v>973</v>
      </c>
      <c r="C472">
        <v>1316</v>
      </c>
      <c r="D472" t="s">
        <v>26</v>
      </c>
      <c r="E472" t="s">
        <v>27</v>
      </c>
      <c r="F472" t="s">
        <v>43</v>
      </c>
      <c r="G472">
        <v>127</v>
      </c>
      <c r="H472">
        <v>2128</v>
      </c>
      <c r="I472" t="s">
        <v>15</v>
      </c>
      <c r="K472" s="1">
        <f t="shared" si="56"/>
        <v>46010</v>
      </c>
      <c r="L472" s="3">
        <f t="shared" si="57"/>
        <v>35.466666666666669</v>
      </c>
      <c r="M472" s="3">
        <f t="shared" si="58"/>
        <v>2.1166666666666667</v>
      </c>
      <c r="N472" t="str">
        <f t="shared" si="59"/>
        <v>Within SLA</v>
      </c>
      <c r="O472" t="str">
        <f t="shared" si="63"/>
        <v>No Rating</v>
      </c>
      <c r="P472" t="str">
        <f t="shared" si="60"/>
        <v>Resolved</v>
      </c>
      <c r="Q472" s="2" t="str">
        <f t="shared" si="61"/>
        <v>Dec-2025</v>
      </c>
      <c r="R472" s="2">
        <f t="shared" si="62"/>
        <v>45992</v>
      </c>
    </row>
    <row r="473" spans="1:18">
      <c r="A473" t="s">
        <v>974</v>
      </c>
      <c r="B473" s="2" t="s">
        <v>975</v>
      </c>
      <c r="C473">
        <v>1422</v>
      </c>
      <c r="D473" t="s">
        <v>26</v>
      </c>
      <c r="E473" t="s">
        <v>13</v>
      </c>
      <c r="F473" t="s">
        <v>34</v>
      </c>
      <c r="G473">
        <v>3</v>
      </c>
      <c r="H473">
        <v>208</v>
      </c>
      <c r="I473" t="s">
        <v>15</v>
      </c>
      <c r="K473" s="1">
        <f t="shared" si="56"/>
        <v>46010</v>
      </c>
      <c r="L473" s="3">
        <f t="shared" si="57"/>
        <v>3.4666666666666668</v>
      </c>
      <c r="M473" s="3">
        <f t="shared" si="58"/>
        <v>0.05</v>
      </c>
      <c r="N473" t="str">
        <f t="shared" si="59"/>
        <v>Within SLA</v>
      </c>
      <c r="O473" t="str">
        <f t="shared" si="63"/>
        <v>No Rating</v>
      </c>
      <c r="P473" t="str">
        <f t="shared" si="60"/>
        <v>Resolved</v>
      </c>
      <c r="Q473" s="2" t="str">
        <f t="shared" si="61"/>
        <v>Dec-2025</v>
      </c>
      <c r="R473" s="2">
        <f t="shared" si="62"/>
        <v>45992</v>
      </c>
    </row>
    <row r="474" spans="1:18">
      <c r="A474" t="s">
        <v>976</v>
      </c>
      <c r="B474" s="2" t="s">
        <v>977</v>
      </c>
      <c r="C474">
        <v>1601</v>
      </c>
      <c r="D474" t="s">
        <v>26</v>
      </c>
      <c r="E474" t="s">
        <v>27</v>
      </c>
      <c r="F474" t="s">
        <v>14</v>
      </c>
      <c r="G474">
        <v>138</v>
      </c>
      <c r="H474">
        <v>2949</v>
      </c>
      <c r="I474" t="s">
        <v>15</v>
      </c>
      <c r="J474">
        <v>5</v>
      </c>
      <c r="K474" s="1">
        <f t="shared" si="56"/>
        <v>46011</v>
      </c>
      <c r="L474" s="3">
        <f t="shared" si="57"/>
        <v>49.15</v>
      </c>
      <c r="M474" s="3">
        <f t="shared" si="58"/>
        <v>2.2999999999999998</v>
      </c>
      <c r="N474" t="str">
        <f t="shared" si="59"/>
        <v>Breached</v>
      </c>
      <c r="O474" t="str">
        <f t="shared" si="63"/>
        <v>Satisfied</v>
      </c>
      <c r="P474" t="str">
        <f t="shared" si="60"/>
        <v>Resolved</v>
      </c>
      <c r="Q474" s="2" t="str">
        <f t="shared" si="61"/>
        <v>Dec-2025</v>
      </c>
      <c r="R474" s="2">
        <f t="shared" si="62"/>
        <v>45992</v>
      </c>
    </row>
    <row r="475" spans="1:18">
      <c r="A475" t="s">
        <v>978</v>
      </c>
      <c r="B475" s="2" t="s">
        <v>979</v>
      </c>
      <c r="C475">
        <v>1596</v>
      </c>
      <c r="D475" t="s">
        <v>47</v>
      </c>
      <c r="E475" t="s">
        <v>33</v>
      </c>
      <c r="F475" t="s">
        <v>54</v>
      </c>
      <c r="G475">
        <v>223</v>
      </c>
      <c r="H475">
        <v>3884</v>
      </c>
      <c r="I475" t="s">
        <v>15</v>
      </c>
      <c r="J475">
        <v>5</v>
      </c>
      <c r="K475" s="1">
        <f t="shared" si="56"/>
        <v>46011</v>
      </c>
      <c r="L475" s="3">
        <f t="shared" si="57"/>
        <v>64.733333333333334</v>
      </c>
      <c r="M475" s="3">
        <f t="shared" si="58"/>
        <v>3.7166666666666668</v>
      </c>
      <c r="N475" t="str">
        <f t="shared" si="59"/>
        <v>Within SLA</v>
      </c>
      <c r="O475" t="str">
        <f t="shared" si="63"/>
        <v>Satisfied</v>
      </c>
      <c r="P475" t="str">
        <f t="shared" si="60"/>
        <v>Resolved</v>
      </c>
      <c r="Q475" s="2" t="str">
        <f t="shared" si="61"/>
        <v>Dec-2025</v>
      </c>
      <c r="R475" s="2">
        <f t="shared" si="62"/>
        <v>45992</v>
      </c>
    </row>
    <row r="476" spans="1:18">
      <c r="A476" t="s">
        <v>980</v>
      </c>
      <c r="B476" s="2" t="s">
        <v>981</v>
      </c>
      <c r="C476">
        <v>1830</v>
      </c>
      <c r="D476" t="s">
        <v>12</v>
      </c>
      <c r="E476" t="s">
        <v>13</v>
      </c>
      <c r="F476" t="s">
        <v>64</v>
      </c>
      <c r="G476">
        <v>9</v>
      </c>
      <c r="H476">
        <v>278</v>
      </c>
      <c r="I476" t="s">
        <v>15</v>
      </c>
      <c r="J476">
        <v>4</v>
      </c>
      <c r="K476" s="1">
        <f t="shared" si="56"/>
        <v>46012</v>
      </c>
      <c r="L476" s="3">
        <f t="shared" si="57"/>
        <v>4.6333333333333337</v>
      </c>
      <c r="M476" s="3">
        <f t="shared" si="58"/>
        <v>0.15</v>
      </c>
      <c r="N476" t="str">
        <f t="shared" si="59"/>
        <v>Within SLA</v>
      </c>
      <c r="O476" t="str">
        <f t="shared" si="63"/>
        <v>Satisfied</v>
      </c>
      <c r="P476" t="str">
        <f t="shared" si="60"/>
        <v>Resolved</v>
      </c>
      <c r="Q476" s="2" t="str">
        <f t="shared" si="61"/>
        <v>Dec-2025</v>
      </c>
      <c r="R476" s="2">
        <f t="shared" si="62"/>
        <v>45992</v>
      </c>
    </row>
    <row r="477" spans="1:18">
      <c r="A477" t="s">
        <v>982</v>
      </c>
      <c r="B477" s="2" t="s">
        <v>983</v>
      </c>
      <c r="C477">
        <v>1811</v>
      </c>
      <c r="D477" t="s">
        <v>18</v>
      </c>
      <c r="E477" t="s">
        <v>27</v>
      </c>
      <c r="F477" t="s">
        <v>64</v>
      </c>
      <c r="G477">
        <v>116</v>
      </c>
      <c r="H477">
        <v>1236</v>
      </c>
      <c r="I477" t="s">
        <v>15</v>
      </c>
      <c r="J477">
        <v>3</v>
      </c>
      <c r="K477" s="1">
        <f t="shared" si="56"/>
        <v>46012</v>
      </c>
      <c r="L477" s="3">
        <f t="shared" si="57"/>
        <v>20.6</v>
      </c>
      <c r="M477" s="3">
        <f t="shared" si="58"/>
        <v>1.9333333333333333</v>
      </c>
      <c r="N477" t="str">
        <f t="shared" si="59"/>
        <v>Within SLA</v>
      </c>
      <c r="O477" t="str">
        <f t="shared" si="63"/>
        <v>Neutral</v>
      </c>
      <c r="P477" t="str">
        <f t="shared" si="60"/>
        <v>Resolved</v>
      </c>
      <c r="Q477" s="2" t="str">
        <f t="shared" si="61"/>
        <v>Dec-2025</v>
      </c>
      <c r="R477" s="2">
        <f t="shared" si="62"/>
        <v>45992</v>
      </c>
    </row>
    <row r="478" spans="1:18">
      <c r="A478" t="s">
        <v>984</v>
      </c>
      <c r="B478" s="2" t="s">
        <v>985</v>
      </c>
      <c r="C478">
        <v>1464</v>
      </c>
      <c r="D478" t="s">
        <v>12</v>
      </c>
      <c r="E478" t="s">
        <v>13</v>
      </c>
      <c r="F478" t="s">
        <v>34</v>
      </c>
      <c r="G478">
        <v>3</v>
      </c>
      <c r="H478">
        <v>256</v>
      </c>
      <c r="I478" t="s">
        <v>20</v>
      </c>
      <c r="J478">
        <v>1</v>
      </c>
      <c r="K478" s="1">
        <f t="shared" si="56"/>
        <v>46012</v>
      </c>
      <c r="L478" s="3">
        <f t="shared" si="57"/>
        <v>4.2666666666666666</v>
      </c>
      <c r="M478" s="3">
        <f t="shared" si="58"/>
        <v>0.05</v>
      </c>
      <c r="N478" t="str">
        <f t="shared" si="59"/>
        <v>Within SLA</v>
      </c>
      <c r="O478" t="str">
        <f t="shared" si="63"/>
        <v>Dissatisfied</v>
      </c>
      <c r="P478" t="str">
        <f t="shared" si="60"/>
        <v>Resolved</v>
      </c>
      <c r="Q478" s="2" t="str">
        <f t="shared" si="61"/>
        <v>Dec-2025</v>
      </c>
      <c r="R478" s="2">
        <f t="shared" si="62"/>
        <v>45992</v>
      </c>
    </row>
    <row r="479" spans="1:18">
      <c r="A479" t="s">
        <v>986</v>
      </c>
      <c r="B479" s="2" t="s">
        <v>987</v>
      </c>
      <c r="C479">
        <v>1142</v>
      </c>
      <c r="D479" t="s">
        <v>26</v>
      </c>
      <c r="E479" t="s">
        <v>27</v>
      </c>
      <c r="F479" t="s">
        <v>59</v>
      </c>
      <c r="G479">
        <v>155</v>
      </c>
      <c r="H479">
        <v>2000</v>
      </c>
      <c r="I479" t="s">
        <v>15</v>
      </c>
      <c r="K479" s="1">
        <f t="shared" si="56"/>
        <v>46013</v>
      </c>
      <c r="L479" s="3">
        <f t="shared" si="57"/>
        <v>33.333333333333336</v>
      </c>
      <c r="M479" s="3">
        <f t="shared" si="58"/>
        <v>2.5833333333333335</v>
      </c>
      <c r="N479" t="str">
        <f t="shared" si="59"/>
        <v>Within SLA</v>
      </c>
      <c r="O479" t="str">
        <f t="shared" si="63"/>
        <v>No Rating</v>
      </c>
      <c r="P479" t="str">
        <f t="shared" si="60"/>
        <v>Resolved</v>
      </c>
      <c r="Q479" s="2" t="str">
        <f t="shared" si="61"/>
        <v>Dec-2025</v>
      </c>
      <c r="R479" s="2">
        <f t="shared" si="62"/>
        <v>45992</v>
      </c>
    </row>
    <row r="480" spans="1:18">
      <c r="A480" t="s">
        <v>988</v>
      </c>
      <c r="B480" s="2" t="s">
        <v>989</v>
      </c>
      <c r="C480">
        <v>1388</v>
      </c>
      <c r="D480" t="s">
        <v>32</v>
      </c>
      <c r="E480" t="s">
        <v>33</v>
      </c>
      <c r="F480" t="s">
        <v>34</v>
      </c>
      <c r="G480">
        <v>429</v>
      </c>
      <c r="H480">
        <v>5382</v>
      </c>
      <c r="I480" t="s">
        <v>15</v>
      </c>
      <c r="K480" s="1">
        <f t="shared" si="56"/>
        <v>46013</v>
      </c>
      <c r="L480" s="3">
        <f t="shared" si="57"/>
        <v>89.7</v>
      </c>
      <c r="M480" s="3">
        <f t="shared" si="58"/>
        <v>7.15</v>
      </c>
      <c r="N480" t="str">
        <f t="shared" si="59"/>
        <v>Breached</v>
      </c>
      <c r="O480" t="str">
        <f t="shared" si="63"/>
        <v>No Rating</v>
      </c>
      <c r="P480" t="str">
        <f t="shared" si="60"/>
        <v>Resolved</v>
      </c>
      <c r="Q480" s="2" t="str">
        <f t="shared" si="61"/>
        <v>Dec-2025</v>
      </c>
      <c r="R480" s="2">
        <f t="shared" si="62"/>
        <v>45992</v>
      </c>
    </row>
    <row r="481" spans="1:18">
      <c r="A481" t="s">
        <v>990</v>
      </c>
      <c r="B481" s="2" t="s">
        <v>991</v>
      </c>
      <c r="C481">
        <v>1011</v>
      </c>
      <c r="D481" t="s">
        <v>18</v>
      </c>
      <c r="E481" t="s">
        <v>13</v>
      </c>
      <c r="F481" t="s">
        <v>14</v>
      </c>
      <c r="G481">
        <v>3</v>
      </c>
      <c r="H481">
        <v>399</v>
      </c>
      <c r="I481" t="s">
        <v>20</v>
      </c>
      <c r="J481">
        <v>4</v>
      </c>
      <c r="K481" s="1">
        <f t="shared" si="56"/>
        <v>46013</v>
      </c>
      <c r="L481" s="3">
        <f t="shared" si="57"/>
        <v>6.65</v>
      </c>
      <c r="M481" s="3">
        <f t="shared" si="58"/>
        <v>0.05</v>
      </c>
      <c r="N481" t="str">
        <f t="shared" si="59"/>
        <v>Within SLA</v>
      </c>
      <c r="O481" t="str">
        <f t="shared" si="63"/>
        <v>Satisfied</v>
      </c>
      <c r="P481" t="str">
        <f t="shared" si="60"/>
        <v>Resolved</v>
      </c>
      <c r="Q481" s="2" t="str">
        <f t="shared" si="61"/>
        <v>Dec-2025</v>
      </c>
      <c r="R481" s="2">
        <f t="shared" si="62"/>
        <v>45992</v>
      </c>
    </row>
    <row r="482" spans="1:18">
      <c r="A482" t="s">
        <v>992</v>
      </c>
      <c r="B482" s="2" t="s">
        <v>993</v>
      </c>
      <c r="C482">
        <v>1195</v>
      </c>
      <c r="D482" t="s">
        <v>18</v>
      </c>
      <c r="E482" t="s">
        <v>19</v>
      </c>
      <c r="F482" t="s">
        <v>34</v>
      </c>
      <c r="G482">
        <v>33</v>
      </c>
      <c r="H482">
        <v>461</v>
      </c>
      <c r="I482" t="s">
        <v>15</v>
      </c>
      <c r="K482" s="1">
        <f t="shared" si="56"/>
        <v>46014</v>
      </c>
      <c r="L482" s="3">
        <f t="shared" si="57"/>
        <v>7.6833333333333336</v>
      </c>
      <c r="M482" s="3">
        <f t="shared" si="58"/>
        <v>0.55000000000000004</v>
      </c>
      <c r="N482" t="str">
        <f t="shared" si="59"/>
        <v>Within SLA</v>
      </c>
      <c r="O482" t="str">
        <f t="shared" si="63"/>
        <v>No Rating</v>
      </c>
      <c r="P482" t="str">
        <f t="shared" si="60"/>
        <v>Resolved</v>
      </c>
      <c r="Q482" s="2" t="str">
        <f t="shared" si="61"/>
        <v>Dec-2025</v>
      </c>
      <c r="R482" s="2">
        <f t="shared" si="62"/>
        <v>45992</v>
      </c>
    </row>
    <row r="483" spans="1:18">
      <c r="A483" t="s">
        <v>994</v>
      </c>
      <c r="B483" s="2" t="s">
        <v>995</v>
      </c>
      <c r="C483">
        <v>1163</v>
      </c>
      <c r="D483" t="s">
        <v>18</v>
      </c>
      <c r="E483" t="s">
        <v>13</v>
      </c>
      <c r="F483" t="s">
        <v>64</v>
      </c>
      <c r="G483">
        <v>7</v>
      </c>
      <c r="H483">
        <v>405</v>
      </c>
      <c r="I483" t="s">
        <v>20</v>
      </c>
      <c r="J483">
        <v>5</v>
      </c>
      <c r="K483" s="1">
        <f t="shared" si="56"/>
        <v>46014</v>
      </c>
      <c r="L483" s="3">
        <f t="shared" si="57"/>
        <v>6.75</v>
      </c>
      <c r="M483" s="3">
        <f t="shared" si="58"/>
        <v>0.11666666666666667</v>
      </c>
      <c r="N483" t="str">
        <f t="shared" si="59"/>
        <v>Within SLA</v>
      </c>
      <c r="O483" t="str">
        <f t="shared" si="63"/>
        <v>Satisfied</v>
      </c>
      <c r="P483" t="str">
        <f t="shared" si="60"/>
        <v>Resolved</v>
      </c>
      <c r="Q483" s="2" t="str">
        <f t="shared" si="61"/>
        <v>Dec-2025</v>
      </c>
      <c r="R483" s="2">
        <f t="shared" si="62"/>
        <v>45992</v>
      </c>
    </row>
    <row r="484" spans="1:18">
      <c r="A484" t="s">
        <v>996</v>
      </c>
      <c r="B484" s="2" t="s">
        <v>997</v>
      </c>
      <c r="C484">
        <v>1966</v>
      </c>
      <c r="D484" t="s">
        <v>12</v>
      </c>
      <c r="E484" t="s">
        <v>27</v>
      </c>
      <c r="F484" t="s">
        <v>28</v>
      </c>
      <c r="G484">
        <v>174</v>
      </c>
      <c r="H484">
        <v>919</v>
      </c>
      <c r="I484" t="s">
        <v>15</v>
      </c>
      <c r="J484">
        <v>3</v>
      </c>
      <c r="K484" s="1">
        <f t="shared" si="56"/>
        <v>46014</v>
      </c>
      <c r="L484" s="3">
        <f t="shared" si="57"/>
        <v>15.316666666666666</v>
      </c>
      <c r="M484" s="3">
        <f t="shared" si="58"/>
        <v>2.9</v>
      </c>
      <c r="N484" t="str">
        <f t="shared" si="59"/>
        <v>Within SLA</v>
      </c>
      <c r="O484" t="str">
        <f t="shared" si="63"/>
        <v>Neutral</v>
      </c>
      <c r="P484" t="str">
        <f t="shared" si="60"/>
        <v>Resolved</v>
      </c>
      <c r="Q484" s="2" t="str">
        <f t="shared" si="61"/>
        <v>Dec-2025</v>
      </c>
      <c r="R484" s="2">
        <f t="shared" si="62"/>
        <v>45992</v>
      </c>
    </row>
    <row r="485" spans="1:18">
      <c r="A485" t="s">
        <v>998</v>
      </c>
      <c r="B485" s="2" t="s">
        <v>999</v>
      </c>
      <c r="C485">
        <v>1443</v>
      </c>
      <c r="D485" t="s">
        <v>32</v>
      </c>
      <c r="E485" t="s">
        <v>27</v>
      </c>
      <c r="F485" t="s">
        <v>71</v>
      </c>
      <c r="G485">
        <v>131</v>
      </c>
      <c r="H485">
        <v>2313</v>
      </c>
      <c r="I485" t="s">
        <v>15</v>
      </c>
      <c r="J485">
        <v>2</v>
      </c>
      <c r="K485" s="1">
        <f t="shared" si="56"/>
        <v>46015</v>
      </c>
      <c r="L485" s="3">
        <f t="shared" si="57"/>
        <v>38.549999999999997</v>
      </c>
      <c r="M485" s="3">
        <f t="shared" si="58"/>
        <v>2.1833333333333331</v>
      </c>
      <c r="N485" t="str">
        <f t="shared" si="59"/>
        <v>Within SLA</v>
      </c>
      <c r="O485" t="str">
        <f t="shared" si="63"/>
        <v>Dissatisfied</v>
      </c>
      <c r="P485" t="str">
        <f t="shared" si="60"/>
        <v>Resolved</v>
      </c>
      <c r="Q485" s="2" t="str">
        <f t="shared" si="61"/>
        <v>Dec-2025</v>
      </c>
      <c r="R485" s="2">
        <f t="shared" si="62"/>
        <v>45992</v>
      </c>
    </row>
    <row r="486" spans="1:18">
      <c r="A486" t="s">
        <v>1000</v>
      </c>
      <c r="B486" s="2" t="s">
        <v>1001</v>
      </c>
      <c r="C486">
        <v>1864</v>
      </c>
      <c r="D486" t="s">
        <v>26</v>
      </c>
      <c r="E486" t="s">
        <v>19</v>
      </c>
      <c r="F486" t="s">
        <v>34</v>
      </c>
      <c r="G486">
        <v>50</v>
      </c>
      <c r="I486" t="s">
        <v>44</v>
      </c>
      <c r="K486" s="1">
        <f t="shared" si="56"/>
        <v>46015</v>
      </c>
      <c r="L486" s="3" t="str">
        <f t="shared" si="57"/>
        <v/>
      </c>
      <c r="M486" s="3">
        <f t="shared" si="58"/>
        <v>0.83333333333333337</v>
      </c>
      <c r="N486" t="str">
        <f t="shared" si="59"/>
        <v>Open</v>
      </c>
      <c r="O486" t="str">
        <f t="shared" si="63"/>
        <v>No Rating</v>
      </c>
      <c r="P486" t="str">
        <f t="shared" si="60"/>
        <v>Unresolved</v>
      </c>
      <c r="Q486" s="2" t="str">
        <f t="shared" si="61"/>
        <v>Dec-2025</v>
      </c>
      <c r="R486" s="2">
        <f t="shared" si="62"/>
        <v>45992</v>
      </c>
    </row>
    <row r="487" spans="1:18">
      <c r="A487" t="s">
        <v>1002</v>
      </c>
      <c r="B487" s="2" t="s">
        <v>1003</v>
      </c>
      <c r="C487">
        <v>1959</v>
      </c>
      <c r="D487" t="s">
        <v>12</v>
      </c>
      <c r="E487" t="s">
        <v>13</v>
      </c>
      <c r="F487" t="s">
        <v>14</v>
      </c>
      <c r="G487">
        <v>4</v>
      </c>
      <c r="H487">
        <v>154</v>
      </c>
      <c r="I487" t="s">
        <v>15</v>
      </c>
      <c r="K487" s="1">
        <f t="shared" si="56"/>
        <v>46016</v>
      </c>
      <c r="L487" s="3">
        <f t="shared" si="57"/>
        <v>2.5666666666666669</v>
      </c>
      <c r="M487" s="3">
        <f t="shared" si="58"/>
        <v>6.6666666666666666E-2</v>
      </c>
      <c r="N487" t="str">
        <f t="shared" si="59"/>
        <v>Within SLA</v>
      </c>
      <c r="O487" t="str">
        <f t="shared" si="63"/>
        <v>No Rating</v>
      </c>
      <c r="P487" t="str">
        <f t="shared" si="60"/>
        <v>Resolved</v>
      </c>
      <c r="Q487" s="2" t="str">
        <f t="shared" si="61"/>
        <v>Dec-2025</v>
      </c>
      <c r="R487" s="2">
        <f t="shared" si="62"/>
        <v>45992</v>
      </c>
    </row>
    <row r="488" spans="1:18">
      <c r="A488" t="s">
        <v>1004</v>
      </c>
      <c r="B488" s="2" t="s">
        <v>1005</v>
      </c>
      <c r="C488">
        <v>1704</v>
      </c>
      <c r="D488" t="s">
        <v>26</v>
      </c>
      <c r="E488" t="s">
        <v>13</v>
      </c>
      <c r="F488" t="s">
        <v>43</v>
      </c>
      <c r="G488">
        <v>12</v>
      </c>
      <c r="H488">
        <v>141</v>
      </c>
      <c r="I488" t="s">
        <v>15</v>
      </c>
      <c r="J488">
        <v>3</v>
      </c>
      <c r="K488" s="1">
        <f t="shared" si="56"/>
        <v>46016</v>
      </c>
      <c r="L488" s="3">
        <f t="shared" si="57"/>
        <v>2.35</v>
      </c>
      <c r="M488" s="3">
        <f t="shared" si="58"/>
        <v>0.2</v>
      </c>
      <c r="N488" t="str">
        <f t="shared" si="59"/>
        <v>Within SLA</v>
      </c>
      <c r="O488" t="str">
        <f t="shared" si="63"/>
        <v>Neutral</v>
      </c>
      <c r="P488" t="str">
        <f t="shared" si="60"/>
        <v>Resolved</v>
      </c>
      <c r="Q488" s="2" t="str">
        <f t="shared" si="61"/>
        <v>Dec-2025</v>
      </c>
      <c r="R488" s="2">
        <f t="shared" si="62"/>
        <v>45992</v>
      </c>
    </row>
    <row r="489" spans="1:18">
      <c r="A489" t="s">
        <v>1006</v>
      </c>
      <c r="B489" s="2" t="s">
        <v>1007</v>
      </c>
      <c r="C489">
        <v>1601</v>
      </c>
      <c r="D489" t="s">
        <v>12</v>
      </c>
      <c r="E489" t="s">
        <v>13</v>
      </c>
      <c r="F489" t="s">
        <v>59</v>
      </c>
      <c r="G489">
        <v>7</v>
      </c>
      <c r="H489">
        <v>349</v>
      </c>
      <c r="I489" t="s">
        <v>20</v>
      </c>
      <c r="K489" s="1">
        <f t="shared" si="56"/>
        <v>46016</v>
      </c>
      <c r="L489" s="3">
        <f t="shared" si="57"/>
        <v>5.8166666666666664</v>
      </c>
      <c r="M489" s="3">
        <f t="shared" si="58"/>
        <v>0.11666666666666667</v>
      </c>
      <c r="N489" t="str">
        <f t="shared" si="59"/>
        <v>Within SLA</v>
      </c>
      <c r="O489" t="str">
        <f t="shared" si="63"/>
        <v>No Rating</v>
      </c>
      <c r="P489" t="str">
        <f t="shared" si="60"/>
        <v>Resolved</v>
      </c>
      <c r="Q489" s="2" t="str">
        <f t="shared" si="61"/>
        <v>Dec-2025</v>
      </c>
      <c r="R489" s="2">
        <f t="shared" si="62"/>
        <v>45992</v>
      </c>
    </row>
    <row r="490" spans="1:18">
      <c r="A490" t="s">
        <v>1008</v>
      </c>
      <c r="B490" s="2" t="s">
        <v>1009</v>
      </c>
      <c r="C490">
        <v>1868</v>
      </c>
      <c r="D490" t="s">
        <v>26</v>
      </c>
      <c r="E490" t="s">
        <v>27</v>
      </c>
      <c r="F490" t="s">
        <v>59</v>
      </c>
      <c r="G490">
        <v>96</v>
      </c>
      <c r="H490">
        <v>1007</v>
      </c>
      <c r="I490" t="s">
        <v>15</v>
      </c>
      <c r="J490">
        <v>5</v>
      </c>
      <c r="K490" s="1">
        <f t="shared" si="56"/>
        <v>46017</v>
      </c>
      <c r="L490" s="3">
        <f t="shared" si="57"/>
        <v>16.783333333333335</v>
      </c>
      <c r="M490" s="3">
        <f t="shared" si="58"/>
        <v>1.6</v>
      </c>
      <c r="N490" t="str">
        <f t="shared" si="59"/>
        <v>Within SLA</v>
      </c>
      <c r="O490" t="str">
        <f t="shared" si="63"/>
        <v>Satisfied</v>
      </c>
      <c r="P490" t="str">
        <f t="shared" si="60"/>
        <v>Resolved</v>
      </c>
      <c r="Q490" s="2" t="str">
        <f t="shared" si="61"/>
        <v>Dec-2025</v>
      </c>
      <c r="R490" s="2">
        <f t="shared" si="62"/>
        <v>45992</v>
      </c>
    </row>
    <row r="491" spans="1:18">
      <c r="A491" t="s">
        <v>1010</v>
      </c>
      <c r="B491" s="2" t="s">
        <v>1011</v>
      </c>
      <c r="C491">
        <v>1949</v>
      </c>
      <c r="D491" t="s">
        <v>26</v>
      </c>
      <c r="E491" t="s">
        <v>19</v>
      </c>
      <c r="F491" t="s">
        <v>43</v>
      </c>
      <c r="G491">
        <v>32</v>
      </c>
      <c r="I491" t="s">
        <v>44</v>
      </c>
      <c r="K491" s="1">
        <f t="shared" si="56"/>
        <v>46017</v>
      </c>
      <c r="L491" s="3" t="str">
        <f t="shared" si="57"/>
        <v/>
      </c>
      <c r="M491" s="3">
        <f t="shared" si="58"/>
        <v>0.53333333333333333</v>
      </c>
      <c r="N491" t="str">
        <f t="shared" si="59"/>
        <v>Open</v>
      </c>
      <c r="O491" t="str">
        <f t="shared" si="63"/>
        <v>No Rating</v>
      </c>
      <c r="P491" t="str">
        <f t="shared" si="60"/>
        <v>Unresolved</v>
      </c>
      <c r="Q491" s="2" t="str">
        <f t="shared" si="61"/>
        <v>Dec-2025</v>
      </c>
      <c r="R491" s="2">
        <f t="shared" si="62"/>
        <v>45992</v>
      </c>
    </row>
    <row r="492" spans="1:18">
      <c r="A492" t="s">
        <v>1012</v>
      </c>
      <c r="B492" s="2" t="s">
        <v>1013</v>
      </c>
      <c r="C492">
        <v>1247</v>
      </c>
      <c r="D492" t="s">
        <v>47</v>
      </c>
      <c r="E492" t="s">
        <v>27</v>
      </c>
      <c r="F492" t="s">
        <v>71</v>
      </c>
      <c r="G492">
        <v>77</v>
      </c>
      <c r="H492">
        <v>665</v>
      </c>
      <c r="I492" t="s">
        <v>15</v>
      </c>
      <c r="J492">
        <v>5</v>
      </c>
      <c r="K492" s="1">
        <f t="shared" si="56"/>
        <v>46017</v>
      </c>
      <c r="L492" s="3">
        <f t="shared" si="57"/>
        <v>11.083333333333334</v>
      </c>
      <c r="M492" s="3">
        <f t="shared" si="58"/>
        <v>1.2833333333333334</v>
      </c>
      <c r="N492" t="str">
        <f t="shared" si="59"/>
        <v>Within SLA</v>
      </c>
      <c r="O492" t="str">
        <f t="shared" si="63"/>
        <v>Satisfied</v>
      </c>
      <c r="P492" t="str">
        <f t="shared" si="60"/>
        <v>Resolved</v>
      </c>
      <c r="Q492" s="2" t="str">
        <f t="shared" si="61"/>
        <v>Dec-2025</v>
      </c>
      <c r="R492" s="2">
        <f t="shared" si="62"/>
        <v>45992</v>
      </c>
    </row>
    <row r="493" spans="1:18">
      <c r="A493" t="s">
        <v>1014</v>
      </c>
      <c r="B493" s="2" t="s">
        <v>1015</v>
      </c>
      <c r="C493">
        <v>1394</v>
      </c>
      <c r="D493" t="s">
        <v>47</v>
      </c>
      <c r="E493" t="s">
        <v>27</v>
      </c>
      <c r="F493" t="s">
        <v>23</v>
      </c>
      <c r="G493">
        <v>40</v>
      </c>
      <c r="I493" t="s">
        <v>44</v>
      </c>
      <c r="K493" s="1">
        <f t="shared" si="56"/>
        <v>46018</v>
      </c>
      <c r="L493" s="3" t="str">
        <f t="shared" si="57"/>
        <v/>
      </c>
      <c r="M493" s="3">
        <f t="shared" si="58"/>
        <v>0.66666666666666663</v>
      </c>
      <c r="N493" t="str">
        <f t="shared" si="59"/>
        <v>Open</v>
      </c>
      <c r="O493" t="str">
        <f t="shared" si="63"/>
        <v>No Rating</v>
      </c>
      <c r="P493" t="str">
        <f t="shared" si="60"/>
        <v>Unresolved</v>
      </c>
      <c r="Q493" s="2" t="str">
        <f t="shared" si="61"/>
        <v>Dec-2025</v>
      </c>
      <c r="R493" s="2">
        <f t="shared" si="62"/>
        <v>45992</v>
      </c>
    </row>
    <row r="494" spans="1:18">
      <c r="A494" t="s">
        <v>1016</v>
      </c>
      <c r="B494" s="2" t="s">
        <v>1017</v>
      </c>
      <c r="C494">
        <v>1658</v>
      </c>
      <c r="D494" t="s">
        <v>32</v>
      </c>
      <c r="E494" t="s">
        <v>13</v>
      </c>
      <c r="F494" t="s">
        <v>14</v>
      </c>
      <c r="G494">
        <v>3</v>
      </c>
      <c r="H494">
        <v>57</v>
      </c>
      <c r="I494" t="s">
        <v>15</v>
      </c>
      <c r="J494">
        <v>2</v>
      </c>
      <c r="K494" s="1">
        <f t="shared" si="56"/>
        <v>46018</v>
      </c>
      <c r="L494" s="3">
        <f t="shared" si="57"/>
        <v>0.95</v>
      </c>
      <c r="M494" s="3">
        <f t="shared" si="58"/>
        <v>0.05</v>
      </c>
      <c r="N494" t="str">
        <f t="shared" si="59"/>
        <v>Within SLA</v>
      </c>
      <c r="O494" t="str">
        <f t="shared" si="63"/>
        <v>Dissatisfied</v>
      </c>
      <c r="P494" t="str">
        <f t="shared" si="60"/>
        <v>Resolved</v>
      </c>
      <c r="Q494" s="2" t="str">
        <f t="shared" si="61"/>
        <v>Dec-2025</v>
      </c>
      <c r="R494" s="2">
        <f t="shared" si="62"/>
        <v>45992</v>
      </c>
    </row>
    <row r="495" spans="1:18">
      <c r="A495" t="s">
        <v>1018</v>
      </c>
      <c r="B495" s="2" t="s">
        <v>1019</v>
      </c>
      <c r="C495">
        <v>1283</v>
      </c>
      <c r="D495" t="s">
        <v>12</v>
      </c>
      <c r="E495" t="s">
        <v>13</v>
      </c>
      <c r="F495" t="s">
        <v>54</v>
      </c>
      <c r="G495">
        <v>12</v>
      </c>
      <c r="H495">
        <v>198</v>
      </c>
      <c r="I495" t="s">
        <v>15</v>
      </c>
      <c r="K495" s="1">
        <f t="shared" si="56"/>
        <v>46018</v>
      </c>
      <c r="L495" s="3">
        <f t="shared" si="57"/>
        <v>3.3</v>
      </c>
      <c r="M495" s="3">
        <f t="shared" si="58"/>
        <v>0.2</v>
      </c>
      <c r="N495" t="str">
        <f t="shared" si="59"/>
        <v>Within SLA</v>
      </c>
      <c r="O495" t="str">
        <f t="shared" si="63"/>
        <v>No Rating</v>
      </c>
      <c r="P495" t="str">
        <f t="shared" si="60"/>
        <v>Resolved</v>
      </c>
      <c r="Q495" s="2" t="str">
        <f t="shared" si="61"/>
        <v>Dec-2025</v>
      </c>
      <c r="R495" s="2">
        <f t="shared" si="62"/>
        <v>45992</v>
      </c>
    </row>
    <row r="496" spans="1:18">
      <c r="A496" t="s">
        <v>1020</v>
      </c>
      <c r="B496" s="2" t="s">
        <v>1021</v>
      </c>
      <c r="C496">
        <v>1259</v>
      </c>
      <c r="D496" t="s">
        <v>47</v>
      </c>
      <c r="E496" t="s">
        <v>33</v>
      </c>
      <c r="F496" t="s">
        <v>14</v>
      </c>
      <c r="G496">
        <v>302</v>
      </c>
      <c r="H496">
        <v>5627</v>
      </c>
      <c r="I496" t="s">
        <v>15</v>
      </c>
      <c r="J496">
        <v>3</v>
      </c>
      <c r="K496" s="1">
        <f t="shared" si="56"/>
        <v>46019</v>
      </c>
      <c r="L496" s="3">
        <f t="shared" si="57"/>
        <v>93.783333333333331</v>
      </c>
      <c r="M496" s="3">
        <f t="shared" si="58"/>
        <v>5.0333333333333332</v>
      </c>
      <c r="N496" t="str">
        <f t="shared" si="59"/>
        <v>Breached</v>
      </c>
      <c r="O496" t="str">
        <f t="shared" si="63"/>
        <v>Neutral</v>
      </c>
      <c r="P496" t="str">
        <f t="shared" si="60"/>
        <v>Resolved</v>
      </c>
      <c r="Q496" s="2" t="str">
        <f t="shared" si="61"/>
        <v>Dec-2025</v>
      </c>
      <c r="R496" s="2">
        <f t="shared" si="62"/>
        <v>45992</v>
      </c>
    </row>
    <row r="497" spans="1:18">
      <c r="A497" t="s">
        <v>1022</v>
      </c>
      <c r="B497" s="2" t="s">
        <v>1023</v>
      </c>
      <c r="C497">
        <v>1258</v>
      </c>
      <c r="D497" t="s">
        <v>18</v>
      </c>
      <c r="E497" t="s">
        <v>33</v>
      </c>
      <c r="F497" t="s">
        <v>54</v>
      </c>
      <c r="G497">
        <v>456</v>
      </c>
      <c r="H497">
        <v>6595</v>
      </c>
      <c r="I497" t="s">
        <v>15</v>
      </c>
      <c r="K497" s="1">
        <f t="shared" si="56"/>
        <v>46019</v>
      </c>
      <c r="L497" s="3">
        <f t="shared" si="57"/>
        <v>109.91666666666667</v>
      </c>
      <c r="M497" s="3">
        <f t="shared" si="58"/>
        <v>7.6</v>
      </c>
      <c r="N497" t="str">
        <f t="shared" si="59"/>
        <v>Breached</v>
      </c>
      <c r="O497" t="str">
        <f t="shared" si="63"/>
        <v>No Rating</v>
      </c>
      <c r="P497" t="str">
        <f t="shared" si="60"/>
        <v>Resolved</v>
      </c>
      <c r="Q497" s="2" t="str">
        <f t="shared" si="61"/>
        <v>Dec-2025</v>
      </c>
      <c r="R497" s="2">
        <f t="shared" si="62"/>
        <v>45992</v>
      </c>
    </row>
    <row r="498" spans="1:18">
      <c r="A498" t="s">
        <v>1024</v>
      </c>
      <c r="B498" s="2" t="s">
        <v>1025</v>
      </c>
      <c r="C498">
        <v>1267</v>
      </c>
      <c r="D498" t="s">
        <v>32</v>
      </c>
      <c r="E498" t="s">
        <v>27</v>
      </c>
      <c r="F498" t="s">
        <v>54</v>
      </c>
      <c r="G498">
        <v>144</v>
      </c>
      <c r="H498">
        <v>510</v>
      </c>
      <c r="I498" t="s">
        <v>15</v>
      </c>
      <c r="J498">
        <v>2</v>
      </c>
      <c r="K498" s="1">
        <f t="shared" si="56"/>
        <v>46020</v>
      </c>
      <c r="L498" s="3">
        <f t="shared" si="57"/>
        <v>8.5</v>
      </c>
      <c r="M498" s="3">
        <f t="shared" si="58"/>
        <v>2.4</v>
      </c>
      <c r="N498" t="str">
        <f t="shared" si="59"/>
        <v>Within SLA</v>
      </c>
      <c r="O498" t="str">
        <f t="shared" si="63"/>
        <v>Dissatisfied</v>
      </c>
      <c r="P498" t="str">
        <f t="shared" si="60"/>
        <v>Resolved</v>
      </c>
      <c r="Q498" s="2" t="str">
        <f t="shared" si="61"/>
        <v>Dec-2025</v>
      </c>
      <c r="R498" s="2">
        <f t="shared" si="62"/>
        <v>45992</v>
      </c>
    </row>
    <row r="499" spans="1:18">
      <c r="A499" t="s">
        <v>1026</v>
      </c>
      <c r="B499" s="2" t="s">
        <v>1027</v>
      </c>
      <c r="C499">
        <v>1644</v>
      </c>
      <c r="D499" t="s">
        <v>26</v>
      </c>
      <c r="E499" t="s">
        <v>13</v>
      </c>
      <c r="F499" t="s">
        <v>64</v>
      </c>
      <c r="G499">
        <v>3</v>
      </c>
      <c r="I499" t="s">
        <v>29</v>
      </c>
      <c r="K499" s="1">
        <f t="shared" si="56"/>
        <v>46020</v>
      </c>
      <c r="L499" s="3" t="str">
        <f t="shared" si="57"/>
        <v/>
      </c>
      <c r="M499" s="3">
        <f t="shared" si="58"/>
        <v>0.05</v>
      </c>
      <c r="N499" t="str">
        <f t="shared" si="59"/>
        <v>Open</v>
      </c>
      <c r="O499" t="str">
        <f t="shared" si="63"/>
        <v>No Rating</v>
      </c>
      <c r="P499" t="str">
        <f t="shared" si="60"/>
        <v>Unresolved</v>
      </c>
      <c r="Q499" s="2" t="str">
        <f t="shared" si="61"/>
        <v>Dec-2025</v>
      </c>
      <c r="R499" s="2">
        <f t="shared" si="62"/>
        <v>45992</v>
      </c>
    </row>
    <row r="500" spans="1:18">
      <c r="A500" t="s">
        <v>1028</v>
      </c>
      <c r="B500" s="2" t="s">
        <v>1029</v>
      </c>
      <c r="C500">
        <v>1893</v>
      </c>
      <c r="D500" t="s">
        <v>12</v>
      </c>
      <c r="E500" t="s">
        <v>27</v>
      </c>
      <c r="F500" t="s">
        <v>54</v>
      </c>
      <c r="G500">
        <v>109</v>
      </c>
      <c r="H500">
        <v>1179</v>
      </c>
      <c r="I500" t="s">
        <v>15</v>
      </c>
      <c r="J500">
        <v>5</v>
      </c>
      <c r="K500" s="1">
        <f t="shared" si="56"/>
        <v>46020</v>
      </c>
      <c r="L500" s="3">
        <f t="shared" si="57"/>
        <v>19.649999999999999</v>
      </c>
      <c r="M500" s="3">
        <f t="shared" si="58"/>
        <v>1.8166666666666667</v>
      </c>
      <c r="N500" t="str">
        <f t="shared" si="59"/>
        <v>Within SLA</v>
      </c>
      <c r="O500" t="str">
        <f t="shared" si="63"/>
        <v>Satisfied</v>
      </c>
      <c r="P500" t="str">
        <f t="shared" si="60"/>
        <v>Resolved</v>
      </c>
      <c r="Q500" s="2" t="str">
        <f t="shared" si="61"/>
        <v>Dec-2025</v>
      </c>
      <c r="R500" s="2">
        <f t="shared" si="62"/>
        <v>45992</v>
      </c>
    </row>
    <row r="501" spans="1:18">
      <c r="A501" t="s">
        <v>1030</v>
      </c>
      <c r="B501" s="2" t="s">
        <v>1031</v>
      </c>
      <c r="C501">
        <v>1044</v>
      </c>
      <c r="D501" t="s">
        <v>32</v>
      </c>
      <c r="E501" t="s">
        <v>27</v>
      </c>
      <c r="F501" t="s">
        <v>54</v>
      </c>
      <c r="G501">
        <v>93</v>
      </c>
      <c r="H501">
        <v>1017</v>
      </c>
      <c r="I501" t="s">
        <v>20</v>
      </c>
      <c r="K501" s="1">
        <f t="shared" si="56"/>
        <v>46021</v>
      </c>
      <c r="L501" s="3">
        <f t="shared" si="57"/>
        <v>16.95</v>
      </c>
      <c r="M501" s="3">
        <f t="shared" si="58"/>
        <v>1.55</v>
      </c>
      <c r="N501" t="str">
        <f t="shared" si="59"/>
        <v>Within SLA</v>
      </c>
      <c r="O501" t="str">
        <f t="shared" si="63"/>
        <v>No Rating</v>
      </c>
      <c r="P501" t="str">
        <f t="shared" si="60"/>
        <v>Resolved</v>
      </c>
      <c r="Q501" s="2" t="str">
        <f t="shared" si="61"/>
        <v>Dec-2025</v>
      </c>
      <c r="R501" s="2">
        <f t="shared" si="62"/>
        <v>45992</v>
      </c>
    </row>
    <row r="502" spans="1:18">
      <c r="A502" t="s">
        <v>1032</v>
      </c>
      <c r="B502" s="2" t="s">
        <v>1033</v>
      </c>
      <c r="C502">
        <v>1453</v>
      </c>
      <c r="D502" t="s">
        <v>26</v>
      </c>
      <c r="E502" t="s">
        <v>19</v>
      </c>
      <c r="F502" t="s">
        <v>43</v>
      </c>
      <c r="G502">
        <v>32</v>
      </c>
      <c r="H502">
        <v>1247</v>
      </c>
      <c r="I502" t="s">
        <v>15</v>
      </c>
      <c r="J502">
        <v>1</v>
      </c>
      <c r="K502" s="1">
        <f t="shared" si="56"/>
        <v>46021</v>
      </c>
      <c r="L502" s="3">
        <f t="shared" si="57"/>
        <v>20.783333333333335</v>
      </c>
      <c r="M502" s="3">
        <f t="shared" si="58"/>
        <v>0.53333333333333333</v>
      </c>
      <c r="N502" t="str">
        <f t="shared" si="59"/>
        <v>Within SLA</v>
      </c>
      <c r="O502" t="str">
        <f t="shared" si="63"/>
        <v>Dissatisfied</v>
      </c>
      <c r="P502" t="str">
        <f t="shared" si="60"/>
        <v>Resolved</v>
      </c>
      <c r="Q502" s="2" t="str">
        <f t="shared" si="61"/>
        <v>Dec-2025</v>
      </c>
      <c r="R502" s="2">
        <f t="shared" si="62"/>
        <v>45992</v>
      </c>
    </row>
    <row r="503" spans="1:18">
      <c r="A503" t="s">
        <v>1034</v>
      </c>
      <c r="B503" s="2" t="s">
        <v>1035</v>
      </c>
      <c r="C503">
        <v>1560</v>
      </c>
      <c r="D503" t="s">
        <v>18</v>
      </c>
      <c r="E503" t="s">
        <v>27</v>
      </c>
      <c r="F503" t="s">
        <v>34</v>
      </c>
      <c r="G503">
        <v>78</v>
      </c>
      <c r="H503">
        <v>1690</v>
      </c>
      <c r="I503" t="s">
        <v>15</v>
      </c>
      <c r="J503">
        <v>4</v>
      </c>
      <c r="K503" s="1">
        <f t="shared" si="56"/>
        <v>46021</v>
      </c>
      <c r="L503" s="3">
        <f t="shared" si="57"/>
        <v>28.166666666666668</v>
      </c>
      <c r="M503" s="3">
        <f t="shared" si="58"/>
        <v>1.3</v>
      </c>
      <c r="N503" t="str">
        <f t="shared" si="59"/>
        <v>Within SLA</v>
      </c>
      <c r="O503" t="str">
        <f t="shared" si="63"/>
        <v>Satisfied</v>
      </c>
      <c r="P503" t="str">
        <f t="shared" si="60"/>
        <v>Resolved</v>
      </c>
      <c r="Q503" s="2" t="str">
        <f t="shared" si="61"/>
        <v>Dec-2025</v>
      </c>
      <c r="R503" s="2">
        <f t="shared" si="62"/>
        <v>45992</v>
      </c>
    </row>
    <row r="504" spans="1:18">
      <c r="A504" t="s">
        <v>1036</v>
      </c>
      <c r="B504" s="2" t="s">
        <v>1037</v>
      </c>
      <c r="C504">
        <v>1766</v>
      </c>
      <c r="D504" t="s">
        <v>18</v>
      </c>
      <c r="E504" t="s">
        <v>27</v>
      </c>
      <c r="F504" t="s">
        <v>54</v>
      </c>
      <c r="G504">
        <v>49</v>
      </c>
      <c r="H504">
        <v>2235</v>
      </c>
      <c r="I504" t="s">
        <v>20</v>
      </c>
      <c r="K504" s="1">
        <f t="shared" si="56"/>
        <v>46022</v>
      </c>
      <c r="L504" s="3">
        <f t="shared" si="57"/>
        <v>37.25</v>
      </c>
      <c r="M504" s="3">
        <f t="shared" si="58"/>
        <v>0.81666666666666665</v>
      </c>
      <c r="N504" t="str">
        <f t="shared" si="59"/>
        <v>Within SLA</v>
      </c>
      <c r="O504" t="str">
        <f t="shared" si="63"/>
        <v>No Rating</v>
      </c>
      <c r="P504" t="str">
        <f t="shared" si="60"/>
        <v>Resolved</v>
      </c>
      <c r="Q504" s="2" t="str">
        <f t="shared" si="61"/>
        <v>Dec-2025</v>
      </c>
      <c r="R504" s="2">
        <f t="shared" si="62"/>
        <v>45992</v>
      </c>
    </row>
    <row r="505" spans="1:18">
      <c r="A505" t="s">
        <v>1038</v>
      </c>
      <c r="B505" s="2" t="s">
        <v>1039</v>
      </c>
      <c r="C505">
        <v>1057</v>
      </c>
      <c r="D505" t="s">
        <v>32</v>
      </c>
      <c r="E505" t="s">
        <v>19</v>
      </c>
      <c r="F505" t="s">
        <v>28</v>
      </c>
      <c r="G505">
        <v>28</v>
      </c>
      <c r="H505">
        <v>724</v>
      </c>
      <c r="I505" t="s">
        <v>15</v>
      </c>
      <c r="K505" s="1">
        <f t="shared" si="56"/>
        <v>46022</v>
      </c>
      <c r="L505" s="3">
        <f t="shared" si="57"/>
        <v>12.066666666666666</v>
      </c>
      <c r="M505" s="3">
        <f t="shared" si="58"/>
        <v>0.46666666666666667</v>
      </c>
      <c r="N505" t="str">
        <f t="shared" si="59"/>
        <v>Within SLA</v>
      </c>
      <c r="O505" t="str">
        <f t="shared" si="63"/>
        <v>No Rating</v>
      </c>
      <c r="P505" t="str">
        <f t="shared" si="60"/>
        <v>Resolved</v>
      </c>
      <c r="Q505" s="2" t="str">
        <f t="shared" si="61"/>
        <v>Dec-2025</v>
      </c>
      <c r="R505" s="2">
        <f t="shared" si="62"/>
        <v>45992</v>
      </c>
    </row>
    <row r="506" spans="1:18">
      <c r="A506" t="s">
        <v>1040</v>
      </c>
      <c r="B506" s="2" t="s">
        <v>1041</v>
      </c>
      <c r="C506">
        <v>1643</v>
      </c>
      <c r="D506" t="s">
        <v>18</v>
      </c>
      <c r="E506" t="s">
        <v>19</v>
      </c>
      <c r="F506" t="s">
        <v>28</v>
      </c>
      <c r="G506">
        <v>36</v>
      </c>
      <c r="H506">
        <v>966</v>
      </c>
      <c r="I506" t="s">
        <v>20</v>
      </c>
      <c r="K506" s="1">
        <f t="shared" si="56"/>
        <v>46022</v>
      </c>
      <c r="L506" s="3">
        <f t="shared" si="57"/>
        <v>16.100000000000001</v>
      </c>
      <c r="M506" s="3">
        <f t="shared" si="58"/>
        <v>0.6</v>
      </c>
      <c r="N506" t="str">
        <f t="shared" si="59"/>
        <v>Within SLA</v>
      </c>
      <c r="O506" t="str">
        <f t="shared" si="63"/>
        <v>No Rating</v>
      </c>
      <c r="P506" t="str">
        <f t="shared" si="60"/>
        <v>Resolved</v>
      </c>
      <c r="Q506" s="2" t="str">
        <f t="shared" si="61"/>
        <v>Dec-2025</v>
      </c>
      <c r="R506" s="2">
        <f t="shared" si="62"/>
        <v>45992</v>
      </c>
    </row>
    <row r="507" spans="1:18">
      <c r="A507" t="s">
        <v>1042</v>
      </c>
      <c r="B507" s="2" t="s">
        <v>1043</v>
      </c>
      <c r="C507">
        <v>1230</v>
      </c>
      <c r="D507" t="s">
        <v>26</v>
      </c>
      <c r="E507" t="s">
        <v>33</v>
      </c>
      <c r="F507" t="s">
        <v>71</v>
      </c>
      <c r="G507">
        <v>216</v>
      </c>
      <c r="H507">
        <v>3528</v>
      </c>
      <c r="I507" t="s">
        <v>15</v>
      </c>
      <c r="J507">
        <v>3</v>
      </c>
      <c r="K507" s="1">
        <f t="shared" si="56"/>
        <v>46023</v>
      </c>
      <c r="L507" s="3">
        <f t="shared" si="57"/>
        <v>58.8</v>
      </c>
      <c r="M507" s="3">
        <f t="shared" si="58"/>
        <v>3.6</v>
      </c>
      <c r="N507" t="str">
        <f t="shared" si="59"/>
        <v>Within SLA</v>
      </c>
      <c r="O507" t="str">
        <f t="shared" si="63"/>
        <v>Neutral</v>
      </c>
      <c r="P507" t="str">
        <f t="shared" si="60"/>
        <v>Resolved</v>
      </c>
      <c r="Q507" s="2" t="str">
        <f t="shared" si="61"/>
        <v>Jan-2026</v>
      </c>
      <c r="R507" s="2">
        <f t="shared" si="62"/>
        <v>46023</v>
      </c>
    </row>
    <row r="508" spans="1:18">
      <c r="A508" t="s">
        <v>1044</v>
      </c>
      <c r="B508" s="2" t="s">
        <v>1045</v>
      </c>
      <c r="C508">
        <v>1981</v>
      </c>
      <c r="D508" t="s">
        <v>12</v>
      </c>
      <c r="E508" t="s">
        <v>27</v>
      </c>
      <c r="F508" t="s">
        <v>43</v>
      </c>
      <c r="G508">
        <v>141</v>
      </c>
      <c r="H508">
        <v>2095</v>
      </c>
      <c r="I508" t="s">
        <v>15</v>
      </c>
      <c r="K508" s="1">
        <f t="shared" si="56"/>
        <v>46023</v>
      </c>
      <c r="L508" s="3">
        <f t="shared" si="57"/>
        <v>34.916666666666664</v>
      </c>
      <c r="M508" s="3">
        <f t="shared" si="58"/>
        <v>2.35</v>
      </c>
      <c r="N508" t="str">
        <f t="shared" si="59"/>
        <v>Within SLA</v>
      </c>
      <c r="O508" t="str">
        <f t="shared" si="63"/>
        <v>No Rating</v>
      </c>
      <c r="P508" t="str">
        <f t="shared" si="60"/>
        <v>Resolved</v>
      </c>
      <c r="Q508" s="2" t="str">
        <f t="shared" si="61"/>
        <v>Jan-2026</v>
      </c>
      <c r="R508" s="2">
        <f t="shared" si="62"/>
        <v>46023</v>
      </c>
    </row>
    <row r="509" spans="1:18">
      <c r="A509" t="s">
        <v>1046</v>
      </c>
      <c r="B509" s="2" t="s">
        <v>1047</v>
      </c>
      <c r="C509">
        <v>1567</v>
      </c>
      <c r="D509" t="s">
        <v>18</v>
      </c>
      <c r="E509" t="s">
        <v>27</v>
      </c>
      <c r="F509" t="s">
        <v>43</v>
      </c>
      <c r="G509">
        <v>107</v>
      </c>
      <c r="I509" t="s">
        <v>44</v>
      </c>
      <c r="K509" s="1">
        <f t="shared" si="56"/>
        <v>46024</v>
      </c>
      <c r="L509" s="3" t="str">
        <f t="shared" si="57"/>
        <v/>
      </c>
      <c r="M509" s="3">
        <f t="shared" si="58"/>
        <v>1.7833333333333334</v>
      </c>
      <c r="N509" t="str">
        <f t="shared" si="59"/>
        <v>Open</v>
      </c>
      <c r="O509" t="str">
        <f t="shared" si="63"/>
        <v>No Rating</v>
      </c>
      <c r="P509" t="str">
        <f t="shared" si="60"/>
        <v>Unresolved</v>
      </c>
      <c r="Q509" s="2" t="str">
        <f t="shared" si="61"/>
        <v>Jan-2026</v>
      </c>
      <c r="R509" s="2">
        <f t="shared" si="62"/>
        <v>46023</v>
      </c>
    </row>
    <row r="510" spans="1:18">
      <c r="A510" t="s">
        <v>1048</v>
      </c>
      <c r="B510" s="2" t="s">
        <v>1049</v>
      </c>
      <c r="C510">
        <v>1723</v>
      </c>
      <c r="D510" t="s">
        <v>32</v>
      </c>
      <c r="E510" t="s">
        <v>27</v>
      </c>
      <c r="F510" t="s">
        <v>43</v>
      </c>
      <c r="G510">
        <v>124</v>
      </c>
      <c r="H510">
        <v>1438</v>
      </c>
      <c r="I510" t="s">
        <v>15</v>
      </c>
      <c r="J510">
        <v>1</v>
      </c>
      <c r="K510" s="1">
        <f t="shared" si="56"/>
        <v>46024</v>
      </c>
      <c r="L510" s="3">
        <f t="shared" si="57"/>
        <v>23.966666666666665</v>
      </c>
      <c r="M510" s="3">
        <f t="shared" si="58"/>
        <v>2.0666666666666669</v>
      </c>
      <c r="N510" t="str">
        <f t="shared" si="59"/>
        <v>Within SLA</v>
      </c>
      <c r="O510" t="str">
        <f t="shared" si="63"/>
        <v>Dissatisfied</v>
      </c>
      <c r="P510" t="str">
        <f t="shared" si="60"/>
        <v>Resolved</v>
      </c>
      <c r="Q510" s="2" t="str">
        <f t="shared" si="61"/>
        <v>Jan-2026</v>
      </c>
      <c r="R510" s="2">
        <f t="shared" si="62"/>
        <v>46023</v>
      </c>
    </row>
    <row r="511" spans="1:18">
      <c r="A511" t="s">
        <v>1050</v>
      </c>
      <c r="B511" s="2" t="s">
        <v>1051</v>
      </c>
      <c r="C511">
        <v>1803</v>
      </c>
      <c r="D511" t="s">
        <v>18</v>
      </c>
      <c r="E511" t="s">
        <v>27</v>
      </c>
      <c r="F511" t="s">
        <v>59</v>
      </c>
      <c r="G511">
        <v>112</v>
      </c>
      <c r="I511" t="s">
        <v>29</v>
      </c>
      <c r="K511" s="1">
        <f t="shared" si="56"/>
        <v>46024</v>
      </c>
      <c r="L511" s="3" t="str">
        <f t="shared" si="57"/>
        <v/>
      </c>
      <c r="M511" s="3">
        <f t="shared" si="58"/>
        <v>1.8666666666666667</v>
      </c>
      <c r="N511" t="str">
        <f t="shared" si="59"/>
        <v>Open</v>
      </c>
      <c r="O511" t="str">
        <f t="shared" si="63"/>
        <v>No Rating</v>
      </c>
      <c r="P511" t="str">
        <f t="shared" si="60"/>
        <v>Unresolved</v>
      </c>
      <c r="Q511" s="2" t="str">
        <f t="shared" si="61"/>
        <v>Jan-2026</v>
      </c>
      <c r="R511" s="2">
        <f t="shared" si="62"/>
        <v>46023</v>
      </c>
    </row>
    <row r="512" spans="1:18">
      <c r="A512" t="s">
        <v>1052</v>
      </c>
      <c r="B512" s="2" t="s">
        <v>1053</v>
      </c>
      <c r="C512">
        <v>1997</v>
      </c>
      <c r="D512" t="s">
        <v>12</v>
      </c>
      <c r="E512" t="s">
        <v>27</v>
      </c>
      <c r="F512" t="s">
        <v>23</v>
      </c>
      <c r="G512">
        <v>171</v>
      </c>
      <c r="I512" t="s">
        <v>29</v>
      </c>
      <c r="K512" s="1">
        <f t="shared" si="56"/>
        <v>46025</v>
      </c>
      <c r="L512" s="3" t="str">
        <f t="shared" si="57"/>
        <v/>
      </c>
      <c r="M512" s="3">
        <f t="shared" si="58"/>
        <v>2.85</v>
      </c>
      <c r="N512" t="str">
        <f t="shared" si="59"/>
        <v>Open</v>
      </c>
      <c r="O512" t="str">
        <f t="shared" si="63"/>
        <v>No Rating</v>
      </c>
      <c r="P512" t="str">
        <f t="shared" si="60"/>
        <v>Unresolved</v>
      </c>
      <c r="Q512" s="2" t="str">
        <f t="shared" si="61"/>
        <v>Jan-2026</v>
      </c>
      <c r="R512" s="2">
        <f t="shared" si="62"/>
        <v>46023</v>
      </c>
    </row>
    <row r="513" spans="1:18">
      <c r="A513" t="s">
        <v>1054</v>
      </c>
      <c r="B513" s="2" t="s">
        <v>1055</v>
      </c>
      <c r="C513">
        <v>1082</v>
      </c>
      <c r="D513" t="s">
        <v>32</v>
      </c>
      <c r="E513" t="s">
        <v>13</v>
      </c>
      <c r="F513" t="s">
        <v>64</v>
      </c>
      <c r="G513">
        <v>6</v>
      </c>
      <c r="H513">
        <v>83</v>
      </c>
      <c r="I513" t="s">
        <v>15</v>
      </c>
      <c r="K513" s="1">
        <f t="shared" si="56"/>
        <v>46025</v>
      </c>
      <c r="L513" s="3">
        <f t="shared" si="57"/>
        <v>1.3833333333333333</v>
      </c>
      <c r="M513" s="3">
        <f t="shared" si="58"/>
        <v>0.1</v>
      </c>
      <c r="N513" t="str">
        <f t="shared" si="59"/>
        <v>Within SLA</v>
      </c>
      <c r="O513" t="str">
        <f t="shared" si="63"/>
        <v>No Rating</v>
      </c>
      <c r="P513" t="str">
        <f t="shared" si="60"/>
        <v>Resolved</v>
      </c>
      <c r="Q513" s="2" t="str">
        <f t="shared" si="61"/>
        <v>Jan-2026</v>
      </c>
      <c r="R513" s="2">
        <f t="shared" si="62"/>
        <v>46023</v>
      </c>
    </row>
    <row r="514" spans="1:18">
      <c r="A514" t="s">
        <v>1056</v>
      </c>
      <c r="B514" s="2" t="s">
        <v>1057</v>
      </c>
      <c r="C514">
        <v>1676</v>
      </c>
      <c r="D514" t="s">
        <v>47</v>
      </c>
      <c r="E514" t="s">
        <v>27</v>
      </c>
      <c r="F514" t="s">
        <v>23</v>
      </c>
      <c r="G514">
        <v>33</v>
      </c>
      <c r="H514">
        <v>2990</v>
      </c>
      <c r="I514" t="s">
        <v>15</v>
      </c>
      <c r="J514">
        <v>5</v>
      </c>
      <c r="K514" s="1">
        <f t="shared" si="56"/>
        <v>46025</v>
      </c>
      <c r="L514" s="3">
        <f t="shared" si="57"/>
        <v>49.833333333333336</v>
      </c>
      <c r="M514" s="3">
        <f t="shared" si="58"/>
        <v>0.55000000000000004</v>
      </c>
      <c r="N514" t="str">
        <f t="shared" si="59"/>
        <v>Breached</v>
      </c>
      <c r="O514" t="str">
        <f t="shared" si="63"/>
        <v>Satisfied</v>
      </c>
      <c r="P514" t="str">
        <f t="shared" si="60"/>
        <v>Resolved</v>
      </c>
      <c r="Q514" s="2" t="str">
        <f t="shared" si="61"/>
        <v>Jan-2026</v>
      </c>
      <c r="R514" s="2">
        <f t="shared" si="62"/>
        <v>46023</v>
      </c>
    </row>
    <row r="515" spans="1:18">
      <c r="A515" t="s">
        <v>1058</v>
      </c>
      <c r="B515" s="2" t="s">
        <v>1059</v>
      </c>
      <c r="C515">
        <v>1463</v>
      </c>
      <c r="D515" t="s">
        <v>47</v>
      </c>
      <c r="E515" t="s">
        <v>27</v>
      </c>
      <c r="F515" t="s">
        <v>14</v>
      </c>
      <c r="G515">
        <v>39</v>
      </c>
      <c r="H515">
        <v>1906</v>
      </c>
      <c r="I515" t="s">
        <v>15</v>
      </c>
      <c r="J515">
        <v>4</v>
      </c>
      <c r="K515" s="1">
        <f t="shared" ref="K515:K578" si="64">IF(B515="","",DATEVALUE(LEFT(B515,10)))</f>
        <v>46026</v>
      </c>
      <c r="L515" s="3">
        <f t="shared" ref="L515:L578" si="65">IF(H515="","",H515/60)</f>
        <v>31.766666666666666</v>
      </c>
      <c r="M515" s="3">
        <f t="shared" ref="M515:M578" si="66">IF(G515="","",G515/60)</f>
        <v>0.65</v>
      </c>
      <c r="N515" t="str">
        <f t="shared" ref="N515:N578" si="67">IF(L515="","Open",IF(L515&lt;=IF(E515="Urgent",8,IF(E515="High",24,IF(E515="Normal",48,72))),"Within SLA","Breached"))</f>
        <v>Within SLA</v>
      </c>
      <c r="O515" t="str">
        <f t="shared" si="63"/>
        <v>Satisfied</v>
      </c>
      <c r="P515" t="str">
        <f t="shared" ref="P515:P578" si="68">IF(I515="Closed","Resolved",IF(I515="Resolved","Resolved","Unresolved"))</f>
        <v>Resolved</v>
      </c>
      <c r="Q515" s="2" t="str">
        <f t="shared" ref="Q515:Q578" si="69">IF(K515="","",TEXT(K515,"mmm-yyyy"))</f>
        <v>Jan-2026</v>
      </c>
      <c r="R515" s="2">
        <f t="shared" ref="R515:R578" si="70">IF(K515="","",DATE(YEAR(K515),MONTH(K515),1))</f>
        <v>46023</v>
      </c>
    </row>
    <row r="516" spans="1:18">
      <c r="A516" t="s">
        <v>1060</v>
      </c>
      <c r="B516" s="2" t="s">
        <v>1061</v>
      </c>
      <c r="C516">
        <v>1430</v>
      </c>
      <c r="D516" t="s">
        <v>18</v>
      </c>
      <c r="E516" t="s">
        <v>27</v>
      </c>
      <c r="F516" t="s">
        <v>14</v>
      </c>
      <c r="G516">
        <v>91</v>
      </c>
      <c r="H516">
        <v>2611</v>
      </c>
      <c r="I516" t="s">
        <v>20</v>
      </c>
      <c r="K516" s="1">
        <f t="shared" si="64"/>
        <v>46026</v>
      </c>
      <c r="L516" s="3">
        <f t="shared" si="65"/>
        <v>43.516666666666666</v>
      </c>
      <c r="M516" s="3">
        <f t="shared" si="66"/>
        <v>1.5166666666666666</v>
      </c>
      <c r="N516" t="str">
        <f t="shared" si="67"/>
        <v>Within SLA</v>
      </c>
      <c r="O516" t="str">
        <f t="shared" ref="O516:O579" si="71">IF(J516="","No Rating",IF(J516&gt;=4,"Satisfied",IF(J516=3,"Neutral","Dissatisfied")))</f>
        <v>No Rating</v>
      </c>
      <c r="P516" t="str">
        <f t="shared" si="68"/>
        <v>Resolved</v>
      </c>
      <c r="Q516" s="2" t="str">
        <f t="shared" si="69"/>
        <v>Jan-2026</v>
      </c>
      <c r="R516" s="2">
        <f t="shared" si="70"/>
        <v>46023</v>
      </c>
    </row>
    <row r="517" spans="1:18">
      <c r="A517" t="s">
        <v>1062</v>
      </c>
      <c r="B517" s="2" t="s">
        <v>1063</v>
      </c>
      <c r="C517">
        <v>1963</v>
      </c>
      <c r="D517" t="s">
        <v>32</v>
      </c>
      <c r="E517" t="s">
        <v>27</v>
      </c>
      <c r="F517" t="s">
        <v>54</v>
      </c>
      <c r="G517">
        <v>69</v>
      </c>
      <c r="H517">
        <v>1910</v>
      </c>
      <c r="I517" t="s">
        <v>20</v>
      </c>
      <c r="K517" s="1">
        <f t="shared" si="64"/>
        <v>46026</v>
      </c>
      <c r="L517" s="3">
        <f t="shared" si="65"/>
        <v>31.833333333333332</v>
      </c>
      <c r="M517" s="3">
        <f t="shared" si="66"/>
        <v>1.1499999999999999</v>
      </c>
      <c r="N517" t="str">
        <f t="shared" si="67"/>
        <v>Within SLA</v>
      </c>
      <c r="O517" t="str">
        <f t="shared" si="71"/>
        <v>No Rating</v>
      </c>
      <c r="P517" t="str">
        <f t="shared" si="68"/>
        <v>Resolved</v>
      </c>
      <c r="Q517" s="2" t="str">
        <f t="shared" si="69"/>
        <v>Jan-2026</v>
      </c>
      <c r="R517" s="2">
        <f t="shared" si="70"/>
        <v>46023</v>
      </c>
    </row>
    <row r="518" spans="1:18">
      <c r="A518" t="s">
        <v>1064</v>
      </c>
      <c r="B518" s="2" t="s">
        <v>1065</v>
      </c>
      <c r="C518">
        <v>1716</v>
      </c>
      <c r="D518" t="s">
        <v>18</v>
      </c>
      <c r="E518" t="s">
        <v>33</v>
      </c>
      <c r="F518" t="s">
        <v>28</v>
      </c>
      <c r="G518">
        <v>238</v>
      </c>
      <c r="H518">
        <v>5374</v>
      </c>
      <c r="I518" t="s">
        <v>15</v>
      </c>
      <c r="J518">
        <v>2</v>
      </c>
      <c r="K518" s="1">
        <f t="shared" si="64"/>
        <v>46027</v>
      </c>
      <c r="L518" s="3">
        <f t="shared" si="65"/>
        <v>89.566666666666663</v>
      </c>
      <c r="M518" s="3">
        <f t="shared" si="66"/>
        <v>3.9666666666666668</v>
      </c>
      <c r="N518" t="str">
        <f t="shared" si="67"/>
        <v>Breached</v>
      </c>
      <c r="O518" t="str">
        <f t="shared" si="71"/>
        <v>Dissatisfied</v>
      </c>
      <c r="P518" t="str">
        <f t="shared" si="68"/>
        <v>Resolved</v>
      </c>
      <c r="Q518" s="2" t="str">
        <f t="shared" si="69"/>
        <v>Jan-2026</v>
      </c>
      <c r="R518" s="2">
        <f t="shared" si="70"/>
        <v>46023</v>
      </c>
    </row>
    <row r="519" spans="1:18">
      <c r="A519" t="s">
        <v>1066</v>
      </c>
      <c r="B519" s="2" t="s">
        <v>1067</v>
      </c>
      <c r="C519">
        <v>1123</v>
      </c>
      <c r="D519" t="s">
        <v>26</v>
      </c>
      <c r="E519" t="s">
        <v>13</v>
      </c>
      <c r="F519" t="s">
        <v>23</v>
      </c>
      <c r="G519">
        <v>12</v>
      </c>
      <c r="H519">
        <v>283</v>
      </c>
      <c r="I519" t="s">
        <v>20</v>
      </c>
      <c r="K519" s="1">
        <f t="shared" si="64"/>
        <v>46027</v>
      </c>
      <c r="L519" s="3">
        <f t="shared" si="65"/>
        <v>4.7166666666666668</v>
      </c>
      <c r="M519" s="3">
        <f t="shared" si="66"/>
        <v>0.2</v>
      </c>
      <c r="N519" t="str">
        <f t="shared" si="67"/>
        <v>Within SLA</v>
      </c>
      <c r="O519" t="str">
        <f t="shared" si="71"/>
        <v>No Rating</v>
      </c>
      <c r="P519" t="str">
        <f t="shared" si="68"/>
        <v>Resolved</v>
      </c>
      <c r="Q519" s="2" t="str">
        <f t="shared" si="69"/>
        <v>Jan-2026</v>
      </c>
      <c r="R519" s="2">
        <f t="shared" si="70"/>
        <v>46023</v>
      </c>
    </row>
    <row r="520" spans="1:18">
      <c r="A520" t="s">
        <v>1068</v>
      </c>
      <c r="B520" s="2" t="s">
        <v>1069</v>
      </c>
      <c r="C520">
        <v>1630</v>
      </c>
      <c r="D520" t="s">
        <v>47</v>
      </c>
      <c r="E520" t="s">
        <v>19</v>
      </c>
      <c r="F520" t="s">
        <v>28</v>
      </c>
      <c r="G520">
        <v>20</v>
      </c>
      <c r="H520">
        <v>956</v>
      </c>
      <c r="I520" t="s">
        <v>20</v>
      </c>
      <c r="J520">
        <v>2</v>
      </c>
      <c r="K520" s="1">
        <f t="shared" si="64"/>
        <v>46028</v>
      </c>
      <c r="L520" s="3">
        <f t="shared" si="65"/>
        <v>15.933333333333334</v>
      </c>
      <c r="M520" s="3">
        <f t="shared" si="66"/>
        <v>0.33333333333333331</v>
      </c>
      <c r="N520" t="str">
        <f t="shared" si="67"/>
        <v>Within SLA</v>
      </c>
      <c r="O520" t="str">
        <f t="shared" si="71"/>
        <v>Dissatisfied</v>
      </c>
      <c r="P520" t="str">
        <f t="shared" si="68"/>
        <v>Resolved</v>
      </c>
      <c r="Q520" s="2" t="str">
        <f t="shared" si="69"/>
        <v>Jan-2026</v>
      </c>
      <c r="R520" s="2">
        <f t="shared" si="70"/>
        <v>46023</v>
      </c>
    </row>
    <row r="521" spans="1:18">
      <c r="A521" t="s">
        <v>1070</v>
      </c>
      <c r="B521" s="2" t="s">
        <v>1071</v>
      </c>
      <c r="C521">
        <v>1233</v>
      </c>
      <c r="D521" t="s">
        <v>18</v>
      </c>
      <c r="E521" t="s">
        <v>33</v>
      </c>
      <c r="F521" t="s">
        <v>14</v>
      </c>
      <c r="G521">
        <v>117</v>
      </c>
      <c r="H521">
        <v>6076</v>
      </c>
      <c r="I521" t="s">
        <v>20</v>
      </c>
      <c r="J521">
        <v>5</v>
      </c>
      <c r="K521" s="1">
        <f t="shared" si="64"/>
        <v>46028</v>
      </c>
      <c r="L521" s="3">
        <f t="shared" si="65"/>
        <v>101.26666666666667</v>
      </c>
      <c r="M521" s="3">
        <f t="shared" si="66"/>
        <v>1.95</v>
      </c>
      <c r="N521" t="str">
        <f t="shared" si="67"/>
        <v>Breached</v>
      </c>
      <c r="O521" t="str">
        <f t="shared" si="71"/>
        <v>Satisfied</v>
      </c>
      <c r="P521" t="str">
        <f t="shared" si="68"/>
        <v>Resolved</v>
      </c>
      <c r="Q521" s="2" t="str">
        <f t="shared" si="69"/>
        <v>Jan-2026</v>
      </c>
      <c r="R521" s="2">
        <f t="shared" si="70"/>
        <v>46023</v>
      </c>
    </row>
    <row r="522" spans="1:18">
      <c r="A522" t="s">
        <v>1072</v>
      </c>
      <c r="B522" s="2" t="s">
        <v>1073</v>
      </c>
      <c r="C522">
        <v>1209</v>
      </c>
      <c r="D522" t="s">
        <v>32</v>
      </c>
      <c r="E522" t="s">
        <v>19</v>
      </c>
      <c r="F522" t="s">
        <v>43</v>
      </c>
      <c r="G522">
        <v>30</v>
      </c>
      <c r="H522">
        <v>430</v>
      </c>
      <c r="I522" t="s">
        <v>15</v>
      </c>
      <c r="K522" s="1">
        <f t="shared" si="64"/>
        <v>46028</v>
      </c>
      <c r="L522" s="3">
        <f t="shared" si="65"/>
        <v>7.166666666666667</v>
      </c>
      <c r="M522" s="3">
        <f t="shared" si="66"/>
        <v>0.5</v>
      </c>
      <c r="N522" t="str">
        <f t="shared" si="67"/>
        <v>Within SLA</v>
      </c>
      <c r="O522" t="str">
        <f t="shared" si="71"/>
        <v>No Rating</v>
      </c>
      <c r="P522" t="str">
        <f t="shared" si="68"/>
        <v>Resolved</v>
      </c>
      <c r="Q522" s="2" t="str">
        <f t="shared" si="69"/>
        <v>Jan-2026</v>
      </c>
      <c r="R522" s="2">
        <f t="shared" si="70"/>
        <v>46023</v>
      </c>
    </row>
    <row r="523" spans="1:18">
      <c r="A523" t="s">
        <v>1074</v>
      </c>
      <c r="B523" s="2" t="s">
        <v>1075</v>
      </c>
      <c r="C523">
        <v>1320</v>
      </c>
      <c r="D523" t="s">
        <v>26</v>
      </c>
      <c r="E523" t="s">
        <v>19</v>
      </c>
      <c r="F523" t="s">
        <v>14</v>
      </c>
      <c r="G523">
        <v>17</v>
      </c>
      <c r="H523">
        <v>944</v>
      </c>
      <c r="I523" t="s">
        <v>15</v>
      </c>
      <c r="K523" s="1">
        <f t="shared" si="64"/>
        <v>46029</v>
      </c>
      <c r="L523" s="3">
        <f t="shared" si="65"/>
        <v>15.733333333333333</v>
      </c>
      <c r="M523" s="3">
        <f t="shared" si="66"/>
        <v>0.28333333333333333</v>
      </c>
      <c r="N523" t="str">
        <f t="shared" si="67"/>
        <v>Within SLA</v>
      </c>
      <c r="O523" t="str">
        <f t="shared" si="71"/>
        <v>No Rating</v>
      </c>
      <c r="P523" t="str">
        <f t="shared" si="68"/>
        <v>Resolved</v>
      </c>
      <c r="Q523" s="2" t="str">
        <f t="shared" si="69"/>
        <v>Jan-2026</v>
      </c>
      <c r="R523" s="2">
        <f t="shared" si="70"/>
        <v>46023</v>
      </c>
    </row>
    <row r="524" spans="1:18">
      <c r="A524" t="s">
        <v>1076</v>
      </c>
      <c r="B524" s="2" t="s">
        <v>1077</v>
      </c>
      <c r="C524">
        <v>1182</v>
      </c>
      <c r="D524" t="s">
        <v>12</v>
      </c>
      <c r="E524" t="s">
        <v>33</v>
      </c>
      <c r="F524" t="s">
        <v>71</v>
      </c>
      <c r="G524">
        <v>245</v>
      </c>
      <c r="I524" t="s">
        <v>44</v>
      </c>
      <c r="K524" s="1">
        <f t="shared" si="64"/>
        <v>46029</v>
      </c>
      <c r="L524" s="3" t="str">
        <f t="shared" si="65"/>
        <v/>
      </c>
      <c r="M524" s="3">
        <f t="shared" si="66"/>
        <v>4.083333333333333</v>
      </c>
      <c r="N524" t="str">
        <f t="shared" si="67"/>
        <v>Open</v>
      </c>
      <c r="O524" t="str">
        <f t="shared" si="71"/>
        <v>No Rating</v>
      </c>
      <c r="P524" t="str">
        <f t="shared" si="68"/>
        <v>Unresolved</v>
      </c>
      <c r="Q524" s="2" t="str">
        <f t="shared" si="69"/>
        <v>Jan-2026</v>
      </c>
      <c r="R524" s="2">
        <f t="shared" si="70"/>
        <v>46023</v>
      </c>
    </row>
    <row r="525" spans="1:18">
      <c r="A525" t="s">
        <v>1078</v>
      </c>
      <c r="B525" s="2" t="s">
        <v>1079</v>
      </c>
      <c r="C525">
        <v>1917</v>
      </c>
      <c r="D525" t="s">
        <v>32</v>
      </c>
      <c r="E525" t="s">
        <v>27</v>
      </c>
      <c r="F525" t="s">
        <v>34</v>
      </c>
      <c r="G525">
        <v>105</v>
      </c>
      <c r="H525">
        <v>1505</v>
      </c>
      <c r="I525" t="s">
        <v>20</v>
      </c>
      <c r="J525">
        <v>2</v>
      </c>
      <c r="K525" s="1">
        <f t="shared" si="64"/>
        <v>46029</v>
      </c>
      <c r="L525" s="3">
        <f t="shared" si="65"/>
        <v>25.083333333333332</v>
      </c>
      <c r="M525" s="3">
        <f t="shared" si="66"/>
        <v>1.75</v>
      </c>
      <c r="N525" t="str">
        <f t="shared" si="67"/>
        <v>Within SLA</v>
      </c>
      <c r="O525" t="str">
        <f t="shared" si="71"/>
        <v>Dissatisfied</v>
      </c>
      <c r="P525" t="str">
        <f t="shared" si="68"/>
        <v>Resolved</v>
      </c>
      <c r="Q525" s="2" t="str">
        <f t="shared" si="69"/>
        <v>Jan-2026</v>
      </c>
      <c r="R525" s="2">
        <f t="shared" si="70"/>
        <v>46023</v>
      </c>
    </row>
    <row r="526" spans="1:18">
      <c r="A526" t="s">
        <v>1080</v>
      </c>
      <c r="B526" s="2" t="s">
        <v>1081</v>
      </c>
      <c r="C526">
        <v>1826</v>
      </c>
      <c r="D526" t="s">
        <v>18</v>
      </c>
      <c r="E526" t="s">
        <v>27</v>
      </c>
      <c r="F526" t="s">
        <v>28</v>
      </c>
      <c r="G526">
        <v>40</v>
      </c>
      <c r="I526" t="s">
        <v>29</v>
      </c>
      <c r="K526" s="1">
        <f t="shared" si="64"/>
        <v>46030</v>
      </c>
      <c r="L526" s="3" t="str">
        <f t="shared" si="65"/>
        <v/>
      </c>
      <c r="M526" s="3">
        <f t="shared" si="66"/>
        <v>0.66666666666666663</v>
      </c>
      <c r="N526" t="str">
        <f t="shared" si="67"/>
        <v>Open</v>
      </c>
      <c r="O526" t="str">
        <f t="shared" si="71"/>
        <v>No Rating</v>
      </c>
      <c r="P526" t="str">
        <f t="shared" si="68"/>
        <v>Unresolved</v>
      </c>
      <c r="Q526" s="2" t="str">
        <f t="shared" si="69"/>
        <v>Jan-2026</v>
      </c>
      <c r="R526" s="2">
        <f t="shared" si="70"/>
        <v>46023</v>
      </c>
    </row>
    <row r="527" spans="1:18">
      <c r="A527" t="s">
        <v>1082</v>
      </c>
      <c r="B527" s="2" t="s">
        <v>1083</v>
      </c>
      <c r="C527">
        <v>1710</v>
      </c>
      <c r="D527" t="s">
        <v>47</v>
      </c>
      <c r="E527" t="s">
        <v>13</v>
      </c>
      <c r="F527" t="s">
        <v>54</v>
      </c>
      <c r="G527">
        <v>9</v>
      </c>
      <c r="H527">
        <v>365</v>
      </c>
      <c r="I527" t="s">
        <v>15</v>
      </c>
      <c r="J527">
        <v>2</v>
      </c>
      <c r="K527" s="1">
        <f t="shared" si="64"/>
        <v>46030</v>
      </c>
      <c r="L527" s="3">
        <f t="shared" si="65"/>
        <v>6.083333333333333</v>
      </c>
      <c r="M527" s="3">
        <f t="shared" si="66"/>
        <v>0.15</v>
      </c>
      <c r="N527" t="str">
        <f t="shared" si="67"/>
        <v>Within SLA</v>
      </c>
      <c r="O527" t="str">
        <f t="shared" si="71"/>
        <v>Dissatisfied</v>
      </c>
      <c r="P527" t="str">
        <f t="shared" si="68"/>
        <v>Resolved</v>
      </c>
      <c r="Q527" s="2" t="str">
        <f t="shared" si="69"/>
        <v>Jan-2026</v>
      </c>
      <c r="R527" s="2">
        <f t="shared" si="70"/>
        <v>46023</v>
      </c>
    </row>
    <row r="528" spans="1:18">
      <c r="A528" t="s">
        <v>1084</v>
      </c>
      <c r="B528" s="2" t="s">
        <v>1085</v>
      </c>
      <c r="C528">
        <v>1696</v>
      </c>
      <c r="D528" t="s">
        <v>26</v>
      </c>
      <c r="E528" t="s">
        <v>27</v>
      </c>
      <c r="F528" t="s">
        <v>59</v>
      </c>
      <c r="G528">
        <v>90</v>
      </c>
      <c r="H528">
        <v>2966</v>
      </c>
      <c r="I528" t="s">
        <v>15</v>
      </c>
      <c r="K528" s="1">
        <f t="shared" si="64"/>
        <v>46030</v>
      </c>
      <c r="L528" s="3">
        <f t="shared" si="65"/>
        <v>49.43333333333333</v>
      </c>
      <c r="M528" s="3">
        <f t="shared" si="66"/>
        <v>1.5</v>
      </c>
      <c r="N528" t="str">
        <f t="shared" si="67"/>
        <v>Breached</v>
      </c>
      <c r="O528" t="str">
        <f t="shared" si="71"/>
        <v>No Rating</v>
      </c>
      <c r="P528" t="str">
        <f t="shared" si="68"/>
        <v>Resolved</v>
      </c>
      <c r="Q528" s="2" t="str">
        <f t="shared" si="69"/>
        <v>Jan-2026</v>
      </c>
      <c r="R528" s="2">
        <f t="shared" si="70"/>
        <v>46023</v>
      </c>
    </row>
    <row r="529" spans="1:18">
      <c r="A529" t="s">
        <v>1086</v>
      </c>
      <c r="B529" s="2" t="s">
        <v>1087</v>
      </c>
      <c r="C529">
        <v>1029</v>
      </c>
      <c r="D529" t="s">
        <v>12</v>
      </c>
      <c r="E529" t="s">
        <v>13</v>
      </c>
      <c r="F529" t="s">
        <v>43</v>
      </c>
      <c r="G529">
        <v>2</v>
      </c>
      <c r="H529">
        <v>386</v>
      </c>
      <c r="I529" t="s">
        <v>15</v>
      </c>
      <c r="J529">
        <v>1</v>
      </c>
      <c r="K529" s="1">
        <f t="shared" si="64"/>
        <v>46031</v>
      </c>
      <c r="L529" s="3">
        <f t="shared" si="65"/>
        <v>6.4333333333333336</v>
      </c>
      <c r="M529" s="3">
        <f t="shared" si="66"/>
        <v>3.3333333333333333E-2</v>
      </c>
      <c r="N529" t="str">
        <f t="shared" si="67"/>
        <v>Within SLA</v>
      </c>
      <c r="O529" t="str">
        <f t="shared" si="71"/>
        <v>Dissatisfied</v>
      </c>
      <c r="P529" t="str">
        <f t="shared" si="68"/>
        <v>Resolved</v>
      </c>
      <c r="Q529" s="2" t="str">
        <f t="shared" si="69"/>
        <v>Jan-2026</v>
      </c>
      <c r="R529" s="2">
        <f t="shared" si="70"/>
        <v>46023</v>
      </c>
    </row>
    <row r="530" spans="1:18">
      <c r="A530" t="s">
        <v>1088</v>
      </c>
      <c r="B530" s="2" t="s">
        <v>1089</v>
      </c>
      <c r="C530">
        <v>1145</v>
      </c>
      <c r="D530" t="s">
        <v>32</v>
      </c>
      <c r="E530" t="s">
        <v>27</v>
      </c>
      <c r="F530" t="s">
        <v>43</v>
      </c>
      <c r="G530">
        <v>114</v>
      </c>
      <c r="H530">
        <v>1866</v>
      </c>
      <c r="I530" t="s">
        <v>15</v>
      </c>
      <c r="J530">
        <v>3</v>
      </c>
      <c r="K530" s="1">
        <f t="shared" si="64"/>
        <v>46031</v>
      </c>
      <c r="L530" s="3">
        <f t="shared" si="65"/>
        <v>31.1</v>
      </c>
      <c r="M530" s="3">
        <f t="shared" si="66"/>
        <v>1.9</v>
      </c>
      <c r="N530" t="str">
        <f t="shared" si="67"/>
        <v>Within SLA</v>
      </c>
      <c r="O530" t="str">
        <f t="shared" si="71"/>
        <v>Neutral</v>
      </c>
      <c r="P530" t="str">
        <f t="shared" si="68"/>
        <v>Resolved</v>
      </c>
      <c r="Q530" s="2" t="str">
        <f t="shared" si="69"/>
        <v>Jan-2026</v>
      </c>
      <c r="R530" s="2">
        <f t="shared" si="70"/>
        <v>46023</v>
      </c>
    </row>
    <row r="531" spans="1:18">
      <c r="A531" t="s">
        <v>1090</v>
      </c>
      <c r="B531" s="2" t="s">
        <v>1091</v>
      </c>
      <c r="C531">
        <v>1444</v>
      </c>
      <c r="D531" t="s">
        <v>47</v>
      </c>
      <c r="E531" t="s">
        <v>13</v>
      </c>
      <c r="F531" t="s">
        <v>34</v>
      </c>
      <c r="G531">
        <v>11</v>
      </c>
      <c r="H531">
        <v>228</v>
      </c>
      <c r="I531" t="s">
        <v>15</v>
      </c>
      <c r="J531">
        <v>4</v>
      </c>
      <c r="K531" s="1">
        <f t="shared" si="64"/>
        <v>46032</v>
      </c>
      <c r="L531" s="3">
        <f t="shared" si="65"/>
        <v>3.8</v>
      </c>
      <c r="M531" s="3">
        <f t="shared" si="66"/>
        <v>0.18333333333333332</v>
      </c>
      <c r="N531" t="str">
        <f t="shared" si="67"/>
        <v>Within SLA</v>
      </c>
      <c r="O531" t="str">
        <f t="shared" si="71"/>
        <v>Satisfied</v>
      </c>
      <c r="P531" t="str">
        <f t="shared" si="68"/>
        <v>Resolved</v>
      </c>
      <c r="Q531" s="2" t="str">
        <f t="shared" si="69"/>
        <v>Jan-2026</v>
      </c>
      <c r="R531" s="2">
        <f t="shared" si="70"/>
        <v>46023</v>
      </c>
    </row>
    <row r="532" spans="1:18">
      <c r="A532" t="s">
        <v>1092</v>
      </c>
      <c r="B532" s="2" t="s">
        <v>1093</v>
      </c>
      <c r="C532">
        <v>1191</v>
      </c>
      <c r="D532" t="s">
        <v>18</v>
      </c>
      <c r="E532" t="s">
        <v>13</v>
      </c>
      <c r="F532" t="s">
        <v>71</v>
      </c>
      <c r="G532">
        <v>10</v>
      </c>
      <c r="H532">
        <v>339</v>
      </c>
      <c r="I532" t="s">
        <v>15</v>
      </c>
      <c r="J532">
        <v>3</v>
      </c>
      <c r="K532" s="1">
        <f t="shared" si="64"/>
        <v>46032</v>
      </c>
      <c r="L532" s="3">
        <f t="shared" si="65"/>
        <v>5.65</v>
      </c>
      <c r="M532" s="3">
        <f t="shared" si="66"/>
        <v>0.16666666666666666</v>
      </c>
      <c r="N532" t="str">
        <f t="shared" si="67"/>
        <v>Within SLA</v>
      </c>
      <c r="O532" t="str">
        <f t="shared" si="71"/>
        <v>Neutral</v>
      </c>
      <c r="P532" t="str">
        <f t="shared" si="68"/>
        <v>Resolved</v>
      </c>
      <c r="Q532" s="2" t="str">
        <f t="shared" si="69"/>
        <v>Jan-2026</v>
      </c>
      <c r="R532" s="2">
        <f t="shared" si="70"/>
        <v>46023</v>
      </c>
    </row>
    <row r="533" spans="1:18">
      <c r="A533" t="s">
        <v>1094</v>
      </c>
      <c r="B533" s="2" t="s">
        <v>1095</v>
      </c>
      <c r="C533">
        <v>1311</v>
      </c>
      <c r="D533" t="s">
        <v>32</v>
      </c>
      <c r="E533" t="s">
        <v>19</v>
      </c>
      <c r="F533" t="s">
        <v>59</v>
      </c>
      <c r="G533">
        <v>32</v>
      </c>
      <c r="H533">
        <v>179</v>
      </c>
      <c r="I533" t="s">
        <v>15</v>
      </c>
      <c r="J533">
        <v>3</v>
      </c>
      <c r="K533" s="1">
        <f t="shared" si="64"/>
        <v>46032</v>
      </c>
      <c r="L533" s="3">
        <f t="shared" si="65"/>
        <v>2.9833333333333334</v>
      </c>
      <c r="M533" s="3">
        <f t="shared" si="66"/>
        <v>0.53333333333333333</v>
      </c>
      <c r="N533" t="str">
        <f t="shared" si="67"/>
        <v>Within SLA</v>
      </c>
      <c r="O533" t="str">
        <f t="shared" si="71"/>
        <v>Neutral</v>
      </c>
      <c r="P533" t="str">
        <f t="shared" si="68"/>
        <v>Resolved</v>
      </c>
      <c r="Q533" s="2" t="str">
        <f t="shared" si="69"/>
        <v>Jan-2026</v>
      </c>
      <c r="R533" s="2">
        <f t="shared" si="70"/>
        <v>46023</v>
      </c>
    </row>
    <row r="534" spans="1:18">
      <c r="A534" t="s">
        <v>1096</v>
      </c>
      <c r="B534" s="2" t="s">
        <v>1097</v>
      </c>
      <c r="C534">
        <v>1768</v>
      </c>
      <c r="D534" t="s">
        <v>32</v>
      </c>
      <c r="E534" t="s">
        <v>27</v>
      </c>
      <c r="F534" t="s">
        <v>43</v>
      </c>
      <c r="G534">
        <v>104</v>
      </c>
      <c r="H534">
        <v>1674</v>
      </c>
      <c r="I534" t="s">
        <v>15</v>
      </c>
      <c r="J534">
        <v>3</v>
      </c>
      <c r="K534" s="1">
        <f t="shared" si="64"/>
        <v>46033</v>
      </c>
      <c r="L534" s="3">
        <f t="shared" si="65"/>
        <v>27.9</v>
      </c>
      <c r="M534" s="3">
        <f t="shared" si="66"/>
        <v>1.7333333333333334</v>
      </c>
      <c r="N534" t="str">
        <f t="shared" si="67"/>
        <v>Within SLA</v>
      </c>
      <c r="O534" t="str">
        <f t="shared" si="71"/>
        <v>Neutral</v>
      </c>
      <c r="P534" t="str">
        <f t="shared" si="68"/>
        <v>Resolved</v>
      </c>
      <c r="Q534" s="2" t="str">
        <f t="shared" si="69"/>
        <v>Jan-2026</v>
      </c>
      <c r="R534" s="2">
        <f t="shared" si="70"/>
        <v>46023</v>
      </c>
    </row>
    <row r="535" spans="1:18">
      <c r="A535" t="s">
        <v>1098</v>
      </c>
      <c r="B535" s="2" t="s">
        <v>1099</v>
      </c>
      <c r="C535">
        <v>1457</v>
      </c>
      <c r="D535" t="s">
        <v>32</v>
      </c>
      <c r="E535" t="s">
        <v>27</v>
      </c>
      <c r="F535" t="s">
        <v>14</v>
      </c>
      <c r="G535">
        <v>105</v>
      </c>
      <c r="I535" t="s">
        <v>44</v>
      </c>
      <c r="K535" s="1">
        <f t="shared" si="64"/>
        <v>46033</v>
      </c>
      <c r="L535" s="3" t="str">
        <f t="shared" si="65"/>
        <v/>
      </c>
      <c r="M535" s="3">
        <f t="shared" si="66"/>
        <v>1.75</v>
      </c>
      <c r="N535" t="str">
        <f t="shared" si="67"/>
        <v>Open</v>
      </c>
      <c r="O535" t="str">
        <f t="shared" si="71"/>
        <v>No Rating</v>
      </c>
      <c r="P535" t="str">
        <f t="shared" si="68"/>
        <v>Unresolved</v>
      </c>
      <c r="Q535" s="2" t="str">
        <f t="shared" si="69"/>
        <v>Jan-2026</v>
      </c>
      <c r="R535" s="2">
        <f t="shared" si="70"/>
        <v>46023</v>
      </c>
    </row>
    <row r="536" spans="1:18">
      <c r="A536" t="s">
        <v>1100</v>
      </c>
      <c r="B536" s="2" t="s">
        <v>1101</v>
      </c>
      <c r="C536">
        <v>1768</v>
      </c>
      <c r="D536" t="s">
        <v>32</v>
      </c>
      <c r="E536" t="s">
        <v>33</v>
      </c>
      <c r="F536" t="s">
        <v>34</v>
      </c>
      <c r="G536">
        <v>126</v>
      </c>
      <c r="H536">
        <v>2622</v>
      </c>
      <c r="I536" t="s">
        <v>15</v>
      </c>
      <c r="J536">
        <v>5</v>
      </c>
      <c r="K536" s="1">
        <f t="shared" si="64"/>
        <v>46033</v>
      </c>
      <c r="L536" s="3">
        <f t="shared" si="65"/>
        <v>43.7</v>
      </c>
      <c r="M536" s="3">
        <f t="shared" si="66"/>
        <v>2.1</v>
      </c>
      <c r="N536" t="str">
        <f t="shared" si="67"/>
        <v>Within SLA</v>
      </c>
      <c r="O536" t="str">
        <f t="shared" si="71"/>
        <v>Satisfied</v>
      </c>
      <c r="P536" t="str">
        <f t="shared" si="68"/>
        <v>Resolved</v>
      </c>
      <c r="Q536" s="2" t="str">
        <f t="shared" si="69"/>
        <v>Jan-2026</v>
      </c>
      <c r="R536" s="2">
        <f t="shared" si="70"/>
        <v>46023</v>
      </c>
    </row>
    <row r="537" spans="1:18">
      <c r="A537" t="s">
        <v>1102</v>
      </c>
      <c r="B537" s="2" t="s">
        <v>1103</v>
      </c>
      <c r="C537">
        <v>1021</v>
      </c>
      <c r="D537" t="s">
        <v>26</v>
      </c>
      <c r="E537" t="s">
        <v>13</v>
      </c>
      <c r="F537" t="s">
        <v>34</v>
      </c>
      <c r="G537">
        <v>10</v>
      </c>
      <c r="H537">
        <v>115</v>
      </c>
      <c r="I537" t="s">
        <v>15</v>
      </c>
      <c r="J537">
        <v>2</v>
      </c>
      <c r="K537" s="1">
        <f t="shared" si="64"/>
        <v>46034</v>
      </c>
      <c r="L537" s="3">
        <f t="shared" si="65"/>
        <v>1.9166666666666667</v>
      </c>
      <c r="M537" s="3">
        <f t="shared" si="66"/>
        <v>0.16666666666666666</v>
      </c>
      <c r="N537" t="str">
        <f t="shared" si="67"/>
        <v>Within SLA</v>
      </c>
      <c r="O537" t="str">
        <f t="shared" si="71"/>
        <v>Dissatisfied</v>
      </c>
      <c r="P537" t="str">
        <f t="shared" si="68"/>
        <v>Resolved</v>
      </c>
      <c r="Q537" s="2" t="str">
        <f t="shared" si="69"/>
        <v>Jan-2026</v>
      </c>
      <c r="R537" s="2">
        <f t="shared" si="70"/>
        <v>46023</v>
      </c>
    </row>
    <row r="538" spans="1:18">
      <c r="A538" t="s">
        <v>1104</v>
      </c>
      <c r="B538" s="2" t="s">
        <v>1105</v>
      </c>
      <c r="C538">
        <v>1770</v>
      </c>
      <c r="D538" t="s">
        <v>32</v>
      </c>
      <c r="E538" t="s">
        <v>33</v>
      </c>
      <c r="F538" t="s">
        <v>14</v>
      </c>
      <c r="G538">
        <v>219</v>
      </c>
      <c r="H538">
        <v>5031</v>
      </c>
      <c r="I538" t="s">
        <v>15</v>
      </c>
      <c r="K538" s="1">
        <f t="shared" si="64"/>
        <v>46034</v>
      </c>
      <c r="L538" s="3">
        <f t="shared" si="65"/>
        <v>83.85</v>
      </c>
      <c r="M538" s="3">
        <f t="shared" si="66"/>
        <v>3.65</v>
      </c>
      <c r="N538" t="str">
        <f t="shared" si="67"/>
        <v>Breached</v>
      </c>
      <c r="O538" t="str">
        <f t="shared" si="71"/>
        <v>No Rating</v>
      </c>
      <c r="P538" t="str">
        <f t="shared" si="68"/>
        <v>Resolved</v>
      </c>
      <c r="Q538" s="2" t="str">
        <f t="shared" si="69"/>
        <v>Jan-2026</v>
      </c>
      <c r="R538" s="2">
        <f t="shared" si="70"/>
        <v>46023</v>
      </c>
    </row>
    <row r="539" spans="1:18">
      <c r="A539" t="s">
        <v>1106</v>
      </c>
      <c r="B539" s="2" t="s">
        <v>1107</v>
      </c>
      <c r="C539">
        <v>1638</v>
      </c>
      <c r="D539" t="s">
        <v>18</v>
      </c>
      <c r="E539" t="s">
        <v>27</v>
      </c>
      <c r="F539" t="s">
        <v>28</v>
      </c>
      <c r="G539">
        <v>70</v>
      </c>
      <c r="H539">
        <v>704</v>
      </c>
      <c r="I539" t="s">
        <v>15</v>
      </c>
      <c r="K539" s="1">
        <f t="shared" si="64"/>
        <v>46035</v>
      </c>
      <c r="L539" s="3">
        <f t="shared" si="65"/>
        <v>11.733333333333333</v>
      </c>
      <c r="M539" s="3">
        <f t="shared" si="66"/>
        <v>1.1666666666666667</v>
      </c>
      <c r="N539" t="str">
        <f t="shared" si="67"/>
        <v>Within SLA</v>
      </c>
      <c r="O539" t="str">
        <f t="shared" si="71"/>
        <v>No Rating</v>
      </c>
      <c r="P539" t="str">
        <f t="shared" si="68"/>
        <v>Resolved</v>
      </c>
      <c r="Q539" s="2" t="str">
        <f t="shared" si="69"/>
        <v>Jan-2026</v>
      </c>
      <c r="R539" s="2">
        <f t="shared" si="70"/>
        <v>46023</v>
      </c>
    </row>
    <row r="540" spans="1:18">
      <c r="A540" t="s">
        <v>1108</v>
      </c>
      <c r="B540" s="2" t="s">
        <v>1109</v>
      </c>
      <c r="C540">
        <v>1828</v>
      </c>
      <c r="D540" t="s">
        <v>47</v>
      </c>
      <c r="E540" t="s">
        <v>33</v>
      </c>
      <c r="F540" t="s">
        <v>34</v>
      </c>
      <c r="G540">
        <v>388</v>
      </c>
      <c r="H540">
        <v>3583</v>
      </c>
      <c r="I540" t="s">
        <v>15</v>
      </c>
      <c r="J540">
        <v>4</v>
      </c>
      <c r="K540" s="1">
        <f t="shared" si="64"/>
        <v>46035</v>
      </c>
      <c r="L540" s="3">
        <f t="shared" si="65"/>
        <v>59.716666666666669</v>
      </c>
      <c r="M540" s="3">
        <f t="shared" si="66"/>
        <v>6.4666666666666668</v>
      </c>
      <c r="N540" t="str">
        <f t="shared" si="67"/>
        <v>Within SLA</v>
      </c>
      <c r="O540" t="str">
        <f t="shared" si="71"/>
        <v>Satisfied</v>
      </c>
      <c r="P540" t="str">
        <f t="shared" si="68"/>
        <v>Resolved</v>
      </c>
      <c r="Q540" s="2" t="str">
        <f t="shared" si="69"/>
        <v>Jan-2026</v>
      </c>
      <c r="R540" s="2">
        <f t="shared" si="70"/>
        <v>46023</v>
      </c>
    </row>
    <row r="541" spans="1:18">
      <c r="A541" t="s">
        <v>1110</v>
      </c>
      <c r="B541" s="2" t="s">
        <v>1111</v>
      </c>
      <c r="C541">
        <v>1323</v>
      </c>
      <c r="D541" t="s">
        <v>26</v>
      </c>
      <c r="E541" t="s">
        <v>33</v>
      </c>
      <c r="F541" t="s">
        <v>34</v>
      </c>
      <c r="G541">
        <v>254</v>
      </c>
      <c r="H541">
        <v>6093</v>
      </c>
      <c r="I541" t="s">
        <v>15</v>
      </c>
      <c r="J541">
        <v>4</v>
      </c>
      <c r="K541" s="1">
        <f t="shared" si="64"/>
        <v>46035</v>
      </c>
      <c r="L541" s="3">
        <f t="shared" si="65"/>
        <v>101.55</v>
      </c>
      <c r="M541" s="3">
        <f t="shared" si="66"/>
        <v>4.2333333333333334</v>
      </c>
      <c r="N541" t="str">
        <f t="shared" si="67"/>
        <v>Breached</v>
      </c>
      <c r="O541" t="str">
        <f t="shared" si="71"/>
        <v>Satisfied</v>
      </c>
      <c r="P541" t="str">
        <f t="shared" si="68"/>
        <v>Resolved</v>
      </c>
      <c r="Q541" s="2" t="str">
        <f t="shared" si="69"/>
        <v>Jan-2026</v>
      </c>
      <c r="R541" s="2">
        <f t="shared" si="70"/>
        <v>46023</v>
      </c>
    </row>
    <row r="542" spans="1:18">
      <c r="A542" t="s">
        <v>1112</v>
      </c>
      <c r="B542" s="2" t="s">
        <v>1113</v>
      </c>
      <c r="C542">
        <v>1333</v>
      </c>
      <c r="D542" t="s">
        <v>18</v>
      </c>
      <c r="E542" t="s">
        <v>13</v>
      </c>
      <c r="F542" t="s">
        <v>43</v>
      </c>
      <c r="G542">
        <v>8</v>
      </c>
      <c r="H542">
        <v>333</v>
      </c>
      <c r="I542" t="s">
        <v>20</v>
      </c>
      <c r="K542" s="1">
        <f t="shared" si="64"/>
        <v>46036</v>
      </c>
      <c r="L542" s="3">
        <f t="shared" si="65"/>
        <v>5.55</v>
      </c>
      <c r="M542" s="3">
        <f t="shared" si="66"/>
        <v>0.13333333333333333</v>
      </c>
      <c r="N542" t="str">
        <f t="shared" si="67"/>
        <v>Within SLA</v>
      </c>
      <c r="O542" t="str">
        <f t="shared" si="71"/>
        <v>No Rating</v>
      </c>
      <c r="P542" t="str">
        <f t="shared" si="68"/>
        <v>Resolved</v>
      </c>
      <c r="Q542" s="2" t="str">
        <f t="shared" si="69"/>
        <v>Jan-2026</v>
      </c>
      <c r="R542" s="2">
        <f t="shared" si="70"/>
        <v>46023</v>
      </c>
    </row>
    <row r="543" spans="1:18">
      <c r="A543" t="s">
        <v>1114</v>
      </c>
      <c r="B543" s="2" t="s">
        <v>1115</v>
      </c>
      <c r="C543">
        <v>1601</v>
      </c>
      <c r="D543" t="s">
        <v>47</v>
      </c>
      <c r="E543" t="s">
        <v>33</v>
      </c>
      <c r="F543" t="s">
        <v>54</v>
      </c>
      <c r="G543">
        <v>100</v>
      </c>
      <c r="I543" t="s">
        <v>44</v>
      </c>
      <c r="K543" s="1">
        <f t="shared" si="64"/>
        <v>46036</v>
      </c>
      <c r="L543" s="3" t="str">
        <f t="shared" si="65"/>
        <v/>
      </c>
      <c r="M543" s="3">
        <f t="shared" si="66"/>
        <v>1.6666666666666667</v>
      </c>
      <c r="N543" t="str">
        <f t="shared" si="67"/>
        <v>Open</v>
      </c>
      <c r="O543" t="str">
        <f t="shared" si="71"/>
        <v>No Rating</v>
      </c>
      <c r="P543" t="str">
        <f t="shared" si="68"/>
        <v>Unresolved</v>
      </c>
      <c r="Q543" s="2" t="str">
        <f t="shared" si="69"/>
        <v>Jan-2026</v>
      </c>
      <c r="R543" s="2">
        <f t="shared" si="70"/>
        <v>46023</v>
      </c>
    </row>
    <row r="544" spans="1:18">
      <c r="A544" t="s">
        <v>1116</v>
      </c>
      <c r="B544" s="2" t="s">
        <v>1117</v>
      </c>
      <c r="C544">
        <v>1505</v>
      </c>
      <c r="D544" t="s">
        <v>18</v>
      </c>
      <c r="E544" t="s">
        <v>19</v>
      </c>
      <c r="F544" t="s">
        <v>14</v>
      </c>
      <c r="G544">
        <v>32</v>
      </c>
      <c r="H544">
        <v>453</v>
      </c>
      <c r="I544" t="s">
        <v>15</v>
      </c>
      <c r="K544" s="1">
        <f t="shared" si="64"/>
        <v>46036</v>
      </c>
      <c r="L544" s="3">
        <f t="shared" si="65"/>
        <v>7.55</v>
      </c>
      <c r="M544" s="3">
        <f t="shared" si="66"/>
        <v>0.53333333333333333</v>
      </c>
      <c r="N544" t="str">
        <f t="shared" si="67"/>
        <v>Within SLA</v>
      </c>
      <c r="O544" t="str">
        <f t="shared" si="71"/>
        <v>No Rating</v>
      </c>
      <c r="P544" t="str">
        <f t="shared" si="68"/>
        <v>Resolved</v>
      </c>
      <c r="Q544" s="2" t="str">
        <f t="shared" si="69"/>
        <v>Jan-2026</v>
      </c>
      <c r="R544" s="2">
        <f t="shared" si="70"/>
        <v>46023</v>
      </c>
    </row>
    <row r="545" spans="1:18">
      <c r="A545" t="s">
        <v>1118</v>
      </c>
      <c r="B545" s="2" t="s">
        <v>1119</v>
      </c>
      <c r="C545">
        <v>1623</v>
      </c>
      <c r="D545" t="s">
        <v>32</v>
      </c>
      <c r="E545" t="s">
        <v>27</v>
      </c>
      <c r="F545" t="s">
        <v>64</v>
      </c>
      <c r="G545">
        <v>157</v>
      </c>
      <c r="H545">
        <v>1930</v>
      </c>
      <c r="I545" t="s">
        <v>20</v>
      </c>
      <c r="J545">
        <v>4</v>
      </c>
      <c r="K545" s="1">
        <f t="shared" si="64"/>
        <v>46037</v>
      </c>
      <c r="L545" s="3">
        <f t="shared" si="65"/>
        <v>32.166666666666664</v>
      </c>
      <c r="M545" s="3">
        <f t="shared" si="66"/>
        <v>2.6166666666666667</v>
      </c>
      <c r="N545" t="str">
        <f t="shared" si="67"/>
        <v>Within SLA</v>
      </c>
      <c r="O545" t="str">
        <f t="shared" si="71"/>
        <v>Satisfied</v>
      </c>
      <c r="P545" t="str">
        <f t="shared" si="68"/>
        <v>Resolved</v>
      </c>
      <c r="Q545" s="2" t="str">
        <f t="shared" si="69"/>
        <v>Jan-2026</v>
      </c>
      <c r="R545" s="2">
        <f t="shared" si="70"/>
        <v>46023</v>
      </c>
    </row>
    <row r="546" spans="1:18">
      <c r="A546" t="s">
        <v>1120</v>
      </c>
      <c r="B546" s="2" t="s">
        <v>1121</v>
      </c>
      <c r="C546">
        <v>1129</v>
      </c>
      <c r="D546" t="s">
        <v>26</v>
      </c>
      <c r="E546" t="s">
        <v>19</v>
      </c>
      <c r="F546" t="s">
        <v>43</v>
      </c>
      <c r="G546">
        <v>19</v>
      </c>
      <c r="H546">
        <v>640</v>
      </c>
      <c r="I546" t="s">
        <v>15</v>
      </c>
      <c r="K546" s="1">
        <f t="shared" si="64"/>
        <v>46037</v>
      </c>
      <c r="L546" s="3">
        <f t="shared" si="65"/>
        <v>10.666666666666666</v>
      </c>
      <c r="M546" s="3">
        <f t="shared" si="66"/>
        <v>0.31666666666666665</v>
      </c>
      <c r="N546" t="str">
        <f t="shared" si="67"/>
        <v>Within SLA</v>
      </c>
      <c r="O546" t="str">
        <f t="shared" si="71"/>
        <v>No Rating</v>
      </c>
      <c r="P546" t="str">
        <f t="shared" si="68"/>
        <v>Resolved</v>
      </c>
      <c r="Q546" s="2" t="str">
        <f t="shared" si="69"/>
        <v>Jan-2026</v>
      </c>
      <c r="R546" s="2">
        <f t="shared" si="70"/>
        <v>46023</v>
      </c>
    </row>
    <row r="547" spans="1:18">
      <c r="A547" t="s">
        <v>1122</v>
      </c>
      <c r="B547" s="2" t="s">
        <v>1123</v>
      </c>
      <c r="C547">
        <v>1216</v>
      </c>
      <c r="D547" t="s">
        <v>26</v>
      </c>
      <c r="E547" t="s">
        <v>13</v>
      </c>
      <c r="F547" t="s">
        <v>28</v>
      </c>
      <c r="G547">
        <v>11</v>
      </c>
      <c r="H547">
        <v>289</v>
      </c>
      <c r="I547" t="s">
        <v>20</v>
      </c>
      <c r="K547" s="1">
        <f t="shared" si="64"/>
        <v>46037</v>
      </c>
      <c r="L547" s="3">
        <f t="shared" si="65"/>
        <v>4.8166666666666664</v>
      </c>
      <c r="M547" s="3">
        <f t="shared" si="66"/>
        <v>0.18333333333333332</v>
      </c>
      <c r="N547" t="str">
        <f t="shared" si="67"/>
        <v>Within SLA</v>
      </c>
      <c r="O547" t="str">
        <f t="shared" si="71"/>
        <v>No Rating</v>
      </c>
      <c r="P547" t="str">
        <f t="shared" si="68"/>
        <v>Resolved</v>
      </c>
      <c r="Q547" s="2" t="str">
        <f t="shared" si="69"/>
        <v>Jan-2026</v>
      </c>
      <c r="R547" s="2">
        <f t="shared" si="70"/>
        <v>46023</v>
      </c>
    </row>
    <row r="548" spans="1:18">
      <c r="A548" t="s">
        <v>1124</v>
      </c>
      <c r="B548" s="2" t="s">
        <v>1125</v>
      </c>
      <c r="C548">
        <v>1642</v>
      </c>
      <c r="D548" t="s">
        <v>47</v>
      </c>
      <c r="E548" t="s">
        <v>33</v>
      </c>
      <c r="F548" t="s">
        <v>14</v>
      </c>
      <c r="G548">
        <v>403</v>
      </c>
      <c r="H548">
        <v>4788</v>
      </c>
      <c r="I548" t="s">
        <v>20</v>
      </c>
      <c r="J548">
        <v>5</v>
      </c>
      <c r="K548" s="1">
        <f t="shared" si="64"/>
        <v>46038</v>
      </c>
      <c r="L548" s="3">
        <f t="shared" si="65"/>
        <v>79.8</v>
      </c>
      <c r="M548" s="3">
        <f t="shared" si="66"/>
        <v>6.7166666666666668</v>
      </c>
      <c r="N548" t="str">
        <f t="shared" si="67"/>
        <v>Breached</v>
      </c>
      <c r="O548" t="str">
        <f t="shared" si="71"/>
        <v>Satisfied</v>
      </c>
      <c r="P548" t="str">
        <f t="shared" si="68"/>
        <v>Resolved</v>
      </c>
      <c r="Q548" s="2" t="str">
        <f t="shared" si="69"/>
        <v>Jan-2026</v>
      </c>
      <c r="R548" s="2">
        <f t="shared" si="70"/>
        <v>46023</v>
      </c>
    </row>
    <row r="549" spans="1:18">
      <c r="A549" t="s">
        <v>1126</v>
      </c>
      <c r="B549" s="2" t="s">
        <v>1127</v>
      </c>
      <c r="C549">
        <v>1885</v>
      </c>
      <c r="D549" t="s">
        <v>12</v>
      </c>
      <c r="E549" t="s">
        <v>33</v>
      </c>
      <c r="F549" t="s">
        <v>54</v>
      </c>
      <c r="G549">
        <v>267</v>
      </c>
      <c r="H549">
        <v>7853</v>
      </c>
      <c r="I549" t="s">
        <v>20</v>
      </c>
      <c r="J549">
        <v>2</v>
      </c>
      <c r="K549" s="1">
        <f t="shared" si="64"/>
        <v>46038</v>
      </c>
      <c r="L549" s="3">
        <f t="shared" si="65"/>
        <v>130.88333333333333</v>
      </c>
      <c r="M549" s="3">
        <f t="shared" si="66"/>
        <v>4.45</v>
      </c>
      <c r="N549" t="str">
        <f t="shared" si="67"/>
        <v>Breached</v>
      </c>
      <c r="O549" t="str">
        <f t="shared" si="71"/>
        <v>Dissatisfied</v>
      </c>
      <c r="P549" t="str">
        <f t="shared" si="68"/>
        <v>Resolved</v>
      </c>
      <c r="Q549" s="2" t="str">
        <f t="shared" si="69"/>
        <v>Jan-2026</v>
      </c>
      <c r="R549" s="2">
        <f t="shared" si="70"/>
        <v>46023</v>
      </c>
    </row>
    <row r="550" spans="1:18">
      <c r="A550" t="s">
        <v>1128</v>
      </c>
      <c r="B550" s="2" t="s">
        <v>1129</v>
      </c>
      <c r="C550">
        <v>1075</v>
      </c>
      <c r="D550" t="s">
        <v>32</v>
      </c>
      <c r="E550" t="s">
        <v>27</v>
      </c>
      <c r="F550" t="s">
        <v>28</v>
      </c>
      <c r="G550">
        <v>87</v>
      </c>
      <c r="H550">
        <v>3406</v>
      </c>
      <c r="I550" t="s">
        <v>15</v>
      </c>
      <c r="K550" s="1">
        <f t="shared" si="64"/>
        <v>46039</v>
      </c>
      <c r="L550" s="3">
        <f t="shared" si="65"/>
        <v>56.766666666666666</v>
      </c>
      <c r="M550" s="3">
        <f t="shared" si="66"/>
        <v>1.45</v>
      </c>
      <c r="N550" t="str">
        <f t="shared" si="67"/>
        <v>Breached</v>
      </c>
      <c r="O550" t="str">
        <f t="shared" si="71"/>
        <v>No Rating</v>
      </c>
      <c r="P550" t="str">
        <f t="shared" si="68"/>
        <v>Resolved</v>
      </c>
      <c r="Q550" s="2" t="str">
        <f t="shared" si="69"/>
        <v>Jan-2026</v>
      </c>
      <c r="R550" s="2">
        <f t="shared" si="70"/>
        <v>46023</v>
      </c>
    </row>
    <row r="551" spans="1:18">
      <c r="A551" t="s">
        <v>1130</v>
      </c>
      <c r="B551" s="2" t="s">
        <v>1131</v>
      </c>
      <c r="C551">
        <v>1028</v>
      </c>
      <c r="D551" t="s">
        <v>12</v>
      </c>
      <c r="E551" t="s">
        <v>33</v>
      </c>
      <c r="F551" t="s">
        <v>14</v>
      </c>
      <c r="G551">
        <v>427</v>
      </c>
      <c r="H551">
        <v>2874</v>
      </c>
      <c r="I551" t="s">
        <v>20</v>
      </c>
      <c r="K551" s="1">
        <f t="shared" si="64"/>
        <v>46039</v>
      </c>
      <c r="L551" s="3">
        <f t="shared" si="65"/>
        <v>47.9</v>
      </c>
      <c r="M551" s="3">
        <f t="shared" si="66"/>
        <v>7.1166666666666663</v>
      </c>
      <c r="N551" t="str">
        <f t="shared" si="67"/>
        <v>Within SLA</v>
      </c>
      <c r="O551" t="str">
        <f t="shared" si="71"/>
        <v>No Rating</v>
      </c>
      <c r="P551" t="str">
        <f t="shared" si="68"/>
        <v>Resolved</v>
      </c>
      <c r="Q551" s="2" t="str">
        <f t="shared" si="69"/>
        <v>Jan-2026</v>
      </c>
      <c r="R551" s="2">
        <f t="shared" si="70"/>
        <v>46023</v>
      </c>
    </row>
    <row r="552" spans="1:18">
      <c r="A552" t="s">
        <v>1132</v>
      </c>
      <c r="B552" s="2" t="s">
        <v>1133</v>
      </c>
      <c r="C552">
        <v>1246</v>
      </c>
      <c r="D552" t="s">
        <v>32</v>
      </c>
      <c r="E552" t="s">
        <v>19</v>
      </c>
      <c r="F552" t="s">
        <v>64</v>
      </c>
      <c r="G552">
        <v>24</v>
      </c>
      <c r="H552">
        <v>297</v>
      </c>
      <c r="I552" t="s">
        <v>15</v>
      </c>
      <c r="J552">
        <v>5</v>
      </c>
      <c r="K552" s="1">
        <f t="shared" si="64"/>
        <v>46039</v>
      </c>
      <c r="L552" s="3">
        <f t="shared" si="65"/>
        <v>4.95</v>
      </c>
      <c r="M552" s="3">
        <f t="shared" si="66"/>
        <v>0.4</v>
      </c>
      <c r="N552" t="str">
        <f t="shared" si="67"/>
        <v>Within SLA</v>
      </c>
      <c r="O552" t="str">
        <f t="shared" si="71"/>
        <v>Satisfied</v>
      </c>
      <c r="P552" t="str">
        <f t="shared" si="68"/>
        <v>Resolved</v>
      </c>
      <c r="Q552" s="2" t="str">
        <f t="shared" si="69"/>
        <v>Jan-2026</v>
      </c>
      <c r="R552" s="2">
        <f t="shared" si="70"/>
        <v>46023</v>
      </c>
    </row>
    <row r="553" spans="1:18">
      <c r="A553" t="s">
        <v>1134</v>
      </c>
      <c r="B553" s="2" t="s">
        <v>1135</v>
      </c>
      <c r="C553">
        <v>1664</v>
      </c>
      <c r="D553" t="s">
        <v>32</v>
      </c>
      <c r="E553" t="s">
        <v>27</v>
      </c>
      <c r="F553" t="s">
        <v>59</v>
      </c>
      <c r="G553">
        <v>99</v>
      </c>
      <c r="H553">
        <v>3110</v>
      </c>
      <c r="I553" t="s">
        <v>15</v>
      </c>
      <c r="K553" s="1">
        <f t="shared" si="64"/>
        <v>46040</v>
      </c>
      <c r="L553" s="3">
        <f t="shared" si="65"/>
        <v>51.833333333333336</v>
      </c>
      <c r="M553" s="3">
        <f t="shared" si="66"/>
        <v>1.65</v>
      </c>
      <c r="N553" t="str">
        <f t="shared" si="67"/>
        <v>Breached</v>
      </c>
      <c r="O553" t="str">
        <f t="shared" si="71"/>
        <v>No Rating</v>
      </c>
      <c r="P553" t="str">
        <f t="shared" si="68"/>
        <v>Resolved</v>
      </c>
      <c r="Q553" s="2" t="str">
        <f t="shared" si="69"/>
        <v>Jan-2026</v>
      </c>
      <c r="R553" s="2">
        <f t="shared" si="70"/>
        <v>46023</v>
      </c>
    </row>
    <row r="554" spans="1:18">
      <c r="A554" t="s">
        <v>1136</v>
      </c>
      <c r="B554" s="2" t="s">
        <v>1137</v>
      </c>
      <c r="C554">
        <v>1194</v>
      </c>
      <c r="D554" t="s">
        <v>12</v>
      </c>
      <c r="E554" t="s">
        <v>33</v>
      </c>
      <c r="F554" t="s">
        <v>14</v>
      </c>
      <c r="G554">
        <v>440</v>
      </c>
      <c r="H554">
        <v>2492</v>
      </c>
      <c r="I554" t="s">
        <v>15</v>
      </c>
      <c r="J554">
        <v>3</v>
      </c>
      <c r="K554" s="1">
        <f t="shared" si="64"/>
        <v>46040</v>
      </c>
      <c r="L554" s="3">
        <f t="shared" si="65"/>
        <v>41.533333333333331</v>
      </c>
      <c r="M554" s="3">
        <f t="shared" si="66"/>
        <v>7.333333333333333</v>
      </c>
      <c r="N554" t="str">
        <f t="shared" si="67"/>
        <v>Within SLA</v>
      </c>
      <c r="O554" t="str">
        <f t="shared" si="71"/>
        <v>Neutral</v>
      </c>
      <c r="P554" t="str">
        <f t="shared" si="68"/>
        <v>Resolved</v>
      </c>
      <c r="Q554" s="2" t="str">
        <f t="shared" si="69"/>
        <v>Jan-2026</v>
      </c>
      <c r="R554" s="2">
        <f t="shared" si="70"/>
        <v>46023</v>
      </c>
    </row>
    <row r="555" spans="1:18">
      <c r="A555" t="s">
        <v>1138</v>
      </c>
      <c r="B555" s="2" t="s">
        <v>1139</v>
      </c>
      <c r="C555">
        <v>1308</v>
      </c>
      <c r="D555" t="s">
        <v>47</v>
      </c>
      <c r="E555" t="s">
        <v>27</v>
      </c>
      <c r="F555" t="s">
        <v>23</v>
      </c>
      <c r="G555">
        <v>164</v>
      </c>
      <c r="H555">
        <v>2236</v>
      </c>
      <c r="I555" t="s">
        <v>15</v>
      </c>
      <c r="J555">
        <v>3</v>
      </c>
      <c r="K555" s="1">
        <f t="shared" si="64"/>
        <v>46040</v>
      </c>
      <c r="L555" s="3">
        <f t="shared" si="65"/>
        <v>37.266666666666666</v>
      </c>
      <c r="M555" s="3">
        <f t="shared" si="66"/>
        <v>2.7333333333333334</v>
      </c>
      <c r="N555" t="str">
        <f t="shared" si="67"/>
        <v>Within SLA</v>
      </c>
      <c r="O555" t="str">
        <f t="shared" si="71"/>
        <v>Neutral</v>
      </c>
      <c r="P555" t="str">
        <f t="shared" si="68"/>
        <v>Resolved</v>
      </c>
      <c r="Q555" s="2" t="str">
        <f t="shared" si="69"/>
        <v>Jan-2026</v>
      </c>
      <c r="R555" s="2">
        <f t="shared" si="70"/>
        <v>46023</v>
      </c>
    </row>
    <row r="556" spans="1:18">
      <c r="A556" t="s">
        <v>1140</v>
      </c>
      <c r="B556" s="2" t="s">
        <v>1141</v>
      </c>
      <c r="C556">
        <v>1298</v>
      </c>
      <c r="D556" t="s">
        <v>12</v>
      </c>
      <c r="E556" t="s">
        <v>13</v>
      </c>
      <c r="F556" t="s">
        <v>43</v>
      </c>
      <c r="G556">
        <v>2</v>
      </c>
      <c r="I556" t="s">
        <v>29</v>
      </c>
      <c r="K556" s="1">
        <f t="shared" si="64"/>
        <v>46041</v>
      </c>
      <c r="L556" s="3" t="str">
        <f t="shared" si="65"/>
        <v/>
      </c>
      <c r="M556" s="3">
        <f t="shared" si="66"/>
        <v>3.3333333333333333E-2</v>
      </c>
      <c r="N556" t="str">
        <f t="shared" si="67"/>
        <v>Open</v>
      </c>
      <c r="O556" t="str">
        <f t="shared" si="71"/>
        <v>No Rating</v>
      </c>
      <c r="P556" t="str">
        <f t="shared" si="68"/>
        <v>Unresolved</v>
      </c>
      <c r="Q556" s="2" t="str">
        <f t="shared" si="69"/>
        <v>Jan-2026</v>
      </c>
      <c r="R556" s="2">
        <f t="shared" si="70"/>
        <v>46023</v>
      </c>
    </row>
    <row r="557" spans="1:18">
      <c r="A557" t="s">
        <v>1142</v>
      </c>
      <c r="B557" s="2" t="s">
        <v>1143</v>
      </c>
      <c r="C557">
        <v>1948</v>
      </c>
      <c r="D557" t="s">
        <v>32</v>
      </c>
      <c r="E557" t="s">
        <v>27</v>
      </c>
      <c r="F557" t="s">
        <v>71</v>
      </c>
      <c r="G557">
        <v>61</v>
      </c>
      <c r="H557">
        <v>1097</v>
      </c>
      <c r="I557" t="s">
        <v>15</v>
      </c>
      <c r="J557">
        <v>3</v>
      </c>
      <c r="K557" s="1">
        <f t="shared" si="64"/>
        <v>46041</v>
      </c>
      <c r="L557" s="3">
        <f t="shared" si="65"/>
        <v>18.283333333333335</v>
      </c>
      <c r="M557" s="3">
        <f t="shared" si="66"/>
        <v>1.0166666666666666</v>
      </c>
      <c r="N557" t="str">
        <f t="shared" si="67"/>
        <v>Within SLA</v>
      </c>
      <c r="O557" t="str">
        <f t="shared" si="71"/>
        <v>Neutral</v>
      </c>
      <c r="P557" t="str">
        <f t="shared" si="68"/>
        <v>Resolved</v>
      </c>
      <c r="Q557" s="2" t="str">
        <f t="shared" si="69"/>
        <v>Jan-2026</v>
      </c>
      <c r="R557" s="2">
        <f t="shared" si="70"/>
        <v>46023</v>
      </c>
    </row>
    <row r="558" spans="1:18">
      <c r="A558" t="s">
        <v>1144</v>
      </c>
      <c r="B558" s="2" t="s">
        <v>1145</v>
      </c>
      <c r="C558">
        <v>1112</v>
      </c>
      <c r="D558" t="s">
        <v>18</v>
      </c>
      <c r="E558" t="s">
        <v>13</v>
      </c>
      <c r="F558" t="s">
        <v>71</v>
      </c>
      <c r="G558">
        <v>3</v>
      </c>
      <c r="H558">
        <v>161</v>
      </c>
      <c r="I558" t="s">
        <v>15</v>
      </c>
      <c r="K558" s="1">
        <f t="shared" si="64"/>
        <v>46041</v>
      </c>
      <c r="L558" s="3">
        <f t="shared" si="65"/>
        <v>2.6833333333333331</v>
      </c>
      <c r="M558" s="3">
        <f t="shared" si="66"/>
        <v>0.05</v>
      </c>
      <c r="N558" t="str">
        <f t="shared" si="67"/>
        <v>Within SLA</v>
      </c>
      <c r="O558" t="str">
        <f t="shared" si="71"/>
        <v>No Rating</v>
      </c>
      <c r="P558" t="str">
        <f t="shared" si="68"/>
        <v>Resolved</v>
      </c>
      <c r="Q558" s="2" t="str">
        <f t="shared" si="69"/>
        <v>Jan-2026</v>
      </c>
      <c r="R558" s="2">
        <f t="shared" si="70"/>
        <v>46023</v>
      </c>
    </row>
    <row r="559" spans="1:18">
      <c r="A559" t="s">
        <v>1146</v>
      </c>
      <c r="B559" s="2" t="s">
        <v>1147</v>
      </c>
      <c r="C559">
        <v>1644</v>
      </c>
      <c r="D559" t="s">
        <v>18</v>
      </c>
      <c r="E559" t="s">
        <v>27</v>
      </c>
      <c r="F559" t="s">
        <v>43</v>
      </c>
      <c r="G559">
        <v>155</v>
      </c>
      <c r="H559">
        <v>1897</v>
      </c>
      <c r="I559" t="s">
        <v>15</v>
      </c>
      <c r="J559">
        <v>3</v>
      </c>
      <c r="K559" s="1">
        <f t="shared" si="64"/>
        <v>46042</v>
      </c>
      <c r="L559" s="3">
        <f t="shared" si="65"/>
        <v>31.616666666666667</v>
      </c>
      <c r="M559" s="3">
        <f t="shared" si="66"/>
        <v>2.5833333333333335</v>
      </c>
      <c r="N559" t="str">
        <f t="shared" si="67"/>
        <v>Within SLA</v>
      </c>
      <c r="O559" t="str">
        <f t="shared" si="71"/>
        <v>Neutral</v>
      </c>
      <c r="P559" t="str">
        <f t="shared" si="68"/>
        <v>Resolved</v>
      </c>
      <c r="Q559" s="2" t="str">
        <f t="shared" si="69"/>
        <v>Jan-2026</v>
      </c>
      <c r="R559" s="2">
        <f t="shared" si="70"/>
        <v>46023</v>
      </c>
    </row>
    <row r="560" spans="1:18">
      <c r="A560" t="s">
        <v>1148</v>
      </c>
      <c r="B560" s="2" t="s">
        <v>1149</v>
      </c>
      <c r="C560">
        <v>1295</v>
      </c>
      <c r="D560" t="s">
        <v>12</v>
      </c>
      <c r="E560" t="s">
        <v>19</v>
      </c>
      <c r="F560" t="s">
        <v>71</v>
      </c>
      <c r="G560">
        <v>49</v>
      </c>
      <c r="H560">
        <v>511</v>
      </c>
      <c r="I560" t="s">
        <v>15</v>
      </c>
      <c r="K560" s="1">
        <f t="shared" si="64"/>
        <v>46042</v>
      </c>
      <c r="L560" s="3">
        <f t="shared" si="65"/>
        <v>8.5166666666666675</v>
      </c>
      <c r="M560" s="3">
        <f t="shared" si="66"/>
        <v>0.81666666666666665</v>
      </c>
      <c r="N560" t="str">
        <f t="shared" si="67"/>
        <v>Within SLA</v>
      </c>
      <c r="O560" t="str">
        <f t="shared" si="71"/>
        <v>No Rating</v>
      </c>
      <c r="P560" t="str">
        <f t="shared" si="68"/>
        <v>Resolved</v>
      </c>
      <c r="Q560" s="2" t="str">
        <f t="shared" si="69"/>
        <v>Jan-2026</v>
      </c>
      <c r="R560" s="2">
        <f t="shared" si="70"/>
        <v>46023</v>
      </c>
    </row>
    <row r="561" spans="1:18">
      <c r="A561" t="s">
        <v>1150</v>
      </c>
      <c r="B561" s="2" t="s">
        <v>1151</v>
      </c>
      <c r="C561">
        <v>1734</v>
      </c>
      <c r="D561" t="s">
        <v>12</v>
      </c>
      <c r="E561" t="s">
        <v>33</v>
      </c>
      <c r="F561" t="s">
        <v>28</v>
      </c>
      <c r="G561">
        <v>404</v>
      </c>
      <c r="H561">
        <v>2719</v>
      </c>
      <c r="I561" t="s">
        <v>15</v>
      </c>
      <c r="J561">
        <v>3</v>
      </c>
      <c r="K561" s="1">
        <f t="shared" si="64"/>
        <v>46043</v>
      </c>
      <c r="L561" s="3">
        <f t="shared" si="65"/>
        <v>45.31666666666667</v>
      </c>
      <c r="M561" s="3">
        <f t="shared" si="66"/>
        <v>6.7333333333333334</v>
      </c>
      <c r="N561" t="str">
        <f t="shared" si="67"/>
        <v>Within SLA</v>
      </c>
      <c r="O561" t="str">
        <f t="shared" si="71"/>
        <v>Neutral</v>
      </c>
      <c r="P561" t="str">
        <f t="shared" si="68"/>
        <v>Resolved</v>
      </c>
      <c r="Q561" s="2" t="str">
        <f t="shared" si="69"/>
        <v>Jan-2026</v>
      </c>
      <c r="R561" s="2">
        <f t="shared" si="70"/>
        <v>46023</v>
      </c>
    </row>
    <row r="562" spans="1:18">
      <c r="A562" t="s">
        <v>1152</v>
      </c>
      <c r="B562" s="2" t="s">
        <v>1153</v>
      </c>
      <c r="C562">
        <v>1251</v>
      </c>
      <c r="D562" t="s">
        <v>47</v>
      </c>
      <c r="E562" t="s">
        <v>13</v>
      </c>
      <c r="F562" t="s">
        <v>71</v>
      </c>
      <c r="G562">
        <v>6</v>
      </c>
      <c r="H562">
        <v>425</v>
      </c>
      <c r="I562" t="s">
        <v>15</v>
      </c>
      <c r="K562" s="1">
        <f t="shared" si="64"/>
        <v>46043</v>
      </c>
      <c r="L562" s="3">
        <f t="shared" si="65"/>
        <v>7.083333333333333</v>
      </c>
      <c r="M562" s="3">
        <f t="shared" si="66"/>
        <v>0.1</v>
      </c>
      <c r="N562" t="str">
        <f t="shared" si="67"/>
        <v>Within SLA</v>
      </c>
      <c r="O562" t="str">
        <f t="shared" si="71"/>
        <v>No Rating</v>
      </c>
      <c r="P562" t="str">
        <f t="shared" si="68"/>
        <v>Resolved</v>
      </c>
      <c r="Q562" s="2" t="str">
        <f t="shared" si="69"/>
        <v>Jan-2026</v>
      </c>
      <c r="R562" s="2">
        <f t="shared" si="70"/>
        <v>46023</v>
      </c>
    </row>
    <row r="563" spans="1:18">
      <c r="A563" t="s">
        <v>1154</v>
      </c>
      <c r="B563" s="2" t="s">
        <v>1155</v>
      </c>
      <c r="C563">
        <v>1126</v>
      </c>
      <c r="D563" t="s">
        <v>12</v>
      </c>
      <c r="E563" t="s">
        <v>33</v>
      </c>
      <c r="F563" t="s">
        <v>71</v>
      </c>
      <c r="G563">
        <v>276</v>
      </c>
      <c r="H563">
        <v>6340</v>
      </c>
      <c r="I563" t="s">
        <v>20</v>
      </c>
      <c r="J563">
        <v>3</v>
      </c>
      <c r="K563" s="1">
        <f t="shared" si="64"/>
        <v>46043</v>
      </c>
      <c r="L563" s="3">
        <f t="shared" si="65"/>
        <v>105.66666666666667</v>
      </c>
      <c r="M563" s="3">
        <f t="shared" si="66"/>
        <v>4.5999999999999996</v>
      </c>
      <c r="N563" t="str">
        <f t="shared" si="67"/>
        <v>Breached</v>
      </c>
      <c r="O563" t="str">
        <f t="shared" si="71"/>
        <v>Neutral</v>
      </c>
      <c r="P563" t="str">
        <f t="shared" si="68"/>
        <v>Resolved</v>
      </c>
      <c r="Q563" s="2" t="str">
        <f t="shared" si="69"/>
        <v>Jan-2026</v>
      </c>
      <c r="R563" s="2">
        <f t="shared" si="70"/>
        <v>46023</v>
      </c>
    </row>
    <row r="564" spans="1:18">
      <c r="A564" t="s">
        <v>1156</v>
      </c>
      <c r="B564" s="2" t="s">
        <v>1157</v>
      </c>
      <c r="C564">
        <v>1369</v>
      </c>
      <c r="D564" t="s">
        <v>26</v>
      </c>
      <c r="E564" t="s">
        <v>27</v>
      </c>
      <c r="F564" t="s">
        <v>43</v>
      </c>
      <c r="G564">
        <v>46</v>
      </c>
      <c r="H564">
        <v>3468</v>
      </c>
      <c r="I564" t="s">
        <v>20</v>
      </c>
      <c r="K564" s="1">
        <f t="shared" si="64"/>
        <v>46044</v>
      </c>
      <c r="L564" s="3">
        <f t="shared" si="65"/>
        <v>57.8</v>
      </c>
      <c r="M564" s="3">
        <f t="shared" si="66"/>
        <v>0.76666666666666672</v>
      </c>
      <c r="N564" t="str">
        <f t="shared" si="67"/>
        <v>Breached</v>
      </c>
      <c r="O564" t="str">
        <f t="shared" si="71"/>
        <v>No Rating</v>
      </c>
      <c r="P564" t="str">
        <f t="shared" si="68"/>
        <v>Resolved</v>
      </c>
      <c r="Q564" s="2" t="str">
        <f t="shared" si="69"/>
        <v>Jan-2026</v>
      </c>
      <c r="R564" s="2">
        <f t="shared" si="70"/>
        <v>46023</v>
      </c>
    </row>
    <row r="565" spans="1:18">
      <c r="A565" t="s">
        <v>1158</v>
      </c>
      <c r="B565" s="2" t="s">
        <v>1159</v>
      </c>
      <c r="C565">
        <v>1439</v>
      </c>
      <c r="D565" t="s">
        <v>18</v>
      </c>
      <c r="E565" t="s">
        <v>33</v>
      </c>
      <c r="F565" t="s">
        <v>71</v>
      </c>
      <c r="G565">
        <v>352</v>
      </c>
      <c r="H565">
        <v>3138</v>
      </c>
      <c r="I565" t="s">
        <v>20</v>
      </c>
      <c r="J565">
        <v>3</v>
      </c>
      <c r="K565" s="1">
        <f t="shared" si="64"/>
        <v>46044</v>
      </c>
      <c r="L565" s="3">
        <f t="shared" si="65"/>
        <v>52.3</v>
      </c>
      <c r="M565" s="3">
        <f t="shared" si="66"/>
        <v>5.8666666666666663</v>
      </c>
      <c r="N565" t="str">
        <f t="shared" si="67"/>
        <v>Within SLA</v>
      </c>
      <c r="O565" t="str">
        <f t="shared" si="71"/>
        <v>Neutral</v>
      </c>
      <c r="P565" t="str">
        <f t="shared" si="68"/>
        <v>Resolved</v>
      </c>
      <c r="Q565" s="2" t="str">
        <f t="shared" si="69"/>
        <v>Jan-2026</v>
      </c>
      <c r="R565" s="2">
        <f t="shared" si="70"/>
        <v>46023</v>
      </c>
    </row>
    <row r="566" spans="1:18">
      <c r="A566" t="s">
        <v>1160</v>
      </c>
      <c r="B566" s="2" t="s">
        <v>1161</v>
      </c>
      <c r="C566">
        <v>1947</v>
      </c>
      <c r="D566" t="s">
        <v>18</v>
      </c>
      <c r="E566" t="s">
        <v>33</v>
      </c>
      <c r="F566" t="s">
        <v>14</v>
      </c>
      <c r="G566">
        <v>259</v>
      </c>
      <c r="H566">
        <v>7996</v>
      </c>
      <c r="I566" t="s">
        <v>15</v>
      </c>
      <c r="K566" s="1">
        <f t="shared" si="64"/>
        <v>46044</v>
      </c>
      <c r="L566" s="3">
        <f t="shared" si="65"/>
        <v>133.26666666666668</v>
      </c>
      <c r="M566" s="3">
        <f t="shared" si="66"/>
        <v>4.3166666666666664</v>
      </c>
      <c r="N566" t="str">
        <f t="shared" si="67"/>
        <v>Breached</v>
      </c>
      <c r="O566" t="str">
        <f t="shared" si="71"/>
        <v>No Rating</v>
      </c>
      <c r="P566" t="str">
        <f t="shared" si="68"/>
        <v>Resolved</v>
      </c>
      <c r="Q566" s="2" t="str">
        <f t="shared" si="69"/>
        <v>Jan-2026</v>
      </c>
      <c r="R566" s="2">
        <f t="shared" si="70"/>
        <v>46023</v>
      </c>
    </row>
    <row r="567" spans="1:18">
      <c r="A567" t="s">
        <v>1162</v>
      </c>
      <c r="B567" s="2" t="s">
        <v>1163</v>
      </c>
      <c r="C567">
        <v>1041</v>
      </c>
      <c r="D567" t="s">
        <v>26</v>
      </c>
      <c r="E567" t="s">
        <v>19</v>
      </c>
      <c r="F567" t="s">
        <v>28</v>
      </c>
      <c r="G567">
        <v>11</v>
      </c>
      <c r="H567">
        <v>519</v>
      </c>
      <c r="I567" t="s">
        <v>20</v>
      </c>
      <c r="J567">
        <v>4</v>
      </c>
      <c r="K567" s="1">
        <f t="shared" si="64"/>
        <v>46045</v>
      </c>
      <c r="L567" s="3">
        <f t="shared" si="65"/>
        <v>8.65</v>
      </c>
      <c r="M567" s="3">
        <f t="shared" si="66"/>
        <v>0.18333333333333332</v>
      </c>
      <c r="N567" t="str">
        <f t="shared" si="67"/>
        <v>Within SLA</v>
      </c>
      <c r="O567" t="str">
        <f t="shared" si="71"/>
        <v>Satisfied</v>
      </c>
      <c r="P567" t="str">
        <f t="shared" si="68"/>
        <v>Resolved</v>
      </c>
      <c r="Q567" s="2" t="str">
        <f t="shared" si="69"/>
        <v>Jan-2026</v>
      </c>
      <c r="R567" s="2">
        <f t="shared" si="70"/>
        <v>46023</v>
      </c>
    </row>
    <row r="568" spans="1:18">
      <c r="A568" t="s">
        <v>1164</v>
      </c>
      <c r="B568" s="2" t="s">
        <v>1165</v>
      </c>
      <c r="C568">
        <v>1342</v>
      </c>
      <c r="D568" t="s">
        <v>32</v>
      </c>
      <c r="E568" t="s">
        <v>27</v>
      </c>
      <c r="F568" t="s">
        <v>28</v>
      </c>
      <c r="G568">
        <v>28</v>
      </c>
      <c r="H568">
        <v>2509</v>
      </c>
      <c r="I568" t="s">
        <v>15</v>
      </c>
      <c r="J568">
        <v>2</v>
      </c>
      <c r="K568" s="1">
        <f t="shared" si="64"/>
        <v>46045</v>
      </c>
      <c r="L568" s="3">
        <f t="shared" si="65"/>
        <v>41.81666666666667</v>
      </c>
      <c r="M568" s="3">
        <f t="shared" si="66"/>
        <v>0.46666666666666667</v>
      </c>
      <c r="N568" t="str">
        <f t="shared" si="67"/>
        <v>Within SLA</v>
      </c>
      <c r="O568" t="str">
        <f t="shared" si="71"/>
        <v>Dissatisfied</v>
      </c>
      <c r="P568" t="str">
        <f t="shared" si="68"/>
        <v>Resolved</v>
      </c>
      <c r="Q568" s="2" t="str">
        <f t="shared" si="69"/>
        <v>Jan-2026</v>
      </c>
      <c r="R568" s="2">
        <f t="shared" si="70"/>
        <v>46023</v>
      </c>
    </row>
    <row r="569" spans="1:18">
      <c r="A569" t="s">
        <v>1166</v>
      </c>
      <c r="B569" s="2" t="s">
        <v>1167</v>
      </c>
      <c r="C569">
        <v>1514</v>
      </c>
      <c r="D569" t="s">
        <v>26</v>
      </c>
      <c r="E569" t="s">
        <v>27</v>
      </c>
      <c r="F569" t="s">
        <v>59</v>
      </c>
      <c r="G569">
        <v>72</v>
      </c>
      <c r="H569">
        <v>945</v>
      </c>
      <c r="I569" t="s">
        <v>15</v>
      </c>
      <c r="K569" s="1">
        <f t="shared" si="64"/>
        <v>46045</v>
      </c>
      <c r="L569" s="3">
        <f t="shared" si="65"/>
        <v>15.75</v>
      </c>
      <c r="M569" s="3">
        <f t="shared" si="66"/>
        <v>1.2</v>
      </c>
      <c r="N569" t="str">
        <f t="shared" si="67"/>
        <v>Within SLA</v>
      </c>
      <c r="O569" t="str">
        <f t="shared" si="71"/>
        <v>No Rating</v>
      </c>
      <c r="P569" t="str">
        <f t="shared" si="68"/>
        <v>Resolved</v>
      </c>
      <c r="Q569" s="2" t="str">
        <f t="shared" si="69"/>
        <v>Jan-2026</v>
      </c>
      <c r="R569" s="2">
        <f t="shared" si="70"/>
        <v>46023</v>
      </c>
    </row>
    <row r="570" spans="1:18">
      <c r="A570" t="s">
        <v>1168</v>
      </c>
      <c r="B570" s="2" t="s">
        <v>1169</v>
      </c>
      <c r="C570">
        <v>1261</v>
      </c>
      <c r="D570" t="s">
        <v>26</v>
      </c>
      <c r="E570" t="s">
        <v>27</v>
      </c>
      <c r="F570" t="s">
        <v>34</v>
      </c>
      <c r="G570">
        <v>100</v>
      </c>
      <c r="H570">
        <v>1426</v>
      </c>
      <c r="I570" t="s">
        <v>15</v>
      </c>
      <c r="K570" s="1">
        <f t="shared" si="64"/>
        <v>46046</v>
      </c>
      <c r="L570" s="3">
        <f t="shared" si="65"/>
        <v>23.766666666666666</v>
      </c>
      <c r="M570" s="3">
        <f t="shared" si="66"/>
        <v>1.6666666666666667</v>
      </c>
      <c r="N570" t="str">
        <f t="shared" si="67"/>
        <v>Within SLA</v>
      </c>
      <c r="O570" t="str">
        <f t="shared" si="71"/>
        <v>No Rating</v>
      </c>
      <c r="P570" t="str">
        <f t="shared" si="68"/>
        <v>Resolved</v>
      </c>
      <c r="Q570" s="2" t="str">
        <f t="shared" si="69"/>
        <v>Jan-2026</v>
      </c>
      <c r="R570" s="2">
        <f t="shared" si="70"/>
        <v>46023</v>
      </c>
    </row>
    <row r="571" spans="1:18">
      <c r="A571" t="s">
        <v>1170</v>
      </c>
      <c r="B571" s="2" t="s">
        <v>1171</v>
      </c>
      <c r="C571">
        <v>1899</v>
      </c>
      <c r="D571" t="s">
        <v>47</v>
      </c>
      <c r="E571" t="s">
        <v>19</v>
      </c>
      <c r="F571" t="s">
        <v>14</v>
      </c>
      <c r="G571">
        <v>47</v>
      </c>
      <c r="H571">
        <v>817</v>
      </c>
      <c r="I571" t="s">
        <v>15</v>
      </c>
      <c r="K571" s="1">
        <f t="shared" si="64"/>
        <v>46046</v>
      </c>
      <c r="L571" s="3">
        <f t="shared" si="65"/>
        <v>13.616666666666667</v>
      </c>
      <c r="M571" s="3">
        <f t="shared" si="66"/>
        <v>0.78333333333333333</v>
      </c>
      <c r="N571" t="str">
        <f t="shared" si="67"/>
        <v>Within SLA</v>
      </c>
      <c r="O571" t="str">
        <f t="shared" si="71"/>
        <v>No Rating</v>
      </c>
      <c r="P571" t="str">
        <f t="shared" si="68"/>
        <v>Resolved</v>
      </c>
      <c r="Q571" s="2" t="str">
        <f t="shared" si="69"/>
        <v>Jan-2026</v>
      </c>
      <c r="R571" s="2">
        <f t="shared" si="70"/>
        <v>46023</v>
      </c>
    </row>
    <row r="572" spans="1:18">
      <c r="A572" t="s">
        <v>1172</v>
      </c>
      <c r="B572" s="2" t="s">
        <v>1173</v>
      </c>
      <c r="C572">
        <v>1331</v>
      </c>
      <c r="D572" t="s">
        <v>47</v>
      </c>
      <c r="E572" t="s">
        <v>13</v>
      </c>
      <c r="F572" t="s">
        <v>54</v>
      </c>
      <c r="G572">
        <v>3</v>
      </c>
      <c r="H572">
        <v>352</v>
      </c>
      <c r="I572" t="s">
        <v>15</v>
      </c>
      <c r="J572">
        <v>2</v>
      </c>
      <c r="K572" s="1">
        <f t="shared" si="64"/>
        <v>46047</v>
      </c>
      <c r="L572" s="3">
        <f t="shared" si="65"/>
        <v>5.8666666666666663</v>
      </c>
      <c r="M572" s="3">
        <f t="shared" si="66"/>
        <v>0.05</v>
      </c>
      <c r="N572" t="str">
        <f t="shared" si="67"/>
        <v>Within SLA</v>
      </c>
      <c r="O572" t="str">
        <f t="shared" si="71"/>
        <v>Dissatisfied</v>
      </c>
      <c r="P572" t="str">
        <f t="shared" si="68"/>
        <v>Resolved</v>
      </c>
      <c r="Q572" s="2" t="str">
        <f t="shared" si="69"/>
        <v>Jan-2026</v>
      </c>
      <c r="R572" s="2">
        <f t="shared" si="70"/>
        <v>46023</v>
      </c>
    </row>
    <row r="573" spans="1:18">
      <c r="A573" t="s">
        <v>1174</v>
      </c>
      <c r="B573" s="2" t="s">
        <v>1175</v>
      </c>
      <c r="C573">
        <v>1411</v>
      </c>
      <c r="D573" t="s">
        <v>47</v>
      </c>
      <c r="E573" t="s">
        <v>19</v>
      </c>
      <c r="F573" t="s">
        <v>14</v>
      </c>
      <c r="G573">
        <v>40</v>
      </c>
      <c r="H573">
        <v>852</v>
      </c>
      <c r="I573" t="s">
        <v>15</v>
      </c>
      <c r="J573">
        <v>1</v>
      </c>
      <c r="K573" s="1">
        <f t="shared" si="64"/>
        <v>46047</v>
      </c>
      <c r="L573" s="3">
        <f t="shared" si="65"/>
        <v>14.2</v>
      </c>
      <c r="M573" s="3">
        <f t="shared" si="66"/>
        <v>0.66666666666666663</v>
      </c>
      <c r="N573" t="str">
        <f t="shared" si="67"/>
        <v>Within SLA</v>
      </c>
      <c r="O573" t="str">
        <f t="shared" si="71"/>
        <v>Dissatisfied</v>
      </c>
      <c r="P573" t="str">
        <f t="shared" si="68"/>
        <v>Resolved</v>
      </c>
      <c r="Q573" s="2" t="str">
        <f t="shared" si="69"/>
        <v>Jan-2026</v>
      </c>
      <c r="R573" s="2">
        <f t="shared" si="70"/>
        <v>46023</v>
      </c>
    </row>
    <row r="574" spans="1:18">
      <c r="A574" t="s">
        <v>1176</v>
      </c>
      <c r="B574" s="2" t="s">
        <v>1177</v>
      </c>
      <c r="C574">
        <v>1804</v>
      </c>
      <c r="D574" t="s">
        <v>26</v>
      </c>
      <c r="E574" t="s">
        <v>19</v>
      </c>
      <c r="F574" t="s">
        <v>28</v>
      </c>
      <c r="G574">
        <v>17</v>
      </c>
      <c r="H574">
        <v>1115</v>
      </c>
      <c r="I574" t="s">
        <v>15</v>
      </c>
      <c r="K574" s="1">
        <f t="shared" si="64"/>
        <v>46047</v>
      </c>
      <c r="L574" s="3">
        <f t="shared" si="65"/>
        <v>18.583333333333332</v>
      </c>
      <c r="M574" s="3">
        <f t="shared" si="66"/>
        <v>0.28333333333333333</v>
      </c>
      <c r="N574" t="str">
        <f t="shared" si="67"/>
        <v>Within SLA</v>
      </c>
      <c r="O574" t="str">
        <f t="shared" si="71"/>
        <v>No Rating</v>
      </c>
      <c r="P574" t="str">
        <f t="shared" si="68"/>
        <v>Resolved</v>
      </c>
      <c r="Q574" s="2" t="str">
        <f t="shared" si="69"/>
        <v>Jan-2026</v>
      </c>
      <c r="R574" s="2">
        <f t="shared" si="70"/>
        <v>46023</v>
      </c>
    </row>
    <row r="575" spans="1:18">
      <c r="A575" t="s">
        <v>1178</v>
      </c>
      <c r="B575" s="2" t="s">
        <v>1179</v>
      </c>
      <c r="C575">
        <v>1582</v>
      </c>
      <c r="D575" t="s">
        <v>47</v>
      </c>
      <c r="E575" t="s">
        <v>27</v>
      </c>
      <c r="F575" t="s">
        <v>54</v>
      </c>
      <c r="G575">
        <v>74</v>
      </c>
      <c r="I575" t="s">
        <v>44</v>
      </c>
      <c r="K575" s="1">
        <f t="shared" si="64"/>
        <v>46048</v>
      </c>
      <c r="L575" s="3" t="str">
        <f t="shared" si="65"/>
        <v/>
      </c>
      <c r="M575" s="3">
        <f t="shared" si="66"/>
        <v>1.2333333333333334</v>
      </c>
      <c r="N575" t="str">
        <f t="shared" si="67"/>
        <v>Open</v>
      </c>
      <c r="O575" t="str">
        <f t="shared" si="71"/>
        <v>No Rating</v>
      </c>
      <c r="P575" t="str">
        <f t="shared" si="68"/>
        <v>Unresolved</v>
      </c>
      <c r="Q575" s="2" t="str">
        <f t="shared" si="69"/>
        <v>Jan-2026</v>
      </c>
      <c r="R575" s="2">
        <f t="shared" si="70"/>
        <v>46023</v>
      </c>
    </row>
    <row r="576" spans="1:18">
      <c r="A576" t="s">
        <v>1180</v>
      </c>
      <c r="B576" s="2" t="s">
        <v>1181</v>
      </c>
      <c r="C576">
        <v>1697</v>
      </c>
      <c r="D576" t="s">
        <v>47</v>
      </c>
      <c r="E576" t="s">
        <v>27</v>
      </c>
      <c r="F576" t="s">
        <v>64</v>
      </c>
      <c r="G576">
        <v>43</v>
      </c>
      <c r="H576">
        <v>866</v>
      </c>
      <c r="I576" t="s">
        <v>15</v>
      </c>
      <c r="J576">
        <v>4</v>
      </c>
      <c r="K576" s="1">
        <f t="shared" si="64"/>
        <v>46048</v>
      </c>
      <c r="L576" s="3">
        <f t="shared" si="65"/>
        <v>14.433333333333334</v>
      </c>
      <c r="M576" s="3">
        <f t="shared" si="66"/>
        <v>0.71666666666666667</v>
      </c>
      <c r="N576" t="str">
        <f t="shared" si="67"/>
        <v>Within SLA</v>
      </c>
      <c r="O576" t="str">
        <f t="shared" si="71"/>
        <v>Satisfied</v>
      </c>
      <c r="P576" t="str">
        <f t="shared" si="68"/>
        <v>Resolved</v>
      </c>
      <c r="Q576" s="2" t="str">
        <f t="shared" si="69"/>
        <v>Jan-2026</v>
      </c>
      <c r="R576" s="2">
        <f t="shared" si="70"/>
        <v>46023</v>
      </c>
    </row>
    <row r="577" spans="1:18">
      <c r="A577" t="s">
        <v>1182</v>
      </c>
      <c r="B577" s="2" t="s">
        <v>1183</v>
      </c>
      <c r="C577">
        <v>1330</v>
      </c>
      <c r="D577" t="s">
        <v>18</v>
      </c>
      <c r="E577" t="s">
        <v>19</v>
      </c>
      <c r="F577" t="s">
        <v>14</v>
      </c>
      <c r="G577">
        <v>33</v>
      </c>
      <c r="H577">
        <v>731</v>
      </c>
      <c r="I577" t="s">
        <v>15</v>
      </c>
      <c r="J577">
        <v>3</v>
      </c>
      <c r="K577" s="1">
        <f t="shared" si="64"/>
        <v>46048</v>
      </c>
      <c r="L577" s="3">
        <f t="shared" si="65"/>
        <v>12.183333333333334</v>
      </c>
      <c r="M577" s="3">
        <f t="shared" si="66"/>
        <v>0.55000000000000004</v>
      </c>
      <c r="N577" t="str">
        <f t="shared" si="67"/>
        <v>Within SLA</v>
      </c>
      <c r="O577" t="str">
        <f t="shared" si="71"/>
        <v>Neutral</v>
      </c>
      <c r="P577" t="str">
        <f t="shared" si="68"/>
        <v>Resolved</v>
      </c>
      <c r="Q577" s="2" t="str">
        <f t="shared" si="69"/>
        <v>Jan-2026</v>
      </c>
      <c r="R577" s="2">
        <f t="shared" si="70"/>
        <v>46023</v>
      </c>
    </row>
    <row r="578" spans="1:18">
      <c r="A578" t="s">
        <v>1184</v>
      </c>
      <c r="B578" s="2" t="s">
        <v>1185</v>
      </c>
      <c r="C578">
        <v>1423</v>
      </c>
      <c r="D578" t="s">
        <v>18</v>
      </c>
      <c r="E578" t="s">
        <v>13</v>
      </c>
      <c r="F578" t="s">
        <v>14</v>
      </c>
      <c r="G578">
        <v>10</v>
      </c>
      <c r="H578">
        <v>166</v>
      </c>
      <c r="I578" t="s">
        <v>15</v>
      </c>
      <c r="J578">
        <v>1</v>
      </c>
      <c r="K578" s="1">
        <f t="shared" si="64"/>
        <v>46049</v>
      </c>
      <c r="L578" s="3">
        <f t="shared" si="65"/>
        <v>2.7666666666666666</v>
      </c>
      <c r="M578" s="3">
        <f t="shared" si="66"/>
        <v>0.16666666666666666</v>
      </c>
      <c r="N578" t="str">
        <f t="shared" si="67"/>
        <v>Within SLA</v>
      </c>
      <c r="O578" t="str">
        <f t="shared" si="71"/>
        <v>Dissatisfied</v>
      </c>
      <c r="P578" t="str">
        <f t="shared" si="68"/>
        <v>Resolved</v>
      </c>
      <c r="Q578" s="2" t="str">
        <f t="shared" si="69"/>
        <v>Jan-2026</v>
      </c>
      <c r="R578" s="2">
        <f t="shared" si="70"/>
        <v>46023</v>
      </c>
    </row>
    <row r="579" spans="1:18">
      <c r="A579" t="s">
        <v>1186</v>
      </c>
      <c r="B579" s="2" t="s">
        <v>1187</v>
      </c>
      <c r="C579">
        <v>1424</v>
      </c>
      <c r="D579" t="s">
        <v>12</v>
      </c>
      <c r="E579" t="s">
        <v>33</v>
      </c>
      <c r="F579" t="s">
        <v>43</v>
      </c>
      <c r="G579">
        <v>243</v>
      </c>
      <c r="H579">
        <v>5667</v>
      </c>
      <c r="I579" t="s">
        <v>20</v>
      </c>
      <c r="K579" s="1">
        <f t="shared" ref="K579:K642" si="72">IF(B579="","",DATEVALUE(LEFT(B579,10)))</f>
        <v>46049</v>
      </c>
      <c r="L579" s="3">
        <f t="shared" ref="L579:L642" si="73">IF(H579="","",H579/60)</f>
        <v>94.45</v>
      </c>
      <c r="M579" s="3">
        <f t="shared" ref="M579:M642" si="74">IF(G579="","",G579/60)</f>
        <v>4.05</v>
      </c>
      <c r="N579" t="str">
        <f t="shared" ref="N579:N642" si="75">IF(L579="","Open",IF(L579&lt;=IF(E579="Urgent",8,IF(E579="High",24,IF(E579="Normal",48,72))),"Within SLA","Breached"))</f>
        <v>Breached</v>
      </c>
      <c r="O579" t="str">
        <f t="shared" si="71"/>
        <v>No Rating</v>
      </c>
      <c r="P579" t="str">
        <f t="shared" ref="P579:P642" si="76">IF(I579="Closed","Resolved",IF(I579="Resolved","Resolved","Unresolved"))</f>
        <v>Resolved</v>
      </c>
      <c r="Q579" s="2" t="str">
        <f t="shared" ref="Q579:Q642" si="77">IF(K579="","",TEXT(K579,"mmm-yyyy"))</f>
        <v>Jan-2026</v>
      </c>
      <c r="R579" s="2">
        <f t="shared" ref="R579:R642" si="78">IF(K579="","",DATE(YEAR(K579),MONTH(K579),1))</f>
        <v>46023</v>
      </c>
    </row>
    <row r="580" spans="1:18">
      <c r="A580" t="s">
        <v>1188</v>
      </c>
      <c r="B580" s="2" t="s">
        <v>1189</v>
      </c>
      <c r="C580">
        <v>1710</v>
      </c>
      <c r="D580" t="s">
        <v>18</v>
      </c>
      <c r="E580" t="s">
        <v>27</v>
      </c>
      <c r="F580" t="s">
        <v>28</v>
      </c>
      <c r="G580">
        <v>146</v>
      </c>
      <c r="H580">
        <v>2682</v>
      </c>
      <c r="I580" t="s">
        <v>15</v>
      </c>
      <c r="K580" s="1">
        <f t="shared" si="72"/>
        <v>46049</v>
      </c>
      <c r="L580" s="3">
        <f t="shared" si="73"/>
        <v>44.7</v>
      </c>
      <c r="M580" s="3">
        <f t="shared" si="74"/>
        <v>2.4333333333333331</v>
      </c>
      <c r="N580" t="str">
        <f t="shared" si="75"/>
        <v>Within SLA</v>
      </c>
      <c r="O580" t="str">
        <f t="shared" ref="O580:O643" si="79">IF(J580="","No Rating",IF(J580&gt;=4,"Satisfied",IF(J580=3,"Neutral","Dissatisfied")))</f>
        <v>No Rating</v>
      </c>
      <c r="P580" t="str">
        <f t="shared" si="76"/>
        <v>Resolved</v>
      </c>
      <c r="Q580" s="2" t="str">
        <f t="shared" si="77"/>
        <v>Jan-2026</v>
      </c>
      <c r="R580" s="2">
        <f t="shared" si="78"/>
        <v>46023</v>
      </c>
    </row>
    <row r="581" spans="1:18">
      <c r="A581" t="s">
        <v>1190</v>
      </c>
      <c r="B581" s="2" t="s">
        <v>1191</v>
      </c>
      <c r="C581">
        <v>1659</v>
      </c>
      <c r="D581" t="s">
        <v>26</v>
      </c>
      <c r="E581" t="s">
        <v>27</v>
      </c>
      <c r="F581" t="s">
        <v>54</v>
      </c>
      <c r="G581">
        <v>121</v>
      </c>
      <c r="H581">
        <v>3263</v>
      </c>
      <c r="I581" t="s">
        <v>15</v>
      </c>
      <c r="J581">
        <v>1</v>
      </c>
      <c r="K581" s="1">
        <f t="shared" si="72"/>
        <v>46050</v>
      </c>
      <c r="L581" s="3">
        <f t="shared" si="73"/>
        <v>54.383333333333333</v>
      </c>
      <c r="M581" s="3">
        <f t="shared" si="74"/>
        <v>2.0166666666666666</v>
      </c>
      <c r="N581" t="str">
        <f t="shared" si="75"/>
        <v>Breached</v>
      </c>
      <c r="O581" t="str">
        <f t="shared" si="79"/>
        <v>Dissatisfied</v>
      </c>
      <c r="P581" t="str">
        <f t="shared" si="76"/>
        <v>Resolved</v>
      </c>
      <c r="Q581" s="2" t="str">
        <f t="shared" si="77"/>
        <v>Jan-2026</v>
      </c>
      <c r="R581" s="2">
        <f t="shared" si="78"/>
        <v>46023</v>
      </c>
    </row>
    <row r="582" spans="1:18">
      <c r="A582" t="s">
        <v>1192</v>
      </c>
      <c r="B582" s="2" t="s">
        <v>1193</v>
      </c>
      <c r="C582">
        <v>1563</v>
      </c>
      <c r="D582" t="s">
        <v>32</v>
      </c>
      <c r="E582" t="s">
        <v>13</v>
      </c>
      <c r="F582" t="s">
        <v>54</v>
      </c>
      <c r="G582">
        <v>8</v>
      </c>
      <c r="H582">
        <v>172</v>
      </c>
      <c r="I582" t="s">
        <v>15</v>
      </c>
      <c r="K582" s="1">
        <f t="shared" si="72"/>
        <v>46050</v>
      </c>
      <c r="L582" s="3">
        <f t="shared" si="73"/>
        <v>2.8666666666666667</v>
      </c>
      <c r="M582" s="3">
        <f t="shared" si="74"/>
        <v>0.13333333333333333</v>
      </c>
      <c r="N582" t="str">
        <f t="shared" si="75"/>
        <v>Within SLA</v>
      </c>
      <c r="O582" t="str">
        <f t="shared" si="79"/>
        <v>No Rating</v>
      </c>
      <c r="P582" t="str">
        <f t="shared" si="76"/>
        <v>Resolved</v>
      </c>
      <c r="Q582" s="2" t="str">
        <f t="shared" si="77"/>
        <v>Jan-2026</v>
      </c>
      <c r="R582" s="2">
        <f t="shared" si="78"/>
        <v>46023</v>
      </c>
    </row>
    <row r="583" spans="1:18">
      <c r="A583" t="s">
        <v>1194</v>
      </c>
      <c r="B583" s="2" t="s">
        <v>1195</v>
      </c>
      <c r="C583">
        <v>1875</v>
      </c>
      <c r="D583" t="s">
        <v>47</v>
      </c>
      <c r="E583" t="s">
        <v>13</v>
      </c>
      <c r="F583" t="s">
        <v>54</v>
      </c>
      <c r="G583">
        <v>3</v>
      </c>
      <c r="H583">
        <v>121</v>
      </c>
      <c r="I583" t="s">
        <v>20</v>
      </c>
      <c r="J583">
        <v>4</v>
      </c>
      <c r="K583" s="1">
        <f t="shared" si="72"/>
        <v>46051</v>
      </c>
      <c r="L583" s="3">
        <f t="shared" si="73"/>
        <v>2.0166666666666666</v>
      </c>
      <c r="M583" s="3">
        <f t="shared" si="74"/>
        <v>0.05</v>
      </c>
      <c r="N583" t="str">
        <f t="shared" si="75"/>
        <v>Within SLA</v>
      </c>
      <c r="O583" t="str">
        <f t="shared" si="79"/>
        <v>Satisfied</v>
      </c>
      <c r="P583" t="str">
        <f t="shared" si="76"/>
        <v>Resolved</v>
      </c>
      <c r="Q583" s="2" t="str">
        <f t="shared" si="77"/>
        <v>Jan-2026</v>
      </c>
      <c r="R583" s="2">
        <f t="shared" si="78"/>
        <v>46023</v>
      </c>
    </row>
    <row r="584" spans="1:18">
      <c r="A584" t="s">
        <v>1196</v>
      </c>
      <c r="B584" s="2" t="s">
        <v>1197</v>
      </c>
      <c r="C584">
        <v>1271</v>
      </c>
      <c r="D584" t="s">
        <v>12</v>
      </c>
      <c r="E584" t="s">
        <v>13</v>
      </c>
      <c r="F584" t="s">
        <v>34</v>
      </c>
      <c r="G584">
        <v>3</v>
      </c>
      <c r="H584">
        <v>318</v>
      </c>
      <c r="I584" t="s">
        <v>20</v>
      </c>
      <c r="J584">
        <v>4</v>
      </c>
      <c r="K584" s="1">
        <f t="shared" si="72"/>
        <v>46051</v>
      </c>
      <c r="L584" s="3">
        <f t="shared" si="73"/>
        <v>5.3</v>
      </c>
      <c r="M584" s="3">
        <f t="shared" si="74"/>
        <v>0.05</v>
      </c>
      <c r="N584" t="str">
        <f t="shared" si="75"/>
        <v>Within SLA</v>
      </c>
      <c r="O584" t="str">
        <f t="shared" si="79"/>
        <v>Satisfied</v>
      </c>
      <c r="P584" t="str">
        <f t="shared" si="76"/>
        <v>Resolved</v>
      </c>
      <c r="Q584" s="2" t="str">
        <f t="shared" si="77"/>
        <v>Jan-2026</v>
      </c>
      <c r="R584" s="2">
        <f t="shared" si="78"/>
        <v>46023</v>
      </c>
    </row>
    <row r="585" spans="1:18">
      <c r="A585" t="s">
        <v>1198</v>
      </c>
      <c r="B585" s="2" t="s">
        <v>1199</v>
      </c>
      <c r="C585">
        <v>1714</v>
      </c>
      <c r="D585" t="s">
        <v>12</v>
      </c>
      <c r="E585" t="s">
        <v>27</v>
      </c>
      <c r="F585" t="s">
        <v>28</v>
      </c>
      <c r="G585">
        <v>154</v>
      </c>
      <c r="H585">
        <v>2234</v>
      </c>
      <c r="I585" t="s">
        <v>15</v>
      </c>
      <c r="J585">
        <v>2</v>
      </c>
      <c r="K585" s="1">
        <f t="shared" si="72"/>
        <v>46051</v>
      </c>
      <c r="L585" s="3">
        <f t="shared" si="73"/>
        <v>37.233333333333334</v>
      </c>
      <c r="M585" s="3">
        <f t="shared" si="74"/>
        <v>2.5666666666666669</v>
      </c>
      <c r="N585" t="str">
        <f t="shared" si="75"/>
        <v>Within SLA</v>
      </c>
      <c r="O585" t="str">
        <f t="shared" si="79"/>
        <v>Dissatisfied</v>
      </c>
      <c r="P585" t="str">
        <f t="shared" si="76"/>
        <v>Resolved</v>
      </c>
      <c r="Q585" s="2" t="str">
        <f t="shared" si="77"/>
        <v>Jan-2026</v>
      </c>
      <c r="R585" s="2">
        <f t="shared" si="78"/>
        <v>46023</v>
      </c>
    </row>
    <row r="586" spans="1:18">
      <c r="A586" t="s">
        <v>1200</v>
      </c>
      <c r="B586" s="2" t="s">
        <v>1201</v>
      </c>
      <c r="C586">
        <v>1189</v>
      </c>
      <c r="D586" t="s">
        <v>32</v>
      </c>
      <c r="E586" t="s">
        <v>27</v>
      </c>
      <c r="F586" t="s">
        <v>71</v>
      </c>
      <c r="G586">
        <v>125</v>
      </c>
      <c r="H586">
        <v>3500</v>
      </c>
      <c r="I586" t="s">
        <v>15</v>
      </c>
      <c r="K586" s="1">
        <f t="shared" si="72"/>
        <v>46052</v>
      </c>
      <c r="L586" s="3">
        <f t="shared" si="73"/>
        <v>58.333333333333336</v>
      </c>
      <c r="M586" s="3">
        <f t="shared" si="74"/>
        <v>2.0833333333333335</v>
      </c>
      <c r="N586" t="str">
        <f t="shared" si="75"/>
        <v>Breached</v>
      </c>
      <c r="O586" t="str">
        <f t="shared" si="79"/>
        <v>No Rating</v>
      </c>
      <c r="P586" t="str">
        <f t="shared" si="76"/>
        <v>Resolved</v>
      </c>
      <c r="Q586" s="2" t="str">
        <f t="shared" si="77"/>
        <v>Jan-2026</v>
      </c>
      <c r="R586" s="2">
        <f t="shared" si="78"/>
        <v>46023</v>
      </c>
    </row>
    <row r="587" spans="1:18">
      <c r="A587" t="s">
        <v>1202</v>
      </c>
      <c r="B587" s="2" t="s">
        <v>1203</v>
      </c>
      <c r="C587">
        <v>1297</v>
      </c>
      <c r="D587" t="s">
        <v>12</v>
      </c>
      <c r="E587" t="s">
        <v>33</v>
      </c>
      <c r="F587" t="s">
        <v>43</v>
      </c>
      <c r="G587">
        <v>322</v>
      </c>
      <c r="H587">
        <v>7765</v>
      </c>
      <c r="I587" t="s">
        <v>15</v>
      </c>
      <c r="J587">
        <v>1</v>
      </c>
      <c r="K587" s="1">
        <f t="shared" si="72"/>
        <v>46052</v>
      </c>
      <c r="L587" s="3">
        <f t="shared" si="73"/>
        <v>129.41666666666666</v>
      </c>
      <c r="M587" s="3">
        <f t="shared" si="74"/>
        <v>5.3666666666666663</v>
      </c>
      <c r="N587" t="str">
        <f t="shared" si="75"/>
        <v>Breached</v>
      </c>
      <c r="O587" t="str">
        <f t="shared" si="79"/>
        <v>Dissatisfied</v>
      </c>
      <c r="P587" t="str">
        <f t="shared" si="76"/>
        <v>Resolved</v>
      </c>
      <c r="Q587" s="2" t="str">
        <f t="shared" si="77"/>
        <v>Jan-2026</v>
      </c>
      <c r="R587" s="2">
        <f t="shared" si="78"/>
        <v>46023</v>
      </c>
    </row>
    <row r="588" spans="1:18">
      <c r="A588" t="s">
        <v>1204</v>
      </c>
      <c r="B588" s="2" t="s">
        <v>1205</v>
      </c>
      <c r="C588">
        <v>1007</v>
      </c>
      <c r="D588" t="s">
        <v>32</v>
      </c>
      <c r="E588" t="s">
        <v>33</v>
      </c>
      <c r="F588" t="s">
        <v>64</v>
      </c>
      <c r="G588">
        <v>401</v>
      </c>
      <c r="I588" t="s">
        <v>29</v>
      </c>
      <c r="K588" s="1">
        <f t="shared" si="72"/>
        <v>46052</v>
      </c>
      <c r="L588" s="3" t="str">
        <f t="shared" si="73"/>
        <v/>
      </c>
      <c r="M588" s="3">
        <f t="shared" si="74"/>
        <v>6.6833333333333336</v>
      </c>
      <c r="N588" t="str">
        <f t="shared" si="75"/>
        <v>Open</v>
      </c>
      <c r="O588" t="str">
        <f t="shared" si="79"/>
        <v>No Rating</v>
      </c>
      <c r="P588" t="str">
        <f t="shared" si="76"/>
        <v>Unresolved</v>
      </c>
      <c r="Q588" s="2" t="str">
        <f t="shared" si="77"/>
        <v>Jan-2026</v>
      </c>
      <c r="R588" s="2">
        <f t="shared" si="78"/>
        <v>46023</v>
      </c>
    </row>
    <row r="589" spans="1:18">
      <c r="A589" t="s">
        <v>1206</v>
      </c>
      <c r="B589" s="2" t="s">
        <v>1207</v>
      </c>
      <c r="C589">
        <v>1710</v>
      </c>
      <c r="D589" t="s">
        <v>18</v>
      </c>
      <c r="E589" t="s">
        <v>19</v>
      </c>
      <c r="F589" t="s">
        <v>54</v>
      </c>
      <c r="G589">
        <v>30</v>
      </c>
      <c r="H589">
        <v>364</v>
      </c>
      <c r="I589" t="s">
        <v>20</v>
      </c>
      <c r="K589" s="1">
        <f t="shared" si="72"/>
        <v>46053</v>
      </c>
      <c r="L589" s="3">
        <f t="shared" si="73"/>
        <v>6.0666666666666664</v>
      </c>
      <c r="M589" s="3">
        <f t="shared" si="74"/>
        <v>0.5</v>
      </c>
      <c r="N589" t="str">
        <f t="shared" si="75"/>
        <v>Within SLA</v>
      </c>
      <c r="O589" t="str">
        <f t="shared" si="79"/>
        <v>No Rating</v>
      </c>
      <c r="P589" t="str">
        <f t="shared" si="76"/>
        <v>Resolved</v>
      </c>
      <c r="Q589" s="2" t="str">
        <f t="shared" si="77"/>
        <v>Jan-2026</v>
      </c>
      <c r="R589" s="2">
        <f t="shared" si="78"/>
        <v>46023</v>
      </c>
    </row>
    <row r="590" spans="1:18">
      <c r="A590" t="s">
        <v>1208</v>
      </c>
      <c r="B590" s="2" t="s">
        <v>1209</v>
      </c>
      <c r="C590">
        <v>1525</v>
      </c>
      <c r="D590" t="s">
        <v>32</v>
      </c>
      <c r="E590" t="s">
        <v>33</v>
      </c>
      <c r="F590" t="s">
        <v>28</v>
      </c>
      <c r="G590">
        <v>187</v>
      </c>
      <c r="H590">
        <v>7184</v>
      </c>
      <c r="I590" t="s">
        <v>15</v>
      </c>
      <c r="K590" s="1">
        <f t="shared" si="72"/>
        <v>46053</v>
      </c>
      <c r="L590" s="3">
        <f t="shared" si="73"/>
        <v>119.73333333333333</v>
      </c>
      <c r="M590" s="3">
        <f t="shared" si="74"/>
        <v>3.1166666666666667</v>
      </c>
      <c r="N590" t="str">
        <f t="shared" si="75"/>
        <v>Breached</v>
      </c>
      <c r="O590" t="str">
        <f t="shared" si="79"/>
        <v>No Rating</v>
      </c>
      <c r="P590" t="str">
        <f t="shared" si="76"/>
        <v>Resolved</v>
      </c>
      <c r="Q590" s="2" t="str">
        <f t="shared" si="77"/>
        <v>Jan-2026</v>
      </c>
      <c r="R590" s="2">
        <f t="shared" si="78"/>
        <v>46023</v>
      </c>
    </row>
    <row r="591" spans="1:18">
      <c r="A591" t="s">
        <v>1210</v>
      </c>
      <c r="B591" s="2" t="s">
        <v>1211</v>
      </c>
      <c r="C591">
        <v>1870</v>
      </c>
      <c r="D591" t="s">
        <v>12</v>
      </c>
      <c r="E591" t="s">
        <v>33</v>
      </c>
      <c r="F591" t="s">
        <v>28</v>
      </c>
      <c r="G591">
        <v>242</v>
      </c>
      <c r="H591">
        <v>1799</v>
      </c>
      <c r="I591" t="s">
        <v>20</v>
      </c>
      <c r="J591">
        <v>3</v>
      </c>
      <c r="K591" s="1">
        <f t="shared" si="72"/>
        <v>46053</v>
      </c>
      <c r="L591" s="3">
        <f t="shared" si="73"/>
        <v>29.983333333333334</v>
      </c>
      <c r="M591" s="3">
        <f t="shared" si="74"/>
        <v>4.0333333333333332</v>
      </c>
      <c r="N591" t="str">
        <f t="shared" si="75"/>
        <v>Within SLA</v>
      </c>
      <c r="O591" t="str">
        <f t="shared" si="79"/>
        <v>Neutral</v>
      </c>
      <c r="P591" t="str">
        <f t="shared" si="76"/>
        <v>Resolved</v>
      </c>
      <c r="Q591" s="2" t="str">
        <f t="shared" si="77"/>
        <v>Jan-2026</v>
      </c>
      <c r="R591" s="2">
        <f t="shared" si="78"/>
        <v>46023</v>
      </c>
    </row>
    <row r="592" spans="1:18">
      <c r="A592" t="s">
        <v>1212</v>
      </c>
      <c r="B592" s="2" t="s">
        <v>1213</v>
      </c>
      <c r="C592">
        <v>1722</v>
      </c>
      <c r="D592" t="s">
        <v>32</v>
      </c>
      <c r="E592" t="s">
        <v>27</v>
      </c>
      <c r="F592" t="s">
        <v>34</v>
      </c>
      <c r="G592">
        <v>60</v>
      </c>
      <c r="H592">
        <v>1443</v>
      </c>
      <c r="I592" t="s">
        <v>20</v>
      </c>
      <c r="J592">
        <v>2</v>
      </c>
      <c r="K592" s="1">
        <f t="shared" si="72"/>
        <v>46054</v>
      </c>
      <c r="L592" s="3">
        <f t="shared" si="73"/>
        <v>24.05</v>
      </c>
      <c r="M592" s="3">
        <f t="shared" si="74"/>
        <v>1</v>
      </c>
      <c r="N592" t="str">
        <f t="shared" si="75"/>
        <v>Within SLA</v>
      </c>
      <c r="O592" t="str">
        <f t="shared" si="79"/>
        <v>Dissatisfied</v>
      </c>
      <c r="P592" t="str">
        <f t="shared" si="76"/>
        <v>Resolved</v>
      </c>
      <c r="Q592" s="2" t="str">
        <f t="shared" si="77"/>
        <v>Feb-2026</v>
      </c>
      <c r="R592" s="2">
        <f t="shared" si="78"/>
        <v>46054</v>
      </c>
    </row>
    <row r="593" spans="1:18">
      <c r="A593" t="s">
        <v>1214</v>
      </c>
      <c r="B593" s="2" t="s">
        <v>1215</v>
      </c>
      <c r="C593">
        <v>1505</v>
      </c>
      <c r="D593" t="s">
        <v>47</v>
      </c>
      <c r="E593" t="s">
        <v>33</v>
      </c>
      <c r="F593" t="s">
        <v>34</v>
      </c>
      <c r="G593">
        <v>215</v>
      </c>
      <c r="H593">
        <v>1807</v>
      </c>
      <c r="I593" t="s">
        <v>15</v>
      </c>
      <c r="K593" s="1">
        <f t="shared" si="72"/>
        <v>46054</v>
      </c>
      <c r="L593" s="3">
        <f t="shared" si="73"/>
        <v>30.116666666666667</v>
      </c>
      <c r="M593" s="3">
        <f t="shared" si="74"/>
        <v>3.5833333333333335</v>
      </c>
      <c r="N593" t="str">
        <f t="shared" si="75"/>
        <v>Within SLA</v>
      </c>
      <c r="O593" t="str">
        <f t="shared" si="79"/>
        <v>No Rating</v>
      </c>
      <c r="P593" t="str">
        <f t="shared" si="76"/>
        <v>Resolved</v>
      </c>
      <c r="Q593" s="2" t="str">
        <f t="shared" si="77"/>
        <v>Feb-2026</v>
      </c>
      <c r="R593" s="2">
        <f t="shared" si="78"/>
        <v>46054</v>
      </c>
    </row>
    <row r="594" spans="1:18">
      <c r="A594" t="s">
        <v>1216</v>
      </c>
      <c r="B594" s="2" t="s">
        <v>1217</v>
      </c>
      <c r="C594">
        <v>1237</v>
      </c>
      <c r="D594" t="s">
        <v>47</v>
      </c>
      <c r="E594" t="s">
        <v>27</v>
      </c>
      <c r="F594" t="s">
        <v>54</v>
      </c>
      <c r="G594">
        <v>126</v>
      </c>
      <c r="H594">
        <v>3113</v>
      </c>
      <c r="I594" t="s">
        <v>15</v>
      </c>
      <c r="J594">
        <v>2</v>
      </c>
      <c r="K594" s="1">
        <f t="shared" si="72"/>
        <v>46055</v>
      </c>
      <c r="L594" s="3">
        <f t="shared" si="73"/>
        <v>51.883333333333333</v>
      </c>
      <c r="M594" s="3">
        <f t="shared" si="74"/>
        <v>2.1</v>
      </c>
      <c r="N594" t="str">
        <f t="shared" si="75"/>
        <v>Breached</v>
      </c>
      <c r="O594" t="str">
        <f t="shared" si="79"/>
        <v>Dissatisfied</v>
      </c>
      <c r="P594" t="str">
        <f t="shared" si="76"/>
        <v>Resolved</v>
      </c>
      <c r="Q594" s="2" t="str">
        <f t="shared" si="77"/>
        <v>Feb-2026</v>
      </c>
      <c r="R594" s="2">
        <f t="shared" si="78"/>
        <v>46054</v>
      </c>
    </row>
    <row r="595" spans="1:18">
      <c r="A595" t="s">
        <v>1218</v>
      </c>
      <c r="B595" s="2" t="s">
        <v>1219</v>
      </c>
      <c r="C595">
        <v>1131</v>
      </c>
      <c r="D595" t="s">
        <v>32</v>
      </c>
      <c r="E595" t="s">
        <v>13</v>
      </c>
      <c r="F595" t="s">
        <v>34</v>
      </c>
      <c r="G595">
        <v>7</v>
      </c>
      <c r="I595" t="s">
        <v>29</v>
      </c>
      <c r="K595" s="1">
        <f t="shared" si="72"/>
        <v>46055</v>
      </c>
      <c r="L595" s="3" t="str">
        <f t="shared" si="73"/>
        <v/>
      </c>
      <c r="M595" s="3">
        <f t="shared" si="74"/>
        <v>0.11666666666666667</v>
      </c>
      <c r="N595" t="str">
        <f t="shared" si="75"/>
        <v>Open</v>
      </c>
      <c r="O595" t="str">
        <f t="shared" si="79"/>
        <v>No Rating</v>
      </c>
      <c r="P595" t="str">
        <f t="shared" si="76"/>
        <v>Unresolved</v>
      </c>
      <c r="Q595" s="2" t="str">
        <f t="shared" si="77"/>
        <v>Feb-2026</v>
      </c>
      <c r="R595" s="2">
        <f t="shared" si="78"/>
        <v>46054</v>
      </c>
    </row>
    <row r="596" spans="1:18">
      <c r="A596" t="s">
        <v>1220</v>
      </c>
      <c r="B596" s="2" t="s">
        <v>1221</v>
      </c>
      <c r="C596">
        <v>1093</v>
      </c>
      <c r="D596" t="s">
        <v>18</v>
      </c>
      <c r="E596" t="s">
        <v>33</v>
      </c>
      <c r="F596" t="s">
        <v>23</v>
      </c>
      <c r="G596">
        <v>364</v>
      </c>
      <c r="I596" t="s">
        <v>44</v>
      </c>
      <c r="K596" s="1">
        <f t="shared" si="72"/>
        <v>46055</v>
      </c>
      <c r="L596" s="3" t="str">
        <f t="shared" si="73"/>
        <v/>
      </c>
      <c r="M596" s="3">
        <f t="shared" si="74"/>
        <v>6.0666666666666664</v>
      </c>
      <c r="N596" t="str">
        <f t="shared" si="75"/>
        <v>Open</v>
      </c>
      <c r="O596" t="str">
        <f t="shared" si="79"/>
        <v>No Rating</v>
      </c>
      <c r="P596" t="str">
        <f t="shared" si="76"/>
        <v>Unresolved</v>
      </c>
      <c r="Q596" s="2" t="str">
        <f t="shared" si="77"/>
        <v>Feb-2026</v>
      </c>
      <c r="R596" s="2">
        <f t="shared" si="78"/>
        <v>46054</v>
      </c>
    </row>
    <row r="597" spans="1:18">
      <c r="A597" t="s">
        <v>1222</v>
      </c>
      <c r="B597" s="2" t="s">
        <v>1223</v>
      </c>
      <c r="C597">
        <v>1730</v>
      </c>
      <c r="D597" t="s">
        <v>12</v>
      </c>
      <c r="E597" t="s">
        <v>33</v>
      </c>
      <c r="F597" t="s">
        <v>54</v>
      </c>
      <c r="G597">
        <v>147</v>
      </c>
      <c r="H597">
        <v>2861</v>
      </c>
      <c r="I597" t="s">
        <v>15</v>
      </c>
      <c r="J597">
        <v>3</v>
      </c>
      <c r="K597" s="1">
        <f t="shared" si="72"/>
        <v>46056</v>
      </c>
      <c r="L597" s="3">
        <f t="shared" si="73"/>
        <v>47.68333333333333</v>
      </c>
      <c r="M597" s="3">
        <f t="shared" si="74"/>
        <v>2.4500000000000002</v>
      </c>
      <c r="N597" t="str">
        <f t="shared" si="75"/>
        <v>Within SLA</v>
      </c>
      <c r="O597" t="str">
        <f t="shared" si="79"/>
        <v>Neutral</v>
      </c>
      <c r="P597" t="str">
        <f t="shared" si="76"/>
        <v>Resolved</v>
      </c>
      <c r="Q597" s="2" t="str">
        <f t="shared" si="77"/>
        <v>Feb-2026</v>
      </c>
      <c r="R597" s="2">
        <f t="shared" si="78"/>
        <v>46054</v>
      </c>
    </row>
    <row r="598" spans="1:18">
      <c r="A598" t="s">
        <v>1224</v>
      </c>
      <c r="B598" s="2" t="s">
        <v>1225</v>
      </c>
      <c r="C598">
        <v>1073</v>
      </c>
      <c r="D598" t="s">
        <v>32</v>
      </c>
      <c r="E598" t="s">
        <v>33</v>
      </c>
      <c r="F598" t="s">
        <v>23</v>
      </c>
      <c r="G598">
        <v>141</v>
      </c>
      <c r="H598">
        <v>6928</v>
      </c>
      <c r="I598" t="s">
        <v>15</v>
      </c>
      <c r="J598">
        <v>5</v>
      </c>
      <c r="K598" s="1">
        <f t="shared" si="72"/>
        <v>46056</v>
      </c>
      <c r="L598" s="3">
        <f t="shared" si="73"/>
        <v>115.46666666666667</v>
      </c>
      <c r="M598" s="3">
        <f t="shared" si="74"/>
        <v>2.35</v>
      </c>
      <c r="N598" t="str">
        <f t="shared" si="75"/>
        <v>Breached</v>
      </c>
      <c r="O598" t="str">
        <f t="shared" si="79"/>
        <v>Satisfied</v>
      </c>
      <c r="P598" t="str">
        <f t="shared" si="76"/>
        <v>Resolved</v>
      </c>
      <c r="Q598" s="2" t="str">
        <f t="shared" si="77"/>
        <v>Feb-2026</v>
      </c>
      <c r="R598" s="2">
        <f t="shared" si="78"/>
        <v>46054</v>
      </c>
    </row>
    <row r="599" spans="1:18">
      <c r="A599" t="s">
        <v>1226</v>
      </c>
      <c r="B599" s="2" t="s">
        <v>1227</v>
      </c>
      <c r="C599">
        <v>1631</v>
      </c>
      <c r="D599" t="s">
        <v>26</v>
      </c>
      <c r="E599" t="s">
        <v>19</v>
      </c>
      <c r="F599" t="s">
        <v>23</v>
      </c>
      <c r="G599">
        <v>12</v>
      </c>
      <c r="I599" t="s">
        <v>29</v>
      </c>
      <c r="K599" s="1">
        <f t="shared" si="72"/>
        <v>46056</v>
      </c>
      <c r="L599" s="3" t="str">
        <f t="shared" si="73"/>
        <v/>
      </c>
      <c r="M599" s="3">
        <f t="shared" si="74"/>
        <v>0.2</v>
      </c>
      <c r="N599" t="str">
        <f t="shared" si="75"/>
        <v>Open</v>
      </c>
      <c r="O599" t="str">
        <f t="shared" si="79"/>
        <v>No Rating</v>
      </c>
      <c r="P599" t="str">
        <f t="shared" si="76"/>
        <v>Unresolved</v>
      </c>
      <c r="Q599" s="2" t="str">
        <f t="shared" si="77"/>
        <v>Feb-2026</v>
      </c>
      <c r="R599" s="2">
        <f t="shared" si="78"/>
        <v>46054</v>
      </c>
    </row>
    <row r="600" spans="1:18">
      <c r="A600" t="s">
        <v>1228</v>
      </c>
      <c r="B600" s="2" t="s">
        <v>1229</v>
      </c>
      <c r="C600">
        <v>1011</v>
      </c>
      <c r="D600" t="s">
        <v>18</v>
      </c>
      <c r="E600" t="s">
        <v>27</v>
      </c>
      <c r="F600" t="s">
        <v>14</v>
      </c>
      <c r="G600">
        <v>160</v>
      </c>
      <c r="I600" t="s">
        <v>29</v>
      </c>
      <c r="K600" s="1">
        <f t="shared" si="72"/>
        <v>46057</v>
      </c>
      <c r="L600" s="3" t="str">
        <f t="shared" si="73"/>
        <v/>
      </c>
      <c r="M600" s="3">
        <f t="shared" si="74"/>
        <v>2.6666666666666665</v>
      </c>
      <c r="N600" t="str">
        <f t="shared" si="75"/>
        <v>Open</v>
      </c>
      <c r="O600" t="str">
        <f t="shared" si="79"/>
        <v>No Rating</v>
      </c>
      <c r="P600" t="str">
        <f t="shared" si="76"/>
        <v>Unresolved</v>
      </c>
      <c r="Q600" s="2" t="str">
        <f t="shared" si="77"/>
        <v>Feb-2026</v>
      </c>
      <c r="R600" s="2">
        <f t="shared" si="78"/>
        <v>46054</v>
      </c>
    </row>
    <row r="601" spans="1:18">
      <c r="A601" t="s">
        <v>1230</v>
      </c>
      <c r="B601" s="2" t="s">
        <v>1231</v>
      </c>
      <c r="C601">
        <v>1066</v>
      </c>
      <c r="D601" t="s">
        <v>47</v>
      </c>
      <c r="E601" t="s">
        <v>13</v>
      </c>
      <c r="F601" t="s">
        <v>23</v>
      </c>
      <c r="G601">
        <v>6</v>
      </c>
      <c r="I601" t="s">
        <v>29</v>
      </c>
      <c r="K601" s="1">
        <f t="shared" si="72"/>
        <v>46057</v>
      </c>
      <c r="L601" s="3" t="str">
        <f t="shared" si="73"/>
        <v/>
      </c>
      <c r="M601" s="3">
        <f t="shared" si="74"/>
        <v>0.1</v>
      </c>
      <c r="N601" t="str">
        <f t="shared" si="75"/>
        <v>Open</v>
      </c>
      <c r="O601" t="str">
        <f t="shared" si="79"/>
        <v>No Rating</v>
      </c>
      <c r="P601" t="str">
        <f t="shared" si="76"/>
        <v>Unresolved</v>
      </c>
      <c r="Q601" s="2" t="str">
        <f t="shared" si="77"/>
        <v>Feb-2026</v>
      </c>
      <c r="R601" s="2">
        <f t="shared" si="78"/>
        <v>46054</v>
      </c>
    </row>
    <row r="602" spans="1:18">
      <c r="A602" t="s">
        <v>1232</v>
      </c>
      <c r="B602" s="2" t="s">
        <v>1233</v>
      </c>
      <c r="C602">
        <v>1649</v>
      </c>
      <c r="D602" t="s">
        <v>26</v>
      </c>
      <c r="E602" t="s">
        <v>19</v>
      </c>
      <c r="F602" t="s">
        <v>64</v>
      </c>
      <c r="G602">
        <v>19</v>
      </c>
      <c r="H602">
        <v>861</v>
      </c>
      <c r="I602" t="s">
        <v>15</v>
      </c>
      <c r="J602">
        <v>3</v>
      </c>
      <c r="K602" s="1">
        <f t="shared" si="72"/>
        <v>46058</v>
      </c>
      <c r="L602" s="3">
        <f t="shared" si="73"/>
        <v>14.35</v>
      </c>
      <c r="M602" s="3">
        <f t="shared" si="74"/>
        <v>0.31666666666666665</v>
      </c>
      <c r="N602" t="str">
        <f t="shared" si="75"/>
        <v>Within SLA</v>
      </c>
      <c r="O602" t="str">
        <f t="shared" si="79"/>
        <v>Neutral</v>
      </c>
      <c r="P602" t="str">
        <f t="shared" si="76"/>
        <v>Resolved</v>
      </c>
      <c r="Q602" s="2" t="str">
        <f t="shared" si="77"/>
        <v>Feb-2026</v>
      </c>
      <c r="R602" s="2">
        <f t="shared" si="78"/>
        <v>46054</v>
      </c>
    </row>
    <row r="603" spans="1:18">
      <c r="A603" t="s">
        <v>1234</v>
      </c>
      <c r="B603" s="2" t="s">
        <v>1235</v>
      </c>
      <c r="C603">
        <v>1193</v>
      </c>
      <c r="D603" t="s">
        <v>32</v>
      </c>
      <c r="E603" t="s">
        <v>33</v>
      </c>
      <c r="F603" t="s">
        <v>14</v>
      </c>
      <c r="G603">
        <v>139</v>
      </c>
      <c r="I603" t="s">
        <v>29</v>
      </c>
      <c r="K603" s="1">
        <f t="shared" si="72"/>
        <v>46058</v>
      </c>
      <c r="L603" s="3" t="str">
        <f t="shared" si="73"/>
        <v/>
      </c>
      <c r="M603" s="3">
        <f t="shared" si="74"/>
        <v>2.3166666666666669</v>
      </c>
      <c r="N603" t="str">
        <f t="shared" si="75"/>
        <v>Open</v>
      </c>
      <c r="O603" t="str">
        <f t="shared" si="79"/>
        <v>No Rating</v>
      </c>
      <c r="P603" t="str">
        <f t="shared" si="76"/>
        <v>Unresolved</v>
      </c>
      <c r="Q603" s="2" t="str">
        <f t="shared" si="77"/>
        <v>Feb-2026</v>
      </c>
      <c r="R603" s="2">
        <f t="shared" si="78"/>
        <v>46054</v>
      </c>
    </row>
    <row r="604" spans="1:18">
      <c r="A604" t="s">
        <v>1236</v>
      </c>
      <c r="B604" s="2" t="s">
        <v>1237</v>
      </c>
      <c r="C604">
        <v>1304</v>
      </c>
      <c r="D604" t="s">
        <v>47</v>
      </c>
      <c r="E604" t="s">
        <v>19</v>
      </c>
      <c r="F604" t="s">
        <v>64</v>
      </c>
      <c r="G604">
        <v>27</v>
      </c>
      <c r="H604">
        <v>996</v>
      </c>
      <c r="I604" t="s">
        <v>15</v>
      </c>
      <c r="K604" s="1">
        <f t="shared" si="72"/>
        <v>46058</v>
      </c>
      <c r="L604" s="3">
        <f t="shared" si="73"/>
        <v>16.600000000000001</v>
      </c>
      <c r="M604" s="3">
        <f t="shared" si="74"/>
        <v>0.45</v>
      </c>
      <c r="N604" t="str">
        <f t="shared" si="75"/>
        <v>Within SLA</v>
      </c>
      <c r="O604" t="str">
        <f t="shared" si="79"/>
        <v>No Rating</v>
      </c>
      <c r="P604" t="str">
        <f t="shared" si="76"/>
        <v>Resolved</v>
      </c>
      <c r="Q604" s="2" t="str">
        <f t="shared" si="77"/>
        <v>Feb-2026</v>
      </c>
      <c r="R604" s="2">
        <f t="shared" si="78"/>
        <v>46054</v>
      </c>
    </row>
    <row r="605" spans="1:18">
      <c r="A605" t="s">
        <v>1238</v>
      </c>
      <c r="B605" s="2" t="s">
        <v>1239</v>
      </c>
      <c r="C605">
        <v>1949</v>
      </c>
      <c r="D605" t="s">
        <v>18</v>
      </c>
      <c r="E605" t="s">
        <v>13</v>
      </c>
      <c r="F605" t="s">
        <v>59</v>
      </c>
      <c r="G605">
        <v>7</v>
      </c>
      <c r="H605">
        <v>97</v>
      </c>
      <c r="I605" t="s">
        <v>20</v>
      </c>
      <c r="J605">
        <v>3</v>
      </c>
      <c r="K605" s="1">
        <f t="shared" si="72"/>
        <v>46059</v>
      </c>
      <c r="L605" s="3">
        <f t="shared" si="73"/>
        <v>1.6166666666666667</v>
      </c>
      <c r="M605" s="3">
        <f t="shared" si="74"/>
        <v>0.11666666666666667</v>
      </c>
      <c r="N605" t="str">
        <f t="shared" si="75"/>
        <v>Within SLA</v>
      </c>
      <c r="O605" t="str">
        <f t="shared" si="79"/>
        <v>Neutral</v>
      </c>
      <c r="P605" t="str">
        <f t="shared" si="76"/>
        <v>Resolved</v>
      </c>
      <c r="Q605" s="2" t="str">
        <f t="shared" si="77"/>
        <v>Feb-2026</v>
      </c>
      <c r="R605" s="2">
        <f t="shared" si="78"/>
        <v>46054</v>
      </c>
    </row>
    <row r="606" spans="1:18">
      <c r="A606" t="s">
        <v>1240</v>
      </c>
      <c r="B606" s="2" t="s">
        <v>1241</v>
      </c>
      <c r="C606">
        <v>1073</v>
      </c>
      <c r="D606" t="s">
        <v>32</v>
      </c>
      <c r="E606" t="s">
        <v>13</v>
      </c>
      <c r="F606" t="s">
        <v>23</v>
      </c>
      <c r="G606">
        <v>10</v>
      </c>
      <c r="H606">
        <v>280</v>
      </c>
      <c r="I606" t="s">
        <v>15</v>
      </c>
      <c r="K606" s="1">
        <f t="shared" si="72"/>
        <v>46059</v>
      </c>
      <c r="L606" s="3">
        <f t="shared" si="73"/>
        <v>4.666666666666667</v>
      </c>
      <c r="M606" s="3">
        <f t="shared" si="74"/>
        <v>0.16666666666666666</v>
      </c>
      <c r="N606" t="str">
        <f t="shared" si="75"/>
        <v>Within SLA</v>
      </c>
      <c r="O606" t="str">
        <f t="shared" si="79"/>
        <v>No Rating</v>
      </c>
      <c r="P606" t="str">
        <f t="shared" si="76"/>
        <v>Resolved</v>
      </c>
      <c r="Q606" s="2" t="str">
        <f t="shared" si="77"/>
        <v>Feb-2026</v>
      </c>
      <c r="R606" s="2">
        <f t="shared" si="78"/>
        <v>46054</v>
      </c>
    </row>
    <row r="607" spans="1:18">
      <c r="A607" t="s">
        <v>1242</v>
      </c>
      <c r="B607" s="2" t="s">
        <v>1243</v>
      </c>
      <c r="C607">
        <v>1759</v>
      </c>
      <c r="D607" t="s">
        <v>12</v>
      </c>
      <c r="E607" t="s">
        <v>27</v>
      </c>
      <c r="F607" t="s">
        <v>54</v>
      </c>
      <c r="G607">
        <v>116</v>
      </c>
      <c r="H607">
        <v>3200</v>
      </c>
      <c r="I607" t="s">
        <v>15</v>
      </c>
      <c r="J607">
        <v>5</v>
      </c>
      <c r="K607" s="1">
        <f t="shared" si="72"/>
        <v>46059</v>
      </c>
      <c r="L607" s="3">
        <f t="shared" si="73"/>
        <v>53.333333333333336</v>
      </c>
      <c r="M607" s="3">
        <f t="shared" si="74"/>
        <v>1.9333333333333333</v>
      </c>
      <c r="N607" t="str">
        <f t="shared" si="75"/>
        <v>Breached</v>
      </c>
      <c r="O607" t="str">
        <f t="shared" si="79"/>
        <v>Satisfied</v>
      </c>
      <c r="P607" t="str">
        <f t="shared" si="76"/>
        <v>Resolved</v>
      </c>
      <c r="Q607" s="2" t="str">
        <f t="shared" si="77"/>
        <v>Feb-2026</v>
      </c>
      <c r="R607" s="2">
        <f t="shared" si="78"/>
        <v>46054</v>
      </c>
    </row>
    <row r="608" spans="1:18">
      <c r="A608" t="s">
        <v>1244</v>
      </c>
      <c r="B608" s="2" t="s">
        <v>1245</v>
      </c>
      <c r="C608">
        <v>1742</v>
      </c>
      <c r="D608" t="s">
        <v>26</v>
      </c>
      <c r="E608" t="s">
        <v>27</v>
      </c>
      <c r="F608" t="s">
        <v>34</v>
      </c>
      <c r="G608">
        <v>84</v>
      </c>
      <c r="I608" t="s">
        <v>44</v>
      </c>
      <c r="K608" s="1">
        <f t="shared" si="72"/>
        <v>46060</v>
      </c>
      <c r="L608" s="3" t="str">
        <f t="shared" si="73"/>
        <v/>
      </c>
      <c r="M608" s="3">
        <f t="shared" si="74"/>
        <v>1.4</v>
      </c>
      <c r="N608" t="str">
        <f t="shared" si="75"/>
        <v>Open</v>
      </c>
      <c r="O608" t="str">
        <f t="shared" si="79"/>
        <v>No Rating</v>
      </c>
      <c r="P608" t="str">
        <f t="shared" si="76"/>
        <v>Unresolved</v>
      </c>
      <c r="Q608" s="2" t="str">
        <f t="shared" si="77"/>
        <v>Feb-2026</v>
      </c>
      <c r="R608" s="2">
        <f t="shared" si="78"/>
        <v>46054</v>
      </c>
    </row>
    <row r="609" spans="1:18">
      <c r="A609" t="s">
        <v>1246</v>
      </c>
      <c r="B609" s="2" t="s">
        <v>1247</v>
      </c>
      <c r="C609">
        <v>1960</v>
      </c>
      <c r="D609" t="s">
        <v>32</v>
      </c>
      <c r="E609" t="s">
        <v>13</v>
      </c>
      <c r="F609" t="s">
        <v>28</v>
      </c>
      <c r="G609">
        <v>3</v>
      </c>
      <c r="H609">
        <v>229</v>
      </c>
      <c r="I609" t="s">
        <v>15</v>
      </c>
      <c r="J609">
        <v>3</v>
      </c>
      <c r="K609" s="1">
        <f t="shared" si="72"/>
        <v>46060</v>
      </c>
      <c r="L609" s="3">
        <f t="shared" si="73"/>
        <v>3.8166666666666669</v>
      </c>
      <c r="M609" s="3">
        <f t="shared" si="74"/>
        <v>0.05</v>
      </c>
      <c r="N609" t="str">
        <f t="shared" si="75"/>
        <v>Within SLA</v>
      </c>
      <c r="O609" t="str">
        <f t="shared" si="79"/>
        <v>Neutral</v>
      </c>
      <c r="P609" t="str">
        <f t="shared" si="76"/>
        <v>Resolved</v>
      </c>
      <c r="Q609" s="2" t="str">
        <f t="shared" si="77"/>
        <v>Feb-2026</v>
      </c>
      <c r="R609" s="2">
        <f t="shared" si="78"/>
        <v>46054</v>
      </c>
    </row>
    <row r="610" spans="1:18">
      <c r="A610" t="s">
        <v>1248</v>
      </c>
      <c r="B610" s="2" t="s">
        <v>1249</v>
      </c>
      <c r="C610">
        <v>1351</v>
      </c>
      <c r="D610" t="s">
        <v>26</v>
      </c>
      <c r="E610" t="s">
        <v>33</v>
      </c>
      <c r="F610" t="s">
        <v>54</v>
      </c>
      <c r="G610">
        <v>426</v>
      </c>
      <c r="I610" t="s">
        <v>29</v>
      </c>
      <c r="K610" s="1">
        <f t="shared" si="72"/>
        <v>46060</v>
      </c>
      <c r="L610" s="3" t="str">
        <f t="shared" si="73"/>
        <v/>
      </c>
      <c r="M610" s="3">
        <f t="shared" si="74"/>
        <v>7.1</v>
      </c>
      <c r="N610" t="str">
        <f t="shared" si="75"/>
        <v>Open</v>
      </c>
      <c r="O610" t="str">
        <f t="shared" si="79"/>
        <v>No Rating</v>
      </c>
      <c r="P610" t="str">
        <f t="shared" si="76"/>
        <v>Unresolved</v>
      </c>
      <c r="Q610" s="2" t="str">
        <f t="shared" si="77"/>
        <v>Feb-2026</v>
      </c>
      <c r="R610" s="2">
        <f t="shared" si="78"/>
        <v>46054</v>
      </c>
    </row>
    <row r="611" spans="1:18">
      <c r="A611" t="s">
        <v>1250</v>
      </c>
      <c r="B611" s="2" t="s">
        <v>1251</v>
      </c>
      <c r="C611">
        <v>1574</v>
      </c>
      <c r="D611" t="s">
        <v>26</v>
      </c>
      <c r="E611" t="s">
        <v>27</v>
      </c>
      <c r="F611" t="s">
        <v>59</v>
      </c>
      <c r="G611">
        <v>108</v>
      </c>
      <c r="H611">
        <v>1663</v>
      </c>
      <c r="I611" t="s">
        <v>15</v>
      </c>
      <c r="K611" s="1">
        <f t="shared" si="72"/>
        <v>46061</v>
      </c>
      <c r="L611" s="3">
        <f t="shared" si="73"/>
        <v>27.716666666666665</v>
      </c>
      <c r="M611" s="3">
        <f t="shared" si="74"/>
        <v>1.8</v>
      </c>
      <c r="N611" t="str">
        <f t="shared" si="75"/>
        <v>Within SLA</v>
      </c>
      <c r="O611" t="str">
        <f t="shared" si="79"/>
        <v>No Rating</v>
      </c>
      <c r="P611" t="str">
        <f t="shared" si="76"/>
        <v>Resolved</v>
      </c>
      <c r="Q611" s="2" t="str">
        <f t="shared" si="77"/>
        <v>Feb-2026</v>
      </c>
      <c r="R611" s="2">
        <f t="shared" si="78"/>
        <v>46054</v>
      </c>
    </row>
    <row r="612" spans="1:18">
      <c r="A612" t="s">
        <v>1252</v>
      </c>
      <c r="B612" s="2" t="s">
        <v>1253</v>
      </c>
      <c r="C612">
        <v>1889</v>
      </c>
      <c r="D612" t="s">
        <v>18</v>
      </c>
      <c r="E612" t="s">
        <v>13</v>
      </c>
      <c r="F612" t="s">
        <v>43</v>
      </c>
      <c r="G612">
        <v>2</v>
      </c>
      <c r="H612">
        <v>398</v>
      </c>
      <c r="I612" t="s">
        <v>15</v>
      </c>
      <c r="J612">
        <v>1</v>
      </c>
      <c r="K612" s="1">
        <f t="shared" si="72"/>
        <v>46061</v>
      </c>
      <c r="L612" s="3">
        <f t="shared" si="73"/>
        <v>6.6333333333333337</v>
      </c>
      <c r="M612" s="3">
        <f t="shared" si="74"/>
        <v>3.3333333333333333E-2</v>
      </c>
      <c r="N612" t="str">
        <f t="shared" si="75"/>
        <v>Within SLA</v>
      </c>
      <c r="O612" t="str">
        <f t="shared" si="79"/>
        <v>Dissatisfied</v>
      </c>
      <c r="P612" t="str">
        <f t="shared" si="76"/>
        <v>Resolved</v>
      </c>
      <c r="Q612" s="2" t="str">
        <f t="shared" si="77"/>
        <v>Feb-2026</v>
      </c>
      <c r="R612" s="2">
        <f t="shared" si="78"/>
        <v>46054</v>
      </c>
    </row>
    <row r="613" spans="1:18">
      <c r="A613" t="s">
        <v>1254</v>
      </c>
      <c r="B613" s="2" t="s">
        <v>1255</v>
      </c>
      <c r="C613">
        <v>1290</v>
      </c>
      <c r="D613" t="s">
        <v>18</v>
      </c>
      <c r="E613" t="s">
        <v>27</v>
      </c>
      <c r="F613" t="s">
        <v>14</v>
      </c>
      <c r="G613">
        <v>88</v>
      </c>
      <c r="H613">
        <v>2903</v>
      </c>
      <c r="I613" t="s">
        <v>20</v>
      </c>
      <c r="K613" s="1">
        <f t="shared" si="72"/>
        <v>46062</v>
      </c>
      <c r="L613" s="3">
        <f t="shared" si="73"/>
        <v>48.383333333333333</v>
      </c>
      <c r="M613" s="3">
        <f t="shared" si="74"/>
        <v>1.4666666666666666</v>
      </c>
      <c r="N613" t="str">
        <f t="shared" si="75"/>
        <v>Breached</v>
      </c>
      <c r="O613" t="str">
        <f t="shared" si="79"/>
        <v>No Rating</v>
      </c>
      <c r="P613" t="str">
        <f t="shared" si="76"/>
        <v>Resolved</v>
      </c>
      <c r="Q613" s="2" t="str">
        <f t="shared" si="77"/>
        <v>Feb-2026</v>
      </c>
      <c r="R613" s="2">
        <f t="shared" si="78"/>
        <v>46054</v>
      </c>
    </row>
    <row r="614" spans="1:18">
      <c r="A614" t="s">
        <v>1256</v>
      </c>
      <c r="B614" s="2" t="s">
        <v>1257</v>
      </c>
      <c r="C614">
        <v>1061</v>
      </c>
      <c r="D614" t="s">
        <v>18</v>
      </c>
      <c r="E614" t="s">
        <v>33</v>
      </c>
      <c r="F614" t="s">
        <v>43</v>
      </c>
      <c r="G614">
        <v>411</v>
      </c>
      <c r="H614">
        <v>1441</v>
      </c>
      <c r="I614" t="s">
        <v>15</v>
      </c>
      <c r="K614" s="1">
        <f t="shared" si="72"/>
        <v>46062</v>
      </c>
      <c r="L614" s="3">
        <f t="shared" si="73"/>
        <v>24.016666666666666</v>
      </c>
      <c r="M614" s="3">
        <f t="shared" si="74"/>
        <v>6.85</v>
      </c>
      <c r="N614" t="str">
        <f t="shared" si="75"/>
        <v>Within SLA</v>
      </c>
      <c r="O614" t="str">
        <f t="shared" si="79"/>
        <v>No Rating</v>
      </c>
      <c r="P614" t="str">
        <f t="shared" si="76"/>
        <v>Resolved</v>
      </c>
      <c r="Q614" s="2" t="str">
        <f t="shared" si="77"/>
        <v>Feb-2026</v>
      </c>
      <c r="R614" s="2">
        <f t="shared" si="78"/>
        <v>46054</v>
      </c>
    </row>
    <row r="615" spans="1:18">
      <c r="A615" t="s">
        <v>1258</v>
      </c>
      <c r="B615" s="2" t="s">
        <v>1259</v>
      </c>
      <c r="C615">
        <v>1133</v>
      </c>
      <c r="D615" t="s">
        <v>32</v>
      </c>
      <c r="E615" t="s">
        <v>27</v>
      </c>
      <c r="F615" t="s">
        <v>59</v>
      </c>
      <c r="G615">
        <v>162</v>
      </c>
      <c r="H615">
        <v>2967</v>
      </c>
      <c r="I615" t="s">
        <v>15</v>
      </c>
      <c r="K615" s="1">
        <f t="shared" si="72"/>
        <v>46062</v>
      </c>
      <c r="L615" s="3">
        <f t="shared" si="73"/>
        <v>49.45</v>
      </c>
      <c r="M615" s="3">
        <f t="shared" si="74"/>
        <v>2.7</v>
      </c>
      <c r="N615" t="str">
        <f t="shared" si="75"/>
        <v>Breached</v>
      </c>
      <c r="O615" t="str">
        <f t="shared" si="79"/>
        <v>No Rating</v>
      </c>
      <c r="P615" t="str">
        <f t="shared" si="76"/>
        <v>Resolved</v>
      </c>
      <c r="Q615" s="2" t="str">
        <f t="shared" si="77"/>
        <v>Feb-2026</v>
      </c>
      <c r="R615" s="2">
        <f t="shared" si="78"/>
        <v>46054</v>
      </c>
    </row>
    <row r="616" spans="1:18">
      <c r="A616" t="s">
        <v>1260</v>
      </c>
      <c r="B616" s="2" t="s">
        <v>1261</v>
      </c>
      <c r="C616">
        <v>1431</v>
      </c>
      <c r="D616" t="s">
        <v>12</v>
      </c>
      <c r="E616" t="s">
        <v>13</v>
      </c>
      <c r="F616" t="s">
        <v>43</v>
      </c>
      <c r="G616">
        <v>8</v>
      </c>
      <c r="H616">
        <v>149</v>
      </c>
      <c r="I616" t="s">
        <v>15</v>
      </c>
      <c r="J616">
        <v>4</v>
      </c>
      <c r="K616" s="1">
        <f t="shared" si="72"/>
        <v>46063</v>
      </c>
      <c r="L616" s="3">
        <f t="shared" si="73"/>
        <v>2.4833333333333334</v>
      </c>
      <c r="M616" s="3">
        <f t="shared" si="74"/>
        <v>0.13333333333333333</v>
      </c>
      <c r="N616" t="str">
        <f t="shared" si="75"/>
        <v>Within SLA</v>
      </c>
      <c r="O616" t="str">
        <f t="shared" si="79"/>
        <v>Satisfied</v>
      </c>
      <c r="P616" t="str">
        <f t="shared" si="76"/>
        <v>Resolved</v>
      </c>
      <c r="Q616" s="2" t="str">
        <f t="shared" si="77"/>
        <v>Feb-2026</v>
      </c>
      <c r="R616" s="2">
        <f t="shared" si="78"/>
        <v>46054</v>
      </c>
    </row>
    <row r="617" spans="1:18">
      <c r="A617" t="s">
        <v>1262</v>
      </c>
      <c r="B617" s="2" t="s">
        <v>1263</v>
      </c>
      <c r="C617">
        <v>1035</v>
      </c>
      <c r="D617" t="s">
        <v>32</v>
      </c>
      <c r="E617" t="s">
        <v>19</v>
      </c>
      <c r="F617" t="s">
        <v>28</v>
      </c>
      <c r="G617">
        <v>35</v>
      </c>
      <c r="H617">
        <v>311</v>
      </c>
      <c r="I617" t="s">
        <v>15</v>
      </c>
      <c r="K617" s="1">
        <f t="shared" si="72"/>
        <v>46063</v>
      </c>
      <c r="L617" s="3">
        <f t="shared" si="73"/>
        <v>5.1833333333333336</v>
      </c>
      <c r="M617" s="3">
        <f t="shared" si="74"/>
        <v>0.58333333333333337</v>
      </c>
      <c r="N617" t="str">
        <f t="shared" si="75"/>
        <v>Within SLA</v>
      </c>
      <c r="O617" t="str">
        <f t="shared" si="79"/>
        <v>No Rating</v>
      </c>
      <c r="P617" t="str">
        <f t="shared" si="76"/>
        <v>Resolved</v>
      </c>
      <c r="Q617" s="2" t="str">
        <f t="shared" si="77"/>
        <v>Feb-2026</v>
      </c>
      <c r="R617" s="2">
        <f t="shared" si="78"/>
        <v>46054</v>
      </c>
    </row>
    <row r="618" spans="1:18">
      <c r="A618" t="s">
        <v>1264</v>
      </c>
      <c r="B618" s="2" t="s">
        <v>1265</v>
      </c>
      <c r="C618">
        <v>1246</v>
      </c>
      <c r="D618" t="s">
        <v>32</v>
      </c>
      <c r="E618" t="s">
        <v>33</v>
      </c>
      <c r="F618" t="s">
        <v>59</v>
      </c>
      <c r="G618">
        <v>362</v>
      </c>
      <c r="H618">
        <v>2694</v>
      </c>
      <c r="I618" t="s">
        <v>15</v>
      </c>
      <c r="J618">
        <v>4</v>
      </c>
      <c r="K618" s="1">
        <f t="shared" si="72"/>
        <v>46063</v>
      </c>
      <c r="L618" s="3">
        <f t="shared" si="73"/>
        <v>44.9</v>
      </c>
      <c r="M618" s="3">
        <f t="shared" si="74"/>
        <v>6.0333333333333332</v>
      </c>
      <c r="N618" t="str">
        <f t="shared" si="75"/>
        <v>Within SLA</v>
      </c>
      <c r="O618" t="str">
        <f t="shared" si="79"/>
        <v>Satisfied</v>
      </c>
      <c r="P618" t="str">
        <f t="shared" si="76"/>
        <v>Resolved</v>
      </c>
      <c r="Q618" s="2" t="str">
        <f t="shared" si="77"/>
        <v>Feb-2026</v>
      </c>
      <c r="R618" s="2">
        <f t="shared" si="78"/>
        <v>46054</v>
      </c>
    </row>
    <row r="619" spans="1:18">
      <c r="A619" t="s">
        <v>1266</v>
      </c>
      <c r="B619" s="2" t="s">
        <v>1267</v>
      </c>
      <c r="C619">
        <v>1808</v>
      </c>
      <c r="D619" t="s">
        <v>12</v>
      </c>
      <c r="E619" t="s">
        <v>13</v>
      </c>
      <c r="F619" t="s">
        <v>43</v>
      </c>
      <c r="G619">
        <v>11</v>
      </c>
      <c r="H619">
        <v>332</v>
      </c>
      <c r="I619" t="s">
        <v>15</v>
      </c>
      <c r="K619" s="1">
        <f t="shared" si="72"/>
        <v>46064</v>
      </c>
      <c r="L619" s="3">
        <f t="shared" si="73"/>
        <v>5.5333333333333332</v>
      </c>
      <c r="M619" s="3">
        <f t="shared" si="74"/>
        <v>0.18333333333333332</v>
      </c>
      <c r="N619" t="str">
        <f t="shared" si="75"/>
        <v>Within SLA</v>
      </c>
      <c r="O619" t="str">
        <f t="shared" si="79"/>
        <v>No Rating</v>
      </c>
      <c r="P619" t="str">
        <f t="shared" si="76"/>
        <v>Resolved</v>
      </c>
      <c r="Q619" s="2" t="str">
        <f t="shared" si="77"/>
        <v>Feb-2026</v>
      </c>
      <c r="R619" s="2">
        <f t="shared" si="78"/>
        <v>46054</v>
      </c>
    </row>
    <row r="620" spans="1:18">
      <c r="A620" t="s">
        <v>1268</v>
      </c>
      <c r="B620" s="2" t="s">
        <v>1269</v>
      </c>
      <c r="C620">
        <v>1437</v>
      </c>
      <c r="D620" t="s">
        <v>12</v>
      </c>
      <c r="E620" t="s">
        <v>27</v>
      </c>
      <c r="F620" t="s">
        <v>59</v>
      </c>
      <c r="G620">
        <v>179</v>
      </c>
      <c r="H620">
        <v>1690</v>
      </c>
      <c r="I620" t="s">
        <v>15</v>
      </c>
      <c r="J620">
        <v>3</v>
      </c>
      <c r="K620" s="1">
        <f t="shared" si="72"/>
        <v>46064</v>
      </c>
      <c r="L620" s="3">
        <f t="shared" si="73"/>
        <v>28.166666666666668</v>
      </c>
      <c r="M620" s="3">
        <f t="shared" si="74"/>
        <v>2.9833333333333334</v>
      </c>
      <c r="N620" t="str">
        <f t="shared" si="75"/>
        <v>Within SLA</v>
      </c>
      <c r="O620" t="str">
        <f t="shared" si="79"/>
        <v>Neutral</v>
      </c>
      <c r="P620" t="str">
        <f t="shared" si="76"/>
        <v>Resolved</v>
      </c>
      <c r="Q620" s="2" t="str">
        <f t="shared" si="77"/>
        <v>Feb-2026</v>
      </c>
      <c r="R620" s="2">
        <f t="shared" si="78"/>
        <v>46054</v>
      </c>
    </row>
    <row r="621" spans="1:18">
      <c r="A621" t="s">
        <v>1270</v>
      </c>
      <c r="B621" s="2" t="s">
        <v>1271</v>
      </c>
      <c r="C621">
        <v>1584</v>
      </c>
      <c r="D621" t="s">
        <v>26</v>
      </c>
      <c r="E621" t="s">
        <v>13</v>
      </c>
      <c r="F621" t="s">
        <v>71</v>
      </c>
      <c r="G621">
        <v>8</v>
      </c>
      <c r="H621">
        <v>364</v>
      </c>
      <c r="I621" t="s">
        <v>15</v>
      </c>
      <c r="J621">
        <v>4</v>
      </c>
      <c r="K621" s="1">
        <f t="shared" si="72"/>
        <v>46064</v>
      </c>
      <c r="L621" s="3">
        <f t="shared" si="73"/>
        <v>6.0666666666666664</v>
      </c>
      <c r="M621" s="3">
        <f t="shared" si="74"/>
        <v>0.13333333333333333</v>
      </c>
      <c r="N621" t="str">
        <f t="shared" si="75"/>
        <v>Within SLA</v>
      </c>
      <c r="O621" t="str">
        <f t="shared" si="79"/>
        <v>Satisfied</v>
      </c>
      <c r="P621" t="str">
        <f t="shared" si="76"/>
        <v>Resolved</v>
      </c>
      <c r="Q621" s="2" t="str">
        <f t="shared" si="77"/>
        <v>Feb-2026</v>
      </c>
      <c r="R621" s="2">
        <f t="shared" si="78"/>
        <v>46054</v>
      </c>
    </row>
    <row r="622" spans="1:18">
      <c r="A622" t="s">
        <v>1272</v>
      </c>
      <c r="B622" s="2" t="s">
        <v>1273</v>
      </c>
      <c r="C622">
        <v>1148</v>
      </c>
      <c r="D622" t="s">
        <v>47</v>
      </c>
      <c r="E622" t="s">
        <v>33</v>
      </c>
      <c r="F622" t="s">
        <v>59</v>
      </c>
      <c r="G622">
        <v>377</v>
      </c>
      <c r="H622">
        <v>4931</v>
      </c>
      <c r="I622" t="s">
        <v>20</v>
      </c>
      <c r="J622">
        <v>5</v>
      </c>
      <c r="K622" s="1">
        <f t="shared" si="72"/>
        <v>46065</v>
      </c>
      <c r="L622" s="3">
        <f t="shared" si="73"/>
        <v>82.183333333333337</v>
      </c>
      <c r="M622" s="3">
        <f t="shared" si="74"/>
        <v>6.2833333333333332</v>
      </c>
      <c r="N622" t="str">
        <f t="shared" si="75"/>
        <v>Breached</v>
      </c>
      <c r="O622" t="str">
        <f t="shared" si="79"/>
        <v>Satisfied</v>
      </c>
      <c r="P622" t="str">
        <f t="shared" si="76"/>
        <v>Resolved</v>
      </c>
      <c r="Q622" s="2" t="str">
        <f t="shared" si="77"/>
        <v>Feb-2026</v>
      </c>
      <c r="R622" s="2">
        <f t="shared" si="78"/>
        <v>46054</v>
      </c>
    </row>
    <row r="623" spans="1:18">
      <c r="A623" t="s">
        <v>1274</v>
      </c>
      <c r="B623" s="2" t="s">
        <v>1275</v>
      </c>
      <c r="C623">
        <v>1578</v>
      </c>
      <c r="D623" t="s">
        <v>18</v>
      </c>
      <c r="E623" t="s">
        <v>27</v>
      </c>
      <c r="F623" t="s">
        <v>43</v>
      </c>
      <c r="G623">
        <v>74</v>
      </c>
      <c r="H623">
        <v>1674</v>
      </c>
      <c r="I623" t="s">
        <v>20</v>
      </c>
      <c r="J623">
        <v>5</v>
      </c>
      <c r="K623" s="1">
        <f t="shared" si="72"/>
        <v>46065</v>
      </c>
      <c r="L623" s="3">
        <f t="shared" si="73"/>
        <v>27.9</v>
      </c>
      <c r="M623" s="3">
        <f t="shared" si="74"/>
        <v>1.2333333333333334</v>
      </c>
      <c r="N623" t="str">
        <f t="shared" si="75"/>
        <v>Within SLA</v>
      </c>
      <c r="O623" t="str">
        <f t="shared" si="79"/>
        <v>Satisfied</v>
      </c>
      <c r="P623" t="str">
        <f t="shared" si="76"/>
        <v>Resolved</v>
      </c>
      <c r="Q623" s="2" t="str">
        <f t="shared" si="77"/>
        <v>Feb-2026</v>
      </c>
      <c r="R623" s="2">
        <f t="shared" si="78"/>
        <v>46054</v>
      </c>
    </row>
    <row r="624" spans="1:18">
      <c r="A624" t="s">
        <v>1276</v>
      </c>
      <c r="B624" s="2" t="s">
        <v>1277</v>
      </c>
      <c r="C624">
        <v>1891</v>
      </c>
      <c r="D624" t="s">
        <v>47</v>
      </c>
      <c r="E624" t="s">
        <v>27</v>
      </c>
      <c r="F624" t="s">
        <v>59</v>
      </c>
      <c r="G624">
        <v>39</v>
      </c>
      <c r="H624">
        <v>3594</v>
      </c>
      <c r="I624" t="s">
        <v>15</v>
      </c>
      <c r="J624">
        <v>5</v>
      </c>
      <c r="K624" s="1">
        <f t="shared" si="72"/>
        <v>46066</v>
      </c>
      <c r="L624" s="3">
        <f t="shared" si="73"/>
        <v>59.9</v>
      </c>
      <c r="M624" s="3">
        <f t="shared" si="74"/>
        <v>0.65</v>
      </c>
      <c r="N624" t="str">
        <f t="shared" si="75"/>
        <v>Breached</v>
      </c>
      <c r="O624" t="str">
        <f t="shared" si="79"/>
        <v>Satisfied</v>
      </c>
      <c r="P624" t="str">
        <f t="shared" si="76"/>
        <v>Resolved</v>
      </c>
      <c r="Q624" s="2" t="str">
        <f t="shared" si="77"/>
        <v>Feb-2026</v>
      </c>
      <c r="R624" s="2">
        <f t="shared" si="78"/>
        <v>46054</v>
      </c>
    </row>
    <row r="625" spans="1:18">
      <c r="A625" t="s">
        <v>1278</v>
      </c>
      <c r="B625" s="2" t="s">
        <v>1279</v>
      </c>
      <c r="C625">
        <v>1414</v>
      </c>
      <c r="D625" t="s">
        <v>47</v>
      </c>
      <c r="E625" t="s">
        <v>27</v>
      </c>
      <c r="F625" t="s">
        <v>14</v>
      </c>
      <c r="G625">
        <v>54</v>
      </c>
      <c r="H625">
        <v>1980</v>
      </c>
      <c r="I625" t="s">
        <v>15</v>
      </c>
      <c r="K625" s="1">
        <f t="shared" si="72"/>
        <v>46066</v>
      </c>
      <c r="L625" s="3">
        <f t="shared" si="73"/>
        <v>33</v>
      </c>
      <c r="M625" s="3">
        <f t="shared" si="74"/>
        <v>0.9</v>
      </c>
      <c r="N625" t="str">
        <f t="shared" si="75"/>
        <v>Within SLA</v>
      </c>
      <c r="O625" t="str">
        <f t="shared" si="79"/>
        <v>No Rating</v>
      </c>
      <c r="P625" t="str">
        <f t="shared" si="76"/>
        <v>Resolved</v>
      </c>
      <c r="Q625" s="2" t="str">
        <f t="shared" si="77"/>
        <v>Feb-2026</v>
      </c>
      <c r="R625" s="2">
        <f t="shared" si="78"/>
        <v>46054</v>
      </c>
    </row>
    <row r="626" spans="1:18">
      <c r="A626" t="s">
        <v>1280</v>
      </c>
      <c r="B626" s="2" t="s">
        <v>1281</v>
      </c>
      <c r="C626">
        <v>1335</v>
      </c>
      <c r="D626" t="s">
        <v>32</v>
      </c>
      <c r="E626" t="s">
        <v>33</v>
      </c>
      <c r="F626" t="s">
        <v>14</v>
      </c>
      <c r="G626">
        <v>295</v>
      </c>
      <c r="H626">
        <v>1386</v>
      </c>
      <c r="I626" t="s">
        <v>15</v>
      </c>
      <c r="K626" s="1">
        <f t="shared" si="72"/>
        <v>46066</v>
      </c>
      <c r="L626" s="3">
        <f t="shared" si="73"/>
        <v>23.1</v>
      </c>
      <c r="M626" s="3">
        <f t="shared" si="74"/>
        <v>4.916666666666667</v>
      </c>
      <c r="N626" t="str">
        <f t="shared" si="75"/>
        <v>Within SLA</v>
      </c>
      <c r="O626" t="str">
        <f t="shared" si="79"/>
        <v>No Rating</v>
      </c>
      <c r="P626" t="str">
        <f t="shared" si="76"/>
        <v>Resolved</v>
      </c>
      <c r="Q626" s="2" t="str">
        <f t="shared" si="77"/>
        <v>Feb-2026</v>
      </c>
      <c r="R626" s="2">
        <f t="shared" si="78"/>
        <v>46054</v>
      </c>
    </row>
    <row r="627" spans="1:18">
      <c r="A627" t="s">
        <v>1282</v>
      </c>
      <c r="B627" s="2" t="s">
        <v>1283</v>
      </c>
      <c r="C627">
        <v>1930</v>
      </c>
      <c r="D627" t="s">
        <v>26</v>
      </c>
      <c r="E627" t="s">
        <v>27</v>
      </c>
      <c r="F627" t="s">
        <v>43</v>
      </c>
      <c r="G627">
        <v>49</v>
      </c>
      <c r="H627">
        <v>2942</v>
      </c>
      <c r="I627" t="s">
        <v>15</v>
      </c>
      <c r="J627">
        <v>2</v>
      </c>
      <c r="K627" s="1">
        <f t="shared" si="72"/>
        <v>46067</v>
      </c>
      <c r="L627" s="3">
        <f t="shared" si="73"/>
        <v>49.033333333333331</v>
      </c>
      <c r="M627" s="3">
        <f t="shared" si="74"/>
        <v>0.81666666666666665</v>
      </c>
      <c r="N627" t="str">
        <f t="shared" si="75"/>
        <v>Breached</v>
      </c>
      <c r="O627" t="str">
        <f t="shared" si="79"/>
        <v>Dissatisfied</v>
      </c>
      <c r="P627" t="str">
        <f t="shared" si="76"/>
        <v>Resolved</v>
      </c>
      <c r="Q627" s="2" t="str">
        <f t="shared" si="77"/>
        <v>Feb-2026</v>
      </c>
      <c r="R627" s="2">
        <f t="shared" si="78"/>
        <v>46054</v>
      </c>
    </row>
    <row r="628" spans="1:18">
      <c r="A628" t="s">
        <v>1284</v>
      </c>
      <c r="B628" s="2" t="s">
        <v>1285</v>
      </c>
      <c r="C628">
        <v>1493</v>
      </c>
      <c r="D628" t="s">
        <v>32</v>
      </c>
      <c r="E628" t="s">
        <v>33</v>
      </c>
      <c r="F628" t="s">
        <v>34</v>
      </c>
      <c r="G628">
        <v>253</v>
      </c>
      <c r="H628">
        <v>3860</v>
      </c>
      <c r="I628" t="s">
        <v>15</v>
      </c>
      <c r="K628" s="1">
        <f t="shared" si="72"/>
        <v>46067</v>
      </c>
      <c r="L628" s="3">
        <f t="shared" si="73"/>
        <v>64.333333333333329</v>
      </c>
      <c r="M628" s="3">
        <f t="shared" si="74"/>
        <v>4.2166666666666668</v>
      </c>
      <c r="N628" t="str">
        <f t="shared" si="75"/>
        <v>Within SLA</v>
      </c>
      <c r="O628" t="str">
        <f t="shared" si="79"/>
        <v>No Rating</v>
      </c>
      <c r="P628" t="str">
        <f t="shared" si="76"/>
        <v>Resolved</v>
      </c>
      <c r="Q628" s="2" t="str">
        <f t="shared" si="77"/>
        <v>Feb-2026</v>
      </c>
      <c r="R628" s="2">
        <f t="shared" si="78"/>
        <v>46054</v>
      </c>
    </row>
    <row r="629" spans="1:18">
      <c r="A629" t="s">
        <v>1286</v>
      </c>
      <c r="B629" s="2" t="s">
        <v>1287</v>
      </c>
      <c r="C629">
        <v>1662</v>
      </c>
      <c r="D629" t="s">
        <v>47</v>
      </c>
      <c r="E629" t="s">
        <v>13</v>
      </c>
      <c r="F629" t="s">
        <v>28</v>
      </c>
      <c r="G629">
        <v>10</v>
      </c>
      <c r="H629">
        <v>240</v>
      </c>
      <c r="I629" t="s">
        <v>15</v>
      </c>
      <c r="J629">
        <v>1</v>
      </c>
      <c r="K629" s="1">
        <f t="shared" si="72"/>
        <v>46067</v>
      </c>
      <c r="L629" s="3">
        <f t="shared" si="73"/>
        <v>4</v>
      </c>
      <c r="M629" s="3">
        <f t="shared" si="74"/>
        <v>0.16666666666666666</v>
      </c>
      <c r="N629" t="str">
        <f t="shared" si="75"/>
        <v>Within SLA</v>
      </c>
      <c r="O629" t="str">
        <f t="shared" si="79"/>
        <v>Dissatisfied</v>
      </c>
      <c r="P629" t="str">
        <f t="shared" si="76"/>
        <v>Resolved</v>
      </c>
      <c r="Q629" s="2" t="str">
        <f t="shared" si="77"/>
        <v>Feb-2026</v>
      </c>
      <c r="R629" s="2">
        <f t="shared" si="78"/>
        <v>46054</v>
      </c>
    </row>
    <row r="630" spans="1:18">
      <c r="A630" t="s">
        <v>1288</v>
      </c>
      <c r="B630" s="2" t="s">
        <v>1289</v>
      </c>
      <c r="C630">
        <v>1680</v>
      </c>
      <c r="D630" t="s">
        <v>26</v>
      </c>
      <c r="E630" t="s">
        <v>27</v>
      </c>
      <c r="F630" t="s">
        <v>71</v>
      </c>
      <c r="G630">
        <v>149</v>
      </c>
      <c r="H630">
        <v>2265</v>
      </c>
      <c r="I630" t="s">
        <v>20</v>
      </c>
      <c r="J630">
        <v>5</v>
      </c>
      <c r="K630" s="1">
        <f t="shared" si="72"/>
        <v>46068</v>
      </c>
      <c r="L630" s="3">
        <f t="shared" si="73"/>
        <v>37.75</v>
      </c>
      <c r="M630" s="3">
        <f t="shared" si="74"/>
        <v>2.4833333333333334</v>
      </c>
      <c r="N630" t="str">
        <f t="shared" si="75"/>
        <v>Within SLA</v>
      </c>
      <c r="O630" t="str">
        <f t="shared" si="79"/>
        <v>Satisfied</v>
      </c>
      <c r="P630" t="str">
        <f t="shared" si="76"/>
        <v>Resolved</v>
      </c>
      <c r="Q630" s="2" t="str">
        <f t="shared" si="77"/>
        <v>Feb-2026</v>
      </c>
      <c r="R630" s="2">
        <f t="shared" si="78"/>
        <v>46054</v>
      </c>
    </row>
    <row r="631" spans="1:18">
      <c r="A631" t="s">
        <v>1290</v>
      </c>
      <c r="B631" s="2" t="s">
        <v>1291</v>
      </c>
      <c r="C631">
        <v>1488</v>
      </c>
      <c r="D631" t="s">
        <v>32</v>
      </c>
      <c r="E631" t="s">
        <v>27</v>
      </c>
      <c r="F631" t="s">
        <v>64</v>
      </c>
      <c r="G631">
        <v>168</v>
      </c>
      <c r="H631">
        <v>3494</v>
      </c>
      <c r="I631" t="s">
        <v>15</v>
      </c>
      <c r="J631">
        <v>3</v>
      </c>
      <c r="K631" s="1">
        <f t="shared" si="72"/>
        <v>46068</v>
      </c>
      <c r="L631" s="3">
        <f t="shared" si="73"/>
        <v>58.233333333333334</v>
      </c>
      <c r="M631" s="3">
        <f t="shared" si="74"/>
        <v>2.8</v>
      </c>
      <c r="N631" t="str">
        <f t="shared" si="75"/>
        <v>Breached</v>
      </c>
      <c r="O631" t="str">
        <f t="shared" si="79"/>
        <v>Neutral</v>
      </c>
      <c r="P631" t="str">
        <f t="shared" si="76"/>
        <v>Resolved</v>
      </c>
      <c r="Q631" s="2" t="str">
        <f t="shared" si="77"/>
        <v>Feb-2026</v>
      </c>
      <c r="R631" s="2">
        <f t="shared" si="78"/>
        <v>46054</v>
      </c>
    </row>
    <row r="632" spans="1:18">
      <c r="A632" t="s">
        <v>1292</v>
      </c>
      <c r="B632" s="2" t="s">
        <v>1293</v>
      </c>
      <c r="C632">
        <v>1440</v>
      </c>
      <c r="D632" t="s">
        <v>18</v>
      </c>
      <c r="E632" t="s">
        <v>27</v>
      </c>
      <c r="F632" t="s">
        <v>28</v>
      </c>
      <c r="G632">
        <v>36</v>
      </c>
      <c r="H632">
        <v>2697</v>
      </c>
      <c r="I632" t="s">
        <v>15</v>
      </c>
      <c r="J632">
        <v>5</v>
      </c>
      <c r="K632" s="1">
        <f t="shared" si="72"/>
        <v>46068</v>
      </c>
      <c r="L632" s="3">
        <f t="shared" si="73"/>
        <v>44.95</v>
      </c>
      <c r="M632" s="3">
        <f t="shared" si="74"/>
        <v>0.6</v>
      </c>
      <c r="N632" t="str">
        <f t="shared" si="75"/>
        <v>Within SLA</v>
      </c>
      <c r="O632" t="str">
        <f t="shared" si="79"/>
        <v>Satisfied</v>
      </c>
      <c r="P632" t="str">
        <f t="shared" si="76"/>
        <v>Resolved</v>
      </c>
      <c r="Q632" s="2" t="str">
        <f t="shared" si="77"/>
        <v>Feb-2026</v>
      </c>
      <c r="R632" s="2">
        <f t="shared" si="78"/>
        <v>46054</v>
      </c>
    </row>
    <row r="633" spans="1:18">
      <c r="A633" t="s">
        <v>1294</v>
      </c>
      <c r="B633" s="2" t="s">
        <v>1295</v>
      </c>
      <c r="C633">
        <v>1286</v>
      </c>
      <c r="D633" t="s">
        <v>32</v>
      </c>
      <c r="E633" t="s">
        <v>27</v>
      </c>
      <c r="F633" t="s">
        <v>71</v>
      </c>
      <c r="G633">
        <v>146</v>
      </c>
      <c r="H633">
        <v>656</v>
      </c>
      <c r="I633" t="s">
        <v>15</v>
      </c>
      <c r="K633" s="1">
        <f t="shared" si="72"/>
        <v>46069</v>
      </c>
      <c r="L633" s="3">
        <f t="shared" si="73"/>
        <v>10.933333333333334</v>
      </c>
      <c r="M633" s="3">
        <f t="shared" si="74"/>
        <v>2.4333333333333331</v>
      </c>
      <c r="N633" t="str">
        <f t="shared" si="75"/>
        <v>Within SLA</v>
      </c>
      <c r="O633" t="str">
        <f t="shared" si="79"/>
        <v>No Rating</v>
      </c>
      <c r="P633" t="str">
        <f t="shared" si="76"/>
        <v>Resolved</v>
      </c>
      <c r="Q633" s="2" t="str">
        <f t="shared" si="77"/>
        <v>Feb-2026</v>
      </c>
      <c r="R633" s="2">
        <f t="shared" si="78"/>
        <v>46054</v>
      </c>
    </row>
    <row r="634" spans="1:18">
      <c r="A634" t="s">
        <v>1296</v>
      </c>
      <c r="B634" s="2" t="s">
        <v>1297</v>
      </c>
      <c r="C634">
        <v>1050</v>
      </c>
      <c r="D634" t="s">
        <v>47</v>
      </c>
      <c r="E634" t="s">
        <v>33</v>
      </c>
      <c r="F634" t="s">
        <v>64</v>
      </c>
      <c r="G634">
        <v>353</v>
      </c>
      <c r="H634">
        <v>8536</v>
      </c>
      <c r="I634" t="s">
        <v>15</v>
      </c>
      <c r="K634" s="1">
        <f t="shared" si="72"/>
        <v>46069</v>
      </c>
      <c r="L634" s="3">
        <f t="shared" si="73"/>
        <v>142.26666666666668</v>
      </c>
      <c r="M634" s="3">
        <f t="shared" si="74"/>
        <v>5.8833333333333337</v>
      </c>
      <c r="N634" t="str">
        <f t="shared" si="75"/>
        <v>Breached</v>
      </c>
      <c r="O634" t="str">
        <f t="shared" si="79"/>
        <v>No Rating</v>
      </c>
      <c r="P634" t="str">
        <f t="shared" si="76"/>
        <v>Resolved</v>
      </c>
      <c r="Q634" s="2" t="str">
        <f t="shared" si="77"/>
        <v>Feb-2026</v>
      </c>
      <c r="R634" s="2">
        <f t="shared" si="78"/>
        <v>46054</v>
      </c>
    </row>
    <row r="635" spans="1:18">
      <c r="A635" t="s">
        <v>1298</v>
      </c>
      <c r="B635" s="2" t="s">
        <v>1299</v>
      </c>
      <c r="C635">
        <v>1500</v>
      </c>
      <c r="D635" t="s">
        <v>47</v>
      </c>
      <c r="E635" t="s">
        <v>27</v>
      </c>
      <c r="F635" t="s">
        <v>71</v>
      </c>
      <c r="G635">
        <v>167</v>
      </c>
      <c r="I635" t="s">
        <v>44</v>
      </c>
      <c r="K635" s="1">
        <f t="shared" si="72"/>
        <v>46070</v>
      </c>
      <c r="L635" s="3" t="str">
        <f t="shared" si="73"/>
        <v/>
      </c>
      <c r="M635" s="3">
        <f t="shared" si="74"/>
        <v>2.7833333333333332</v>
      </c>
      <c r="N635" t="str">
        <f t="shared" si="75"/>
        <v>Open</v>
      </c>
      <c r="O635" t="str">
        <f t="shared" si="79"/>
        <v>No Rating</v>
      </c>
      <c r="P635" t="str">
        <f t="shared" si="76"/>
        <v>Unresolved</v>
      </c>
      <c r="Q635" s="2" t="str">
        <f t="shared" si="77"/>
        <v>Feb-2026</v>
      </c>
      <c r="R635" s="2">
        <f t="shared" si="78"/>
        <v>46054</v>
      </c>
    </row>
    <row r="636" spans="1:18">
      <c r="A636" t="s">
        <v>1300</v>
      </c>
      <c r="B636" s="2" t="s">
        <v>1301</v>
      </c>
      <c r="C636">
        <v>1565</v>
      </c>
      <c r="D636" t="s">
        <v>32</v>
      </c>
      <c r="E636" t="s">
        <v>19</v>
      </c>
      <c r="F636" t="s">
        <v>14</v>
      </c>
      <c r="G636">
        <v>42</v>
      </c>
      <c r="I636" t="s">
        <v>29</v>
      </c>
      <c r="K636" s="1">
        <f t="shared" si="72"/>
        <v>46070</v>
      </c>
      <c r="L636" s="3" t="str">
        <f t="shared" si="73"/>
        <v/>
      </c>
      <c r="M636" s="3">
        <f t="shared" si="74"/>
        <v>0.7</v>
      </c>
      <c r="N636" t="str">
        <f t="shared" si="75"/>
        <v>Open</v>
      </c>
      <c r="O636" t="str">
        <f t="shared" si="79"/>
        <v>No Rating</v>
      </c>
      <c r="P636" t="str">
        <f t="shared" si="76"/>
        <v>Unresolved</v>
      </c>
      <c r="Q636" s="2" t="str">
        <f t="shared" si="77"/>
        <v>Feb-2026</v>
      </c>
      <c r="R636" s="2">
        <f t="shared" si="78"/>
        <v>46054</v>
      </c>
    </row>
    <row r="637" spans="1:18">
      <c r="A637" t="s">
        <v>1302</v>
      </c>
      <c r="B637" s="2" t="s">
        <v>1303</v>
      </c>
      <c r="C637">
        <v>1717</v>
      </c>
      <c r="D637" t="s">
        <v>32</v>
      </c>
      <c r="E637" t="s">
        <v>27</v>
      </c>
      <c r="F637" t="s">
        <v>71</v>
      </c>
      <c r="G637">
        <v>88</v>
      </c>
      <c r="H637">
        <v>973</v>
      </c>
      <c r="I637" t="s">
        <v>20</v>
      </c>
      <c r="J637">
        <v>2</v>
      </c>
      <c r="K637" s="1">
        <f t="shared" si="72"/>
        <v>46070</v>
      </c>
      <c r="L637" s="3">
        <f t="shared" si="73"/>
        <v>16.216666666666665</v>
      </c>
      <c r="M637" s="3">
        <f t="shared" si="74"/>
        <v>1.4666666666666666</v>
      </c>
      <c r="N637" t="str">
        <f t="shared" si="75"/>
        <v>Within SLA</v>
      </c>
      <c r="O637" t="str">
        <f t="shared" si="79"/>
        <v>Dissatisfied</v>
      </c>
      <c r="P637" t="str">
        <f t="shared" si="76"/>
        <v>Resolved</v>
      </c>
      <c r="Q637" s="2" t="str">
        <f t="shared" si="77"/>
        <v>Feb-2026</v>
      </c>
      <c r="R637" s="2">
        <f t="shared" si="78"/>
        <v>46054</v>
      </c>
    </row>
    <row r="638" spans="1:18">
      <c r="A638" t="s">
        <v>1304</v>
      </c>
      <c r="B638" s="2" t="s">
        <v>1305</v>
      </c>
      <c r="C638">
        <v>1353</v>
      </c>
      <c r="D638" t="s">
        <v>47</v>
      </c>
      <c r="E638" t="s">
        <v>13</v>
      </c>
      <c r="F638" t="s">
        <v>34</v>
      </c>
      <c r="G638">
        <v>11</v>
      </c>
      <c r="H638">
        <v>379</v>
      </c>
      <c r="I638" t="s">
        <v>15</v>
      </c>
      <c r="K638" s="1">
        <f t="shared" si="72"/>
        <v>46071</v>
      </c>
      <c r="L638" s="3">
        <f t="shared" si="73"/>
        <v>6.3166666666666664</v>
      </c>
      <c r="M638" s="3">
        <f t="shared" si="74"/>
        <v>0.18333333333333332</v>
      </c>
      <c r="N638" t="str">
        <f t="shared" si="75"/>
        <v>Within SLA</v>
      </c>
      <c r="O638" t="str">
        <f t="shared" si="79"/>
        <v>No Rating</v>
      </c>
      <c r="P638" t="str">
        <f t="shared" si="76"/>
        <v>Resolved</v>
      </c>
      <c r="Q638" s="2" t="str">
        <f t="shared" si="77"/>
        <v>Feb-2026</v>
      </c>
      <c r="R638" s="2">
        <f t="shared" si="78"/>
        <v>46054</v>
      </c>
    </row>
    <row r="639" spans="1:18">
      <c r="A639" t="s">
        <v>1306</v>
      </c>
      <c r="B639" s="2" t="s">
        <v>1307</v>
      </c>
      <c r="C639">
        <v>1261</v>
      </c>
      <c r="D639" t="s">
        <v>26</v>
      </c>
      <c r="E639" t="s">
        <v>27</v>
      </c>
      <c r="F639" t="s">
        <v>54</v>
      </c>
      <c r="G639">
        <v>54</v>
      </c>
      <c r="H639">
        <v>2174</v>
      </c>
      <c r="I639" t="s">
        <v>20</v>
      </c>
      <c r="J639">
        <v>2</v>
      </c>
      <c r="K639" s="1">
        <f t="shared" si="72"/>
        <v>46071</v>
      </c>
      <c r="L639" s="3">
        <f t="shared" si="73"/>
        <v>36.233333333333334</v>
      </c>
      <c r="M639" s="3">
        <f t="shared" si="74"/>
        <v>0.9</v>
      </c>
      <c r="N639" t="str">
        <f t="shared" si="75"/>
        <v>Within SLA</v>
      </c>
      <c r="O639" t="str">
        <f t="shared" si="79"/>
        <v>Dissatisfied</v>
      </c>
      <c r="P639" t="str">
        <f t="shared" si="76"/>
        <v>Resolved</v>
      </c>
      <c r="Q639" s="2" t="str">
        <f t="shared" si="77"/>
        <v>Feb-2026</v>
      </c>
      <c r="R639" s="2">
        <f t="shared" si="78"/>
        <v>46054</v>
      </c>
    </row>
    <row r="640" spans="1:18">
      <c r="A640" t="s">
        <v>1308</v>
      </c>
      <c r="B640" s="2" t="s">
        <v>1309</v>
      </c>
      <c r="C640">
        <v>1013</v>
      </c>
      <c r="D640" t="s">
        <v>26</v>
      </c>
      <c r="E640" t="s">
        <v>19</v>
      </c>
      <c r="F640" t="s">
        <v>54</v>
      </c>
      <c r="G640">
        <v>40</v>
      </c>
      <c r="I640" t="s">
        <v>44</v>
      </c>
      <c r="K640" s="1">
        <f t="shared" si="72"/>
        <v>46071</v>
      </c>
      <c r="L640" s="3" t="str">
        <f t="shared" si="73"/>
        <v/>
      </c>
      <c r="M640" s="3">
        <f t="shared" si="74"/>
        <v>0.66666666666666663</v>
      </c>
      <c r="N640" t="str">
        <f t="shared" si="75"/>
        <v>Open</v>
      </c>
      <c r="O640" t="str">
        <f t="shared" si="79"/>
        <v>No Rating</v>
      </c>
      <c r="P640" t="str">
        <f t="shared" si="76"/>
        <v>Unresolved</v>
      </c>
      <c r="Q640" s="2" t="str">
        <f t="shared" si="77"/>
        <v>Feb-2026</v>
      </c>
      <c r="R640" s="2">
        <f t="shared" si="78"/>
        <v>46054</v>
      </c>
    </row>
    <row r="641" spans="1:18">
      <c r="A641" t="s">
        <v>1310</v>
      </c>
      <c r="B641" s="2" t="s">
        <v>1311</v>
      </c>
      <c r="C641">
        <v>1047</v>
      </c>
      <c r="D641" t="s">
        <v>32</v>
      </c>
      <c r="E641" t="s">
        <v>27</v>
      </c>
      <c r="F641" t="s">
        <v>28</v>
      </c>
      <c r="G641">
        <v>159</v>
      </c>
      <c r="H641">
        <v>2632</v>
      </c>
      <c r="I641" t="s">
        <v>15</v>
      </c>
      <c r="K641" s="1">
        <f t="shared" si="72"/>
        <v>46072</v>
      </c>
      <c r="L641" s="3">
        <f t="shared" si="73"/>
        <v>43.866666666666667</v>
      </c>
      <c r="M641" s="3">
        <f t="shared" si="74"/>
        <v>2.65</v>
      </c>
      <c r="N641" t="str">
        <f t="shared" si="75"/>
        <v>Within SLA</v>
      </c>
      <c r="O641" t="str">
        <f t="shared" si="79"/>
        <v>No Rating</v>
      </c>
      <c r="P641" t="str">
        <f t="shared" si="76"/>
        <v>Resolved</v>
      </c>
      <c r="Q641" s="2" t="str">
        <f t="shared" si="77"/>
        <v>Feb-2026</v>
      </c>
      <c r="R641" s="2">
        <f t="shared" si="78"/>
        <v>46054</v>
      </c>
    </row>
    <row r="642" spans="1:18">
      <c r="A642" t="s">
        <v>1312</v>
      </c>
      <c r="B642" s="2" t="s">
        <v>1313</v>
      </c>
      <c r="C642">
        <v>1531</v>
      </c>
      <c r="D642" t="s">
        <v>18</v>
      </c>
      <c r="E642" t="s">
        <v>27</v>
      </c>
      <c r="F642" t="s">
        <v>34</v>
      </c>
      <c r="G642">
        <v>81</v>
      </c>
      <c r="H642">
        <v>2338</v>
      </c>
      <c r="I642" t="s">
        <v>15</v>
      </c>
      <c r="J642">
        <v>5</v>
      </c>
      <c r="K642" s="1">
        <f t="shared" si="72"/>
        <v>46072</v>
      </c>
      <c r="L642" s="3">
        <f t="shared" si="73"/>
        <v>38.966666666666669</v>
      </c>
      <c r="M642" s="3">
        <f t="shared" si="74"/>
        <v>1.35</v>
      </c>
      <c r="N642" t="str">
        <f t="shared" si="75"/>
        <v>Within SLA</v>
      </c>
      <c r="O642" t="str">
        <f t="shared" si="79"/>
        <v>Satisfied</v>
      </c>
      <c r="P642" t="str">
        <f t="shared" si="76"/>
        <v>Resolved</v>
      </c>
      <c r="Q642" s="2" t="str">
        <f t="shared" si="77"/>
        <v>Feb-2026</v>
      </c>
      <c r="R642" s="2">
        <f t="shared" si="78"/>
        <v>46054</v>
      </c>
    </row>
    <row r="643" spans="1:18">
      <c r="A643" t="s">
        <v>1314</v>
      </c>
      <c r="B643" s="2" t="s">
        <v>1315</v>
      </c>
      <c r="C643">
        <v>1509</v>
      </c>
      <c r="D643" t="s">
        <v>18</v>
      </c>
      <c r="E643" t="s">
        <v>27</v>
      </c>
      <c r="F643" t="s">
        <v>71</v>
      </c>
      <c r="G643">
        <v>94</v>
      </c>
      <c r="H643">
        <v>3467</v>
      </c>
      <c r="I643" t="s">
        <v>20</v>
      </c>
      <c r="J643">
        <v>3</v>
      </c>
      <c r="K643" s="1">
        <f t="shared" ref="K643:K706" si="80">IF(B643="","",DATEVALUE(LEFT(B643,10)))</f>
        <v>46072</v>
      </c>
      <c r="L643" s="3">
        <f t="shared" ref="L643:L706" si="81">IF(H643="","",H643/60)</f>
        <v>57.783333333333331</v>
      </c>
      <c r="M643" s="3">
        <f t="shared" ref="M643:M706" si="82">IF(G643="","",G643/60)</f>
        <v>1.5666666666666667</v>
      </c>
      <c r="N643" t="str">
        <f t="shared" ref="N643:N706" si="83">IF(L643="","Open",IF(L643&lt;=IF(E643="Urgent",8,IF(E643="High",24,IF(E643="Normal",48,72))),"Within SLA","Breached"))</f>
        <v>Breached</v>
      </c>
      <c r="O643" t="str">
        <f t="shared" si="79"/>
        <v>Neutral</v>
      </c>
      <c r="P643" t="str">
        <f t="shared" ref="P643:P706" si="84">IF(I643="Closed","Resolved",IF(I643="Resolved","Resolved","Unresolved"))</f>
        <v>Resolved</v>
      </c>
      <c r="Q643" s="2" t="str">
        <f t="shared" ref="Q643:Q706" si="85">IF(K643="","",TEXT(K643,"mmm-yyyy"))</f>
        <v>Feb-2026</v>
      </c>
      <c r="R643" s="2">
        <f t="shared" ref="R643:R706" si="86">IF(K643="","",DATE(YEAR(K643),MONTH(K643),1))</f>
        <v>46054</v>
      </c>
    </row>
    <row r="644" spans="1:18">
      <c r="A644" t="s">
        <v>1316</v>
      </c>
      <c r="B644" s="2" t="s">
        <v>1317</v>
      </c>
      <c r="C644">
        <v>1494</v>
      </c>
      <c r="D644" t="s">
        <v>26</v>
      </c>
      <c r="E644" t="s">
        <v>13</v>
      </c>
      <c r="F644" t="s">
        <v>43</v>
      </c>
      <c r="G644">
        <v>4</v>
      </c>
      <c r="H644">
        <v>383</v>
      </c>
      <c r="I644" t="s">
        <v>15</v>
      </c>
      <c r="J644">
        <v>5</v>
      </c>
      <c r="K644" s="1">
        <f t="shared" si="80"/>
        <v>46073</v>
      </c>
      <c r="L644" s="3">
        <f t="shared" si="81"/>
        <v>6.3833333333333337</v>
      </c>
      <c r="M644" s="3">
        <f t="shared" si="82"/>
        <v>6.6666666666666666E-2</v>
      </c>
      <c r="N644" t="str">
        <f t="shared" si="83"/>
        <v>Within SLA</v>
      </c>
      <c r="O644" t="str">
        <f t="shared" ref="O644:O707" si="87">IF(J644="","No Rating",IF(J644&gt;=4,"Satisfied",IF(J644=3,"Neutral","Dissatisfied")))</f>
        <v>Satisfied</v>
      </c>
      <c r="P644" t="str">
        <f t="shared" si="84"/>
        <v>Resolved</v>
      </c>
      <c r="Q644" s="2" t="str">
        <f t="shared" si="85"/>
        <v>Feb-2026</v>
      </c>
      <c r="R644" s="2">
        <f t="shared" si="86"/>
        <v>46054</v>
      </c>
    </row>
    <row r="645" spans="1:18">
      <c r="A645" t="s">
        <v>1318</v>
      </c>
      <c r="B645" s="2" t="s">
        <v>1319</v>
      </c>
      <c r="C645">
        <v>1394</v>
      </c>
      <c r="D645" t="s">
        <v>18</v>
      </c>
      <c r="E645" t="s">
        <v>27</v>
      </c>
      <c r="F645" t="s">
        <v>28</v>
      </c>
      <c r="G645">
        <v>156</v>
      </c>
      <c r="H645">
        <v>2280</v>
      </c>
      <c r="I645" t="s">
        <v>15</v>
      </c>
      <c r="K645" s="1">
        <f t="shared" si="80"/>
        <v>46073</v>
      </c>
      <c r="L645" s="3">
        <f t="shared" si="81"/>
        <v>38</v>
      </c>
      <c r="M645" s="3">
        <f t="shared" si="82"/>
        <v>2.6</v>
      </c>
      <c r="N645" t="str">
        <f t="shared" si="83"/>
        <v>Within SLA</v>
      </c>
      <c r="O645" t="str">
        <f t="shared" si="87"/>
        <v>No Rating</v>
      </c>
      <c r="P645" t="str">
        <f t="shared" si="84"/>
        <v>Resolved</v>
      </c>
      <c r="Q645" s="2" t="str">
        <f t="shared" si="85"/>
        <v>Feb-2026</v>
      </c>
      <c r="R645" s="2">
        <f t="shared" si="86"/>
        <v>46054</v>
      </c>
    </row>
    <row r="646" spans="1:18">
      <c r="A646" t="s">
        <v>1320</v>
      </c>
      <c r="B646" s="2" t="s">
        <v>1321</v>
      </c>
      <c r="C646">
        <v>1469</v>
      </c>
      <c r="D646" t="s">
        <v>18</v>
      </c>
      <c r="E646" t="s">
        <v>27</v>
      </c>
      <c r="F646" t="s">
        <v>23</v>
      </c>
      <c r="G646">
        <v>46</v>
      </c>
      <c r="H646">
        <v>1821</v>
      </c>
      <c r="I646" t="s">
        <v>15</v>
      </c>
      <c r="K646" s="1">
        <f t="shared" si="80"/>
        <v>46074</v>
      </c>
      <c r="L646" s="3">
        <f t="shared" si="81"/>
        <v>30.35</v>
      </c>
      <c r="M646" s="3">
        <f t="shared" si="82"/>
        <v>0.76666666666666672</v>
      </c>
      <c r="N646" t="str">
        <f t="shared" si="83"/>
        <v>Within SLA</v>
      </c>
      <c r="O646" t="str">
        <f t="shared" si="87"/>
        <v>No Rating</v>
      </c>
      <c r="P646" t="str">
        <f t="shared" si="84"/>
        <v>Resolved</v>
      </c>
      <c r="Q646" s="2" t="str">
        <f t="shared" si="85"/>
        <v>Feb-2026</v>
      </c>
      <c r="R646" s="2">
        <f t="shared" si="86"/>
        <v>46054</v>
      </c>
    </row>
    <row r="647" spans="1:18">
      <c r="A647" t="s">
        <v>1322</v>
      </c>
      <c r="B647" s="2" t="s">
        <v>1323</v>
      </c>
      <c r="C647">
        <v>1486</v>
      </c>
      <c r="D647" t="s">
        <v>26</v>
      </c>
      <c r="E647" t="s">
        <v>33</v>
      </c>
      <c r="F647" t="s">
        <v>34</v>
      </c>
      <c r="G647">
        <v>454</v>
      </c>
      <c r="H647">
        <v>8997</v>
      </c>
      <c r="I647" t="s">
        <v>15</v>
      </c>
      <c r="J647">
        <v>1</v>
      </c>
      <c r="K647" s="1">
        <f t="shared" si="80"/>
        <v>46074</v>
      </c>
      <c r="L647" s="3">
        <f t="shared" si="81"/>
        <v>149.94999999999999</v>
      </c>
      <c r="M647" s="3">
        <f t="shared" si="82"/>
        <v>7.5666666666666664</v>
      </c>
      <c r="N647" t="str">
        <f t="shared" si="83"/>
        <v>Breached</v>
      </c>
      <c r="O647" t="str">
        <f t="shared" si="87"/>
        <v>Dissatisfied</v>
      </c>
      <c r="P647" t="str">
        <f t="shared" si="84"/>
        <v>Resolved</v>
      </c>
      <c r="Q647" s="2" t="str">
        <f t="shared" si="85"/>
        <v>Feb-2026</v>
      </c>
      <c r="R647" s="2">
        <f t="shared" si="86"/>
        <v>46054</v>
      </c>
    </row>
    <row r="648" spans="1:18">
      <c r="A648" t="s">
        <v>1324</v>
      </c>
      <c r="B648" s="2" t="s">
        <v>1325</v>
      </c>
      <c r="C648">
        <v>1733</v>
      </c>
      <c r="D648" t="s">
        <v>18</v>
      </c>
      <c r="E648" t="s">
        <v>19</v>
      </c>
      <c r="F648" t="s">
        <v>71</v>
      </c>
      <c r="G648">
        <v>21</v>
      </c>
      <c r="H648">
        <v>294</v>
      </c>
      <c r="I648" t="s">
        <v>15</v>
      </c>
      <c r="K648" s="1">
        <f t="shared" si="80"/>
        <v>46074</v>
      </c>
      <c r="L648" s="3">
        <f t="shared" si="81"/>
        <v>4.9000000000000004</v>
      </c>
      <c r="M648" s="3">
        <f t="shared" si="82"/>
        <v>0.35</v>
      </c>
      <c r="N648" t="str">
        <f t="shared" si="83"/>
        <v>Within SLA</v>
      </c>
      <c r="O648" t="str">
        <f t="shared" si="87"/>
        <v>No Rating</v>
      </c>
      <c r="P648" t="str">
        <f t="shared" si="84"/>
        <v>Resolved</v>
      </c>
      <c r="Q648" s="2" t="str">
        <f t="shared" si="85"/>
        <v>Feb-2026</v>
      </c>
      <c r="R648" s="2">
        <f t="shared" si="86"/>
        <v>46054</v>
      </c>
    </row>
    <row r="649" spans="1:18">
      <c r="A649" t="s">
        <v>1326</v>
      </c>
      <c r="B649" s="2" t="s">
        <v>1327</v>
      </c>
      <c r="C649">
        <v>1152</v>
      </c>
      <c r="D649" t="s">
        <v>47</v>
      </c>
      <c r="E649" t="s">
        <v>13</v>
      </c>
      <c r="F649" t="s">
        <v>14</v>
      </c>
      <c r="G649">
        <v>3</v>
      </c>
      <c r="H649">
        <v>356</v>
      </c>
      <c r="I649" t="s">
        <v>15</v>
      </c>
      <c r="K649" s="1">
        <f t="shared" si="80"/>
        <v>46075</v>
      </c>
      <c r="L649" s="3">
        <f t="shared" si="81"/>
        <v>5.9333333333333336</v>
      </c>
      <c r="M649" s="3">
        <f t="shared" si="82"/>
        <v>0.05</v>
      </c>
      <c r="N649" t="str">
        <f t="shared" si="83"/>
        <v>Within SLA</v>
      </c>
      <c r="O649" t="str">
        <f t="shared" si="87"/>
        <v>No Rating</v>
      </c>
      <c r="P649" t="str">
        <f t="shared" si="84"/>
        <v>Resolved</v>
      </c>
      <c r="Q649" s="2" t="str">
        <f t="shared" si="85"/>
        <v>Feb-2026</v>
      </c>
      <c r="R649" s="2">
        <f t="shared" si="86"/>
        <v>46054</v>
      </c>
    </row>
    <row r="650" spans="1:18">
      <c r="A650" t="s">
        <v>1328</v>
      </c>
      <c r="B650" s="2" t="s">
        <v>1329</v>
      </c>
      <c r="C650">
        <v>1591</v>
      </c>
      <c r="D650" t="s">
        <v>12</v>
      </c>
      <c r="E650" t="s">
        <v>19</v>
      </c>
      <c r="F650" t="s">
        <v>43</v>
      </c>
      <c r="G650">
        <v>25</v>
      </c>
      <c r="H650">
        <v>1229</v>
      </c>
      <c r="I650" t="s">
        <v>15</v>
      </c>
      <c r="K650" s="1">
        <f t="shared" si="80"/>
        <v>46075</v>
      </c>
      <c r="L650" s="3">
        <f t="shared" si="81"/>
        <v>20.483333333333334</v>
      </c>
      <c r="M650" s="3">
        <f t="shared" si="82"/>
        <v>0.41666666666666669</v>
      </c>
      <c r="N650" t="str">
        <f t="shared" si="83"/>
        <v>Within SLA</v>
      </c>
      <c r="O650" t="str">
        <f t="shared" si="87"/>
        <v>No Rating</v>
      </c>
      <c r="P650" t="str">
        <f t="shared" si="84"/>
        <v>Resolved</v>
      </c>
      <c r="Q650" s="2" t="str">
        <f t="shared" si="85"/>
        <v>Feb-2026</v>
      </c>
      <c r="R650" s="2">
        <f t="shared" si="86"/>
        <v>46054</v>
      </c>
    </row>
    <row r="651" spans="1:18">
      <c r="A651" t="s">
        <v>1330</v>
      </c>
      <c r="B651" s="2" t="s">
        <v>1331</v>
      </c>
      <c r="C651">
        <v>1547</v>
      </c>
      <c r="D651" t="s">
        <v>26</v>
      </c>
      <c r="E651" t="s">
        <v>33</v>
      </c>
      <c r="F651" t="s">
        <v>43</v>
      </c>
      <c r="G651">
        <v>218</v>
      </c>
      <c r="H651">
        <v>8434</v>
      </c>
      <c r="I651" t="s">
        <v>15</v>
      </c>
      <c r="J651">
        <v>5</v>
      </c>
      <c r="K651" s="1">
        <f t="shared" si="80"/>
        <v>46075</v>
      </c>
      <c r="L651" s="3">
        <f t="shared" si="81"/>
        <v>140.56666666666666</v>
      </c>
      <c r="M651" s="3">
        <f t="shared" si="82"/>
        <v>3.6333333333333333</v>
      </c>
      <c r="N651" t="str">
        <f t="shared" si="83"/>
        <v>Breached</v>
      </c>
      <c r="O651" t="str">
        <f t="shared" si="87"/>
        <v>Satisfied</v>
      </c>
      <c r="P651" t="str">
        <f t="shared" si="84"/>
        <v>Resolved</v>
      </c>
      <c r="Q651" s="2" t="str">
        <f t="shared" si="85"/>
        <v>Feb-2026</v>
      </c>
      <c r="R651" s="2">
        <f t="shared" si="86"/>
        <v>46054</v>
      </c>
    </row>
    <row r="652" spans="1:18">
      <c r="A652" t="s">
        <v>1332</v>
      </c>
      <c r="B652" s="2" t="s">
        <v>1333</v>
      </c>
      <c r="C652">
        <v>1212</v>
      </c>
      <c r="D652" t="s">
        <v>32</v>
      </c>
      <c r="E652" t="s">
        <v>19</v>
      </c>
      <c r="F652" t="s">
        <v>43</v>
      </c>
      <c r="G652">
        <v>46</v>
      </c>
      <c r="H652">
        <v>1224</v>
      </c>
      <c r="I652" t="s">
        <v>15</v>
      </c>
      <c r="K652" s="1">
        <f t="shared" si="80"/>
        <v>46076</v>
      </c>
      <c r="L652" s="3">
        <f t="shared" si="81"/>
        <v>20.399999999999999</v>
      </c>
      <c r="M652" s="3">
        <f t="shared" si="82"/>
        <v>0.76666666666666672</v>
      </c>
      <c r="N652" t="str">
        <f t="shared" si="83"/>
        <v>Within SLA</v>
      </c>
      <c r="O652" t="str">
        <f t="shared" si="87"/>
        <v>No Rating</v>
      </c>
      <c r="P652" t="str">
        <f t="shared" si="84"/>
        <v>Resolved</v>
      </c>
      <c r="Q652" s="2" t="str">
        <f t="shared" si="85"/>
        <v>Feb-2026</v>
      </c>
      <c r="R652" s="2">
        <f t="shared" si="86"/>
        <v>46054</v>
      </c>
    </row>
    <row r="653" spans="1:18">
      <c r="A653" t="s">
        <v>1334</v>
      </c>
      <c r="B653" s="2" t="s">
        <v>1335</v>
      </c>
      <c r="C653">
        <v>1843</v>
      </c>
      <c r="D653" t="s">
        <v>18</v>
      </c>
      <c r="E653" t="s">
        <v>33</v>
      </c>
      <c r="F653" t="s">
        <v>64</v>
      </c>
      <c r="G653">
        <v>235</v>
      </c>
      <c r="I653" t="s">
        <v>29</v>
      </c>
      <c r="K653" s="1">
        <f t="shared" si="80"/>
        <v>46076</v>
      </c>
      <c r="L653" s="3" t="str">
        <f t="shared" si="81"/>
        <v/>
      </c>
      <c r="M653" s="3">
        <f t="shared" si="82"/>
        <v>3.9166666666666665</v>
      </c>
      <c r="N653" t="str">
        <f t="shared" si="83"/>
        <v>Open</v>
      </c>
      <c r="O653" t="str">
        <f t="shared" si="87"/>
        <v>No Rating</v>
      </c>
      <c r="P653" t="str">
        <f t="shared" si="84"/>
        <v>Unresolved</v>
      </c>
      <c r="Q653" s="2" t="str">
        <f t="shared" si="85"/>
        <v>Feb-2026</v>
      </c>
      <c r="R653" s="2">
        <f t="shared" si="86"/>
        <v>46054</v>
      </c>
    </row>
    <row r="654" spans="1:18">
      <c r="A654" t="s">
        <v>1336</v>
      </c>
      <c r="B654" s="2" t="s">
        <v>1337</v>
      </c>
      <c r="C654">
        <v>1170</v>
      </c>
      <c r="D654" t="s">
        <v>26</v>
      </c>
      <c r="E654" t="s">
        <v>27</v>
      </c>
      <c r="F654" t="s">
        <v>71</v>
      </c>
      <c r="G654">
        <v>110</v>
      </c>
      <c r="H654">
        <v>2815</v>
      </c>
      <c r="I654" t="s">
        <v>20</v>
      </c>
      <c r="J654">
        <v>4</v>
      </c>
      <c r="K654" s="1">
        <f t="shared" si="80"/>
        <v>46076</v>
      </c>
      <c r="L654" s="3">
        <f t="shared" si="81"/>
        <v>46.916666666666664</v>
      </c>
      <c r="M654" s="3">
        <f t="shared" si="82"/>
        <v>1.8333333333333333</v>
      </c>
      <c r="N654" t="str">
        <f t="shared" si="83"/>
        <v>Within SLA</v>
      </c>
      <c r="O654" t="str">
        <f t="shared" si="87"/>
        <v>Satisfied</v>
      </c>
      <c r="P654" t="str">
        <f t="shared" si="84"/>
        <v>Resolved</v>
      </c>
      <c r="Q654" s="2" t="str">
        <f t="shared" si="85"/>
        <v>Feb-2026</v>
      </c>
      <c r="R654" s="2">
        <f t="shared" si="86"/>
        <v>46054</v>
      </c>
    </row>
    <row r="655" spans="1:18">
      <c r="A655" t="s">
        <v>1338</v>
      </c>
      <c r="B655" s="2" t="s">
        <v>1339</v>
      </c>
      <c r="C655">
        <v>1378</v>
      </c>
      <c r="D655" t="s">
        <v>18</v>
      </c>
      <c r="E655" t="s">
        <v>13</v>
      </c>
      <c r="F655" t="s">
        <v>43</v>
      </c>
      <c r="G655">
        <v>2</v>
      </c>
      <c r="H655">
        <v>383</v>
      </c>
      <c r="I655" t="s">
        <v>15</v>
      </c>
      <c r="J655">
        <v>3</v>
      </c>
      <c r="K655" s="1">
        <f t="shared" si="80"/>
        <v>46077</v>
      </c>
      <c r="L655" s="3">
        <f t="shared" si="81"/>
        <v>6.3833333333333337</v>
      </c>
      <c r="M655" s="3">
        <f t="shared" si="82"/>
        <v>3.3333333333333333E-2</v>
      </c>
      <c r="N655" t="str">
        <f t="shared" si="83"/>
        <v>Within SLA</v>
      </c>
      <c r="O655" t="str">
        <f t="shared" si="87"/>
        <v>Neutral</v>
      </c>
      <c r="P655" t="str">
        <f t="shared" si="84"/>
        <v>Resolved</v>
      </c>
      <c r="Q655" s="2" t="str">
        <f t="shared" si="85"/>
        <v>Feb-2026</v>
      </c>
      <c r="R655" s="2">
        <f t="shared" si="86"/>
        <v>46054</v>
      </c>
    </row>
    <row r="656" spans="1:18">
      <c r="A656" t="s">
        <v>1340</v>
      </c>
      <c r="B656" s="2" t="s">
        <v>1341</v>
      </c>
      <c r="C656">
        <v>1504</v>
      </c>
      <c r="D656" t="s">
        <v>26</v>
      </c>
      <c r="E656" t="s">
        <v>27</v>
      </c>
      <c r="F656" t="s">
        <v>34</v>
      </c>
      <c r="G656">
        <v>99</v>
      </c>
      <c r="H656">
        <v>1790</v>
      </c>
      <c r="I656" t="s">
        <v>15</v>
      </c>
      <c r="K656" s="1">
        <f t="shared" si="80"/>
        <v>46077</v>
      </c>
      <c r="L656" s="3">
        <f t="shared" si="81"/>
        <v>29.833333333333332</v>
      </c>
      <c r="M656" s="3">
        <f t="shared" si="82"/>
        <v>1.65</v>
      </c>
      <c r="N656" t="str">
        <f t="shared" si="83"/>
        <v>Within SLA</v>
      </c>
      <c r="O656" t="str">
        <f t="shared" si="87"/>
        <v>No Rating</v>
      </c>
      <c r="P656" t="str">
        <f t="shared" si="84"/>
        <v>Resolved</v>
      </c>
      <c r="Q656" s="2" t="str">
        <f t="shared" si="85"/>
        <v>Feb-2026</v>
      </c>
      <c r="R656" s="2">
        <f t="shared" si="86"/>
        <v>46054</v>
      </c>
    </row>
    <row r="657" spans="1:18">
      <c r="A657" t="s">
        <v>1342</v>
      </c>
      <c r="B657" s="2" t="s">
        <v>1343</v>
      </c>
      <c r="C657">
        <v>1888</v>
      </c>
      <c r="D657" t="s">
        <v>47</v>
      </c>
      <c r="E657" t="s">
        <v>27</v>
      </c>
      <c r="F657" t="s">
        <v>64</v>
      </c>
      <c r="G657">
        <v>92</v>
      </c>
      <c r="H657">
        <v>1594</v>
      </c>
      <c r="I657" t="s">
        <v>15</v>
      </c>
      <c r="K657" s="1">
        <f t="shared" si="80"/>
        <v>46078</v>
      </c>
      <c r="L657" s="3">
        <f t="shared" si="81"/>
        <v>26.566666666666666</v>
      </c>
      <c r="M657" s="3">
        <f t="shared" si="82"/>
        <v>1.5333333333333334</v>
      </c>
      <c r="N657" t="str">
        <f t="shared" si="83"/>
        <v>Within SLA</v>
      </c>
      <c r="O657" t="str">
        <f t="shared" si="87"/>
        <v>No Rating</v>
      </c>
      <c r="P657" t="str">
        <f t="shared" si="84"/>
        <v>Resolved</v>
      </c>
      <c r="Q657" s="2" t="str">
        <f t="shared" si="85"/>
        <v>Feb-2026</v>
      </c>
      <c r="R657" s="2">
        <f t="shared" si="86"/>
        <v>46054</v>
      </c>
    </row>
    <row r="658" spans="1:18">
      <c r="A658" t="s">
        <v>1344</v>
      </c>
      <c r="B658" s="2" t="s">
        <v>1345</v>
      </c>
      <c r="C658">
        <v>1751</v>
      </c>
      <c r="D658" t="s">
        <v>32</v>
      </c>
      <c r="E658" t="s">
        <v>13</v>
      </c>
      <c r="F658" t="s">
        <v>23</v>
      </c>
      <c r="G658">
        <v>12</v>
      </c>
      <c r="H658">
        <v>315</v>
      </c>
      <c r="I658" t="s">
        <v>20</v>
      </c>
      <c r="K658" s="1">
        <f t="shared" si="80"/>
        <v>46078</v>
      </c>
      <c r="L658" s="3">
        <f t="shared" si="81"/>
        <v>5.25</v>
      </c>
      <c r="M658" s="3">
        <f t="shared" si="82"/>
        <v>0.2</v>
      </c>
      <c r="N658" t="str">
        <f t="shared" si="83"/>
        <v>Within SLA</v>
      </c>
      <c r="O658" t="str">
        <f t="shared" si="87"/>
        <v>No Rating</v>
      </c>
      <c r="P658" t="str">
        <f t="shared" si="84"/>
        <v>Resolved</v>
      </c>
      <c r="Q658" s="2" t="str">
        <f t="shared" si="85"/>
        <v>Feb-2026</v>
      </c>
      <c r="R658" s="2">
        <f t="shared" si="86"/>
        <v>46054</v>
      </c>
    </row>
    <row r="659" spans="1:18">
      <c r="A659" t="s">
        <v>1346</v>
      </c>
      <c r="B659" s="2" t="s">
        <v>1347</v>
      </c>
      <c r="C659">
        <v>1979</v>
      </c>
      <c r="D659" t="s">
        <v>18</v>
      </c>
      <c r="E659" t="s">
        <v>33</v>
      </c>
      <c r="F659" t="s">
        <v>43</v>
      </c>
      <c r="G659">
        <v>141</v>
      </c>
      <c r="I659" t="s">
        <v>29</v>
      </c>
      <c r="K659" s="1">
        <f t="shared" si="80"/>
        <v>46078</v>
      </c>
      <c r="L659" s="3" t="str">
        <f t="shared" si="81"/>
        <v/>
      </c>
      <c r="M659" s="3">
        <f t="shared" si="82"/>
        <v>2.35</v>
      </c>
      <c r="N659" t="str">
        <f t="shared" si="83"/>
        <v>Open</v>
      </c>
      <c r="O659" t="str">
        <f t="shared" si="87"/>
        <v>No Rating</v>
      </c>
      <c r="P659" t="str">
        <f t="shared" si="84"/>
        <v>Unresolved</v>
      </c>
      <c r="Q659" s="2" t="str">
        <f t="shared" si="85"/>
        <v>Feb-2026</v>
      </c>
      <c r="R659" s="2">
        <f t="shared" si="86"/>
        <v>46054</v>
      </c>
    </row>
    <row r="660" spans="1:18">
      <c r="A660" t="s">
        <v>1348</v>
      </c>
      <c r="B660" s="2" t="s">
        <v>1349</v>
      </c>
      <c r="C660">
        <v>1432</v>
      </c>
      <c r="D660" t="s">
        <v>32</v>
      </c>
      <c r="E660" t="s">
        <v>19</v>
      </c>
      <c r="F660" t="s">
        <v>54</v>
      </c>
      <c r="G660">
        <v>27</v>
      </c>
      <c r="H660">
        <v>1123</v>
      </c>
      <c r="I660" t="s">
        <v>20</v>
      </c>
      <c r="J660">
        <v>4</v>
      </c>
      <c r="K660" s="1">
        <f t="shared" si="80"/>
        <v>46079</v>
      </c>
      <c r="L660" s="3">
        <f t="shared" si="81"/>
        <v>18.716666666666665</v>
      </c>
      <c r="M660" s="3">
        <f t="shared" si="82"/>
        <v>0.45</v>
      </c>
      <c r="N660" t="str">
        <f t="shared" si="83"/>
        <v>Within SLA</v>
      </c>
      <c r="O660" t="str">
        <f t="shared" si="87"/>
        <v>Satisfied</v>
      </c>
      <c r="P660" t="str">
        <f t="shared" si="84"/>
        <v>Resolved</v>
      </c>
      <c r="Q660" s="2" t="str">
        <f t="shared" si="85"/>
        <v>Feb-2026</v>
      </c>
      <c r="R660" s="2">
        <f t="shared" si="86"/>
        <v>46054</v>
      </c>
    </row>
    <row r="661" spans="1:18">
      <c r="A661" t="s">
        <v>1350</v>
      </c>
      <c r="B661" s="2" t="s">
        <v>1351</v>
      </c>
      <c r="C661">
        <v>1200</v>
      </c>
      <c r="D661" t="s">
        <v>26</v>
      </c>
      <c r="E661" t="s">
        <v>19</v>
      </c>
      <c r="F661" t="s">
        <v>54</v>
      </c>
      <c r="G661">
        <v>39</v>
      </c>
      <c r="H661">
        <v>839</v>
      </c>
      <c r="I661" t="s">
        <v>20</v>
      </c>
      <c r="J661">
        <v>5</v>
      </c>
      <c r="K661" s="1">
        <f t="shared" si="80"/>
        <v>46079</v>
      </c>
      <c r="L661" s="3">
        <f t="shared" si="81"/>
        <v>13.983333333333333</v>
      </c>
      <c r="M661" s="3">
        <f t="shared" si="82"/>
        <v>0.65</v>
      </c>
      <c r="N661" t="str">
        <f t="shared" si="83"/>
        <v>Within SLA</v>
      </c>
      <c r="O661" t="str">
        <f t="shared" si="87"/>
        <v>Satisfied</v>
      </c>
      <c r="P661" t="str">
        <f t="shared" si="84"/>
        <v>Resolved</v>
      </c>
      <c r="Q661" s="2" t="str">
        <f t="shared" si="85"/>
        <v>Feb-2026</v>
      </c>
      <c r="R661" s="2">
        <f t="shared" si="86"/>
        <v>46054</v>
      </c>
    </row>
    <row r="662" spans="1:18">
      <c r="A662" t="s">
        <v>1352</v>
      </c>
      <c r="B662" s="2" t="s">
        <v>1353</v>
      </c>
      <c r="C662">
        <v>1284</v>
      </c>
      <c r="D662" t="s">
        <v>47</v>
      </c>
      <c r="E662" t="s">
        <v>27</v>
      </c>
      <c r="F662" t="s">
        <v>28</v>
      </c>
      <c r="G662">
        <v>40</v>
      </c>
      <c r="H662">
        <v>2909</v>
      </c>
      <c r="I662" t="s">
        <v>15</v>
      </c>
      <c r="K662" s="1">
        <f t="shared" si="80"/>
        <v>46079</v>
      </c>
      <c r="L662" s="3">
        <f t="shared" si="81"/>
        <v>48.483333333333334</v>
      </c>
      <c r="M662" s="3">
        <f t="shared" si="82"/>
        <v>0.66666666666666663</v>
      </c>
      <c r="N662" t="str">
        <f t="shared" si="83"/>
        <v>Breached</v>
      </c>
      <c r="O662" t="str">
        <f t="shared" si="87"/>
        <v>No Rating</v>
      </c>
      <c r="P662" t="str">
        <f t="shared" si="84"/>
        <v>Resolved</v>
      </c>
      <c r="Q662" s="2" t="str">
        <f t="shared" si="85"/>
        <v>Feb-2026</v>
      </c>
      <c r="R662" s="2">
        <f t="shared" si="86"/>
        <v>46054</v>
      </c>
    </row>
    <row r="663" spans="1:18">
      <c r="A663" t="s">
        <v>1354</v>
      </c>
      <c r="B663" s="2" t="s">
        <v>1355</v>
      </c>
      <c r="C663">
        <v>1838</v>
      </c>
      <c r="D663" t="s">
        <v>12</v>
      </c>
      <c r="E663" t="s">
        <v>13</v>
      </c>
      <c r="F663" t="s">
        <v>54</v>
      </c>
      <c r="G663">
        <v>11</v>
      </c>
      <c r="H663">
        <v>419</v>
      </c>
      <c r="I663" t="s">
        <v>15</v>
      </c>
      <c r="J663">
        <v>1</v>
      </c>
      <c r="K663" s="1">
        <f t="shared" si="80"/>
        <v>46080</v>
      </c>
      <c r="L663" s="3">
        <f t="shared" si="81"/>
        <v>6.9833333333333334</v>
      </c>
      <c r="M663" s="3">
        <f t="shared" si="82"/>
        <v>0.18333333333333332</v>
      </c>
      <c r="N663" t="str">
        <f t="shared" si="83"/>
        <v>Within SLA</v>
      </c>
      <c r="O663" t="str">
        <f t="shared" si="87"/>
        <v>Dissatisfied</v>
      </c>
      <c r="P663" t="str">
        <f t="shared" si="84"/>
        <v>Resolved</v>
      </c>
      <c r="Q663" s="2" t="str">
        <f t="shared" si="85"/>
        <v>Feb-2026</v>
      </c>
      <c r="R663" s="2">
        <f t="shared" si="86"/>
        <v>46054</v>
      </c>
    </row>
    <row r="664" spans="1:18">
      <c r="A664" t="s">
        <v>1356</v>
      </c>
      <c r="B664" s="2" t="s">
        <v>1357</v>
      </c>
      <c r="C664">
        <v>1542</v>
      </c>
      <c r="D664" t="s">
        <v>12</v>
      </c>
      <c r="E664" t="s">
        <v>19</v>
      </c>
      <c r="F664" t="s">
        <v>59</v>
      </c>
      <c r="G664">
        <v>33</v>
      </c>
      <c r="H664">
        <v>506</v>
      </c>
      <c r="I664" t="s">
        <v>15</v>
      </c>
      <c r="J664">
        <v>4</v>
      </c>
      <c r="K664" s="1">
        <f t="shared" si="80"/>
        <v>46080</v>
      </c>
      <c r="L664" s="3">
        <f t="shared" si="81"/>
        <v>8.4333333333333336</v>
      </c>
      <c r="M664" s="3">
        <f t="shared" si="82"/>
        <v>0.55000000000000004</v>
      </c>
      <c r="N664" t="str">
        <f t="shared" si="83"/>
        <v>Within SLA</v>
      </c>
      <c r="O664" t="str">
        <f t="shared" si="87"/>
        <v>Satisfied</v>
      </c>
      <c r="P664" t="str">
        <f t="shared" si="84"/>
        <v>Resolved</v>
      </c>
      <c r="Q664" s="2" t="str">
        <f t="shared" si="85"/>
        <v>Feb-2026</v>
      </c>
      <c r="R664" s="2">
        <f t="shared" si="86"/>
        <v>46054</v>
      </c>
    </row>
    <row r="665" spans="1:18">
      <c r="A665" t="s">
        <v>1358</v>
      </c>
      <c r="B665" s="2" t="s">
        <v>1359</v>
      </c>
      <c r="C665">
        <v>1010</v>
      </c>
      <c r="D665" t="s">
        <v>32</v>
      </c>
      <c r="E665" t="s">
        <v>27</v>
      </c>
      <c r="F665" t="s">
        <v>71</v>
      </c>
      <c r="G665">
        <v>97</v>
      </c>
      <c r="H665">
        <v>1607</v>
      </c>
      <c r="I665" t="s">
        <v>15</v>
      </c>
      <c r="J665">
        <v>4</v>
      </c>
      <c r="K665" s="1">
        <f t="shared" si="80"/>
        <v>46080</v>
      </c>
      <c r="L665" s="3">
        <f t="shared" si="81"/>
        <v>26.783333333333335</v>
      </c>
      <c r="M665" s="3">
        <f t="shared" si="82"/>
        <v>1.6166666666666667</v>
      </c>
      <c r="N665" t="str">
        <f t="shared" si="83"/>
        <v>Within SLA</v>
      </c>
      <c r="O665" t="str">
        <f t="shared" si="87"/>
        <v>Satisfied</v>
      </c>
      <c r="P665" t="str">
        <f t="shared" si="84"/>
        <v>Resolved</v>
      </c>
      <c r="Q665" s="2" t="str">
        <f t="shared" si="85"/>
        <v>Feb-2026</v>
      </c>
      <c r="R665" s="2">
        <f t="shared" si="86"/>
        <v>46054</v>
      </c>
    </row>
    <row r="666" spans="1:18">
      <c r="A666" t="s">
        <v>1360</v>
      </c>
      <c r="B666" s="2" t="s">
        <v>1361</v>
      </c>
      <c r="C666">
        <v>1014</v>
      </c>
      <c r="D666" t="s">
        <v>26</v>
      </c>
      <c r="E666" t="s">
        <v>33</v>
      </c>
      <c r="F666" t="s">
        <v>14</v>
      </c>
      <c r="G666">
        <v>398</v>
      </c>
      <c r="H666">
        <v>8694</v>
      </c>
      <c r="I666" t="s">
        <v>15</v>
      </c>
      <c r="K666" s="1">
        <f t="shared" si="80"/>
        <v>46081</v>
      </c>
      <c r="L666" s="3">
        <f t="shared" si="81"/>
        <v>144.9</v>
      </c>
      <c r="M666" s="3">
        <f t="shared" si="82"/>
        <v>6.6333333333333337</v>
      </c>
      <c r="N666" t="str">
        <f t="shared" si="83"/>
        <v>Breached</v>
      </c>
      <c r="O666" t="str">
        <f t="shared" si="87"/>
        <v>No Rating</v>
      </c>
      <c r="P666" t="str">
        <f t="shared" si="84"/>
        <v>Resolved</v>
      </c>
      <c r="Q666" s="2" t="str">
        <f t="shared" si="85"/>
        <v>Feb-2026</v>
      </c>
      <c r="R666" s="2">
        <f t="shared" si="86"/>
        <v>46054</v>
      </c>
    </row>
    <row r="667" spans="1:18">
      <c r="A667" t="s">
        <v>1362</v>
      </c>
      <c r="B667" s="2" t="s">
        <v>1363</v>
      </c>
      <c r="C667">
        <v>1697</v>
      </c>
      <c r="D667" t="s">
        <v>32</v>
      </c>
      <c r="E667" t="s">
        <v>13</v>
      </c>
      <c r="F667" t="s">
        <v>59</v>
      </c>
      <c r="G667">
        <v>2</v>
      </c>
      <c r="H667">
        <v>288</v>
      </c>
      <c r="I667" t="s">
        <v>20</v>
      </c>
      <c r="K667" s="1">
        <f t="shared" si="80"/>
        <v>46081</v>
      </c>
      <c r="L667" s="3">
        <f t="shared" si="81"/>
        <v>4.8</v>
      </c>
      <c r="M667" s="3">
        <f t="shared" si="82"/>
        <v>3.3333333333333333E-2</v>
      </c>
      <c r="N667" t="str">
        <f t="shared" si="83"/>
        <v>Within SLA</v>
      </c>
      <c r="O667" t="str">
        <f t="shared" si="87"/>
        <v>No Rating</v>
      </c>
      <c r="P667" t="str">
        <f t="shared" si="84"/>
        <v>Resolved</v>
      </c>
      <c r="Q667" s="2" t="str">
        <f t="shared" si="85"/>
        <v>Feb-2026</v>
      </c>
      <c r="R667" s="2">
        <f t="shared" si="86"/>
        <v>46054</v>
      </c>
    </row>
    <row r="668" spans="1:18">
      <c r="A668" t="s">
        <v>1364</v>
      </c>
      <c r="B668" s="2" t="s">
        <v>1365</v>
      </c>
      <c r="C668">
        <v>1258</v>
      </c>
      <c r="D668" t="s">
        <v>47</v>
      </c>
      <c r="E668" t="s">
        <v>27</v>
      </c>
      <c r="F668" t="s">
        <v>71</v>
      </c>
      <c r="G668">
        <v>82</v>
      </c>
      <c r="I668" t="s">
        <v>44</v>
      </c>
      <c r="K668" s="1">
        <f t="shared" si="80"/>
        <v>46082</v>
      </c>
      <c r="L668" s="3" t="str">
        <f t="shared" si="81"/>
        <v/>
      </c>
      <c r="M668" s="3">
        <f t="shared" si="82"/>
        <v>1.3666666666666667</v>
      </c>
      <c r="N668" t="str">
        <f t="shared" si="83"/>
        <v>Open</v>
      </c>
      <c r="O668" t="str">
        <f t="shared" si="87"/>
        <v>No Rating</v>
      </c>
      <c r="P668" t="str">
        <f t="shared" si="84"/>
        <v>Unresolved</v>
      </c>
      <c r="Q668" s="2" t="str">
        <f t="shared" si="85"/>
        <v>Mar-2026</v>
      </c>
      <c r="R668" s="2">
        <f t="shared" si="86"/>
        <v>46082</v>
      </c>
    </row>
    <row r="669" spans="1:18">
      <c r="A669" t="s">
        <v>1366</v>
      </c>
      <c r="B669" s="2" t="s">
        <v>1367</v>
      </c>
      <c r="C669">
        <v>1314</v>
      </c>
      <c r="D669" t="s">
        <v>18</v>
      </c>
      <c r="E669" t="s">
        <v>13</v>
      </c>
      <c r="F669" t="s">
        <v>64</v>
      </c>
      <c r="G669">
        <v>10</v>
      </c>
      <c r="H669">
        <v>332</v>
      </c>
      <c r="I669" t="s">
        <v>15</v>
      </c>
      <c r="J669">
        <v>1</v>
      </c>
      <c r="K669" s="1">
        <f t="shared" si="80"/>
        <v>46082</v>
      </c>
      <c r="L669" s="3">
        <f t="shared" si="81"/>
        <v>5.5333333333333332</v>
      </c>
      <c r="M669" s="3">
        <f t="shared" si="82"/>
        <v>0.16666666666666666</v>
      </c>
      <c r="N669" t="str">
        <f t="shared" si="83"/>
        <v>Within SLA</v>
      </c>
      <c r="O669" t="str">
        <f t="shared" si="87"/>
        <v>Dissatisfied</v>
      </c>
      <c r="P669" t="str">
        <f t="shared" si="84"/>
        <v>Resolved</v>
      </c>
      <c r="Q669" s="2" t="str">
        <f t="shared" si="85"/>
        <v>Mar-2026</v>
      </c>
      <c r="R669" s="2">
        <f t="shared" si="86"/>
        <v>46082</v>
      </c>
    </row>
    <row r="670" spans="1:18">
      <c r="A670" t="s">
        <v>1368</v>
      </c>
      <c r="B670" s="2" t="s">
        <v>1369</v>
      </c>
      <c r="C670">
        <v>1546</v>
      </c>
      <c r="D670" t="s">
        <v>12</v>
      </c>
      <c r="E670" t="s">
        <v>19</v>
      </c>
      <c r="F670" t="s">
        <v>28</v>
      </c>
      <c r="G670">
        <v>17</v>
      </c>
      <c r="H670">
        <v>965</v>
      </c>
      <c r="I670" t="s">
        <v>20</v>
      </c>
      <c r="J670">
        <v>1</v>
      </c>
      <c r="K670" s="1">
        <f t="shared" si="80"/>
        <v>46082</v>
      </c>
      <c r="L670" s="3">
        <f t="shared" si="81"/>
        <v>16.083333333333332</v>
      </c>
      <c r="M670" s="3">
        <f t="shared" si="82"/>
        <v>0.28333333333333333</v>
      </c>
      <c r="N670" t="str">
        <f t="shared" si="83"/>
        <v>Within SLA</v>
      </c>
      <c r="O670" t="str">
        <f t="shared" si="87"/>
        <v>Dissatisfied</v>
      </c>
      <c r="P670" t="str">
        <f t="shared" si="84"/>
        <v>Resolved</v>
      </c>
      <c r="Q670" s="2" t="str">
        <f t="shared" si="85"/>
        <v>Mar-2026</v>
      </c>
      <c r="R670" s="2">
        <f t="shared" si="86"/>
        <v>46082</v>
      </c>
    </row>
    <row r="671" spans="1:18">
      <c r="A671" t="s">
        <v>1370</v>
      </c>
      <c r="B671" s="2" t="s">
        <v>1371</v>
      </c>
      <c r="C671">
        <v>1760</v>
      </c>
      <c r="D671" t="s">
        <v>12</v>
      </c>
      <c r="E671" t="s">
        <v>33</v>
      </c>
      <c r="F671" t="s">
        <v>43</v>
      </c>
      <c r="G671">
        <v>353</v>
      </c>
      <c r="H671">
        <v>5865</v>
      </c>
      <c r="I671" t="s">
        <v>20</v>
      </c>
      <c r="J671">
        <v>5</v>
      </c>
      <c r="K671" s="1">
        <f t="shared" si="80"/>
        <v>46083</v>
      </c>
      <c r="L671" s="3">
        <f t="shared" si="81"/>
        <v>97.75</v>
      </c>
      <c r="M671" s="3">
        <f t="shared" si="82"/>
        <v>5.8833333333333337</v>
      </c>
      <c r="N671" t="str">
        <f t="shared" si="83"/>
        <v>Breached</v>
      </c>
      <c r="O671" t="str">
        <f t="shared" si="87"/>
        <v>Satisfied</v>
      </c>
      <c r="P671" t="str">
        <f t="shared" si="84"/>
        <v>Resolved</v>
      </c>
      <c r="Q671" s="2" t="str">
        <f t="shared" si="85"/>
        <v>Mar-2026</v>
      </c>
      <c r="R671" s="2">
        <f t="shared" si="86"/>
        <v>46082</v>
      </c>
    </row>
    <row r="672" spans="1:18">
      <c r="A672" t="s">
        <v>1372</v>
      </c>
      <c r="B672" s="2" t="s">
        <v>1373</v>
      </c>
      <c r="C672">
        <v>1788</v>
      </c>
      <c r="D672" t="s">
        <v>32</v>
      </c>
      <c r="E672" t="s">
        <v>27</v>
      </c>
      <c r="F672" t="s">
        <v>54</v>
      </c>
      <c r="G672">
        <v>101</v>
      </c>
      <c r="H672">
        <v>1569</v>
      </c>
      <c r="I672" t="s">
        <v>15</v>
      </c>
      <c r="K672" s="1">
        <f t="shared" si="80"/>
        <v>46083</v>
      </c>
      <c r="L672" s="3">
        <f t="shared" si="81"/>
        <v>26.15</v>
      </c>
      <c r="M672" s="3">
        <f t="shared" si="82"/>
        <v>1.6833333333333333</v>
      </c>
      <c r="N672" t="str">
        <f t="shared" si="83"/>
        <v>Within SLA</v>
      </c>
      <c r="O672" t="str">
        <f t="shared" si="87"/>
        <v>No Rating</v>
      </c>
      <c r="P672" t="str">
        <f t="shared" si="84"/>
        <v>Resolved</v>
      </c>
      <c r="Q672" s="2" t="str">
        <f t="shared" si="85"/>
        <v>Mar-2026</v>
      </c>
      <c r="R672" s="2">
        <f t="shared" si="86"/>
        <v>46082</v>
      </c>
    </row>
    <row r="673" spans="1:18">
      <c r="A673" t="s">
        <v>1374</v>
      </c>
      <c r="B673" s="2" t="s">
        <v>1375</v>
      </c>
      <c r="C673">
        <v>1671</v>
      </c>
      <c r="D673" t="s">
        <v>47</v>
      </c>
      <c r="E673" t="s">
        <v>27</v>
      </c>
      <c r="F673" t="s">
        <v>28</v>
      </c>
      <c r="G673">
        <v>177</v>
      </c>
      <c r="H673">
        <v>602</v>
      </c>
      <c r="I673" t="s">
        <v>20</v>
      </c>
      <c r="J673">
        <v>1</v>
      </c>
      <c r="K673" s="1">
        <f t="shared" si="80"/>
        <v>46083</v>
      </c>
      <c r="L673" s="3">
        <f t="shared" si="81"/>
        <v>10.033333333333333</v>
      </c>
      <c r="M673" s="3">
        <f t="shared" si="82"/>
        <v>2.95</v>
      </c>
      <c r="N673" t="str">
        <f t="shared" si="83"/>
        <v>Within SLA</v>
      </c>
      <c r="O673" t="str">
        <f t="shared" si="87"/>
        <v>Dissatisfied</v>
      </c>
      <c r="P673" t="str">
        <f t="shared" si="84"/>
        <v>Resolved</v>
      </c>
      <c r="Q673" s="2" t="str">
        <f t="shared" si="85"/>
        <v>Mar-2026</v>
      </c>
      <c r="R673" s="2">
        <f t="shared" si="86"/>
        <v>46082</v>
      </c>
    </row>
    <row r="674" spans="1:18">
      <c r="A674" t="s">
        <v>1376</v>
      </c>
      <c r="B674" s="2" t="s">
        <v>1377</v>
      </c>
      <c r="C674">
        <v>1431</v>
      </c>
      <c r="D674" t="s">
        <v>32</v>
      </c>
      <c r="E674" t="s">
        <v>33</v>
      </c>
      <c r="F674" t="s">
        <v>34</v>
      </c>
      <c r="G674">
        <v>242</v>
      </c>
      <c r="H674">
        <v>4345</v>
      </c>
      <c r="I674" t="s">
        <v>20</v>
      </c>
      <c r="K674" s="1">
        <f t="shared" si="80"/>
        <v>46084</v>
      </c>
      <c r="L674" s="3">
        <f t="shared" si="81"/>
        <v>72.416666666666671</v>
      </c>
      <c r="M674" s="3">
        <f t="shared" si="82"/>
        <v>4.0333333333333332</v>
      </c>
      <c r="N674" t="str">
        <f t="shared" si="83"/>
        <v>Breached</v>
      </c>
      <c r="O674" t="str">
        <f t="shared" si="87"/>
        <v>No Rating</v>
      </c>
      <c r="P674" t="str">
        <f t="shared" si="84"/>
        <v>Resolved</v>
      </c>
      <c r="Q674" s="2" t="str">
        <f t="shared" si="85"/>
        <v>Mar-2026</v>
      </c>
      <c r="R674" s="2">
        <f t="shared" si="86"/>
        <v>46082</v>
      </c>
    </row>
    <row r="675" spans="1:18">
      <c r="A675" t="s">
        <v>1378</v>
      </c>
      <c r="B675" s="2" t="s">
        <v>1379</v>
      </c>
      <c r="C675">
        <v>1367</v>
      </c>
      <c r="D675" t="s">
        <v>26</v>
      </c>
      <c r="E675" t="s">
        <v>19</v>
      </c>
      <c r="F675" t="s">
        <v>14</v>
      </c>
      <c r="G675">
        <v>11</v>
      </c>
      <c r="H675">
        <v>861</v>
      </c>
      <c r="I675" t="s">
        <v>15</v>
      </c>
      <c r="J675">
        <v>1</v>
      </c>
      <c r="K675" s="1">
        <f t="shared" si="80"/>
        <v>46084</v>
      </c>
      <c r="L675" s="3">
        <f t="shared" si="81"/>
        <v>14.35</v>
      </c>
      <c r="M675" s="3">
        <f t="shared" si="82"/>
        <v>0.18333333333333332</v>
      </c>
      <c r="N675" t="str">
        <f t="shared" si="83"/>
        <v>Within SLA</v>
      </c>
      <c r="O675" t="str">
        <f t="shared" si="87"/>
        <v>Dissatisfied</v>
      </c>
      <c r="P675" t="str">
        <f t="shared" si="84"/>
        <v>Resolved</v>
      </c>
      <c r="Q675" s="2" t="str">
        <f t="shared" si="85"/>
        <v>Mar-2026</v>
      </c>
      <c r="R675" s="2">
        <f t="shared" si="86"/>
        <v>46082</v>
      </c>
    </row>
    <row r="676" spans="1:18">
      <c r="A676" t="s">
        <v>1380</v>
      </c>
      <c r="B676" s="2" t="s">
        <v>1381</v>
      </c>
      <c r="C676">
        <v>1481</v>
      </c>
      <c r="D676" t="s">
        <v>32</v>
      </c>
      <c r="E676" t="s">
        <v>13</v>
      </c>
      <c r="F676" t="s">
        <v>43</v>
      </c>
      <c r="G676">
        <v>4</v>
      </c>
      <c r="H676">
        <v>418</v>
      </c>
      <c r="I676" t="s">
        <v>15</v>
      </c>
      <c r="K676" s="1">
        <f t="shared" si="80"/>
        <v>46085</v>
      </c>
      <c r="L676" s="3">
        <f t="shared" si="81"/>
        <v>6.9666666666666668</v>
      </c>
      <c r="M676" s="3">
        <f t="shared" si="82"/>
        <v>6.6666666666666666E-2</v>
      </c>
      <c r="N676" t="str">
        <f t="shared" si="83"/>
        <v>Within SLA</v>
      </c>
      <c r="O676" t="str">
        <f t="shared" si="87"/>
        <v>No Rating</v>
      </c>
      <c r="P676" t="str">
        <f t="shared" si="84"/>
        <v>Resolved</v>
      </c>
      <c r="Q676" s="2" t="str">
        <f t="shared" si="85"/>
        <v>Mar-2026</v>
      </c>
      <c r="R676" s="2">
        <f t="shared" si="86"/>
        <v>46082</v>
      </c>
    </row>
    <row r="677" spans="1:18">
      <c r="A677" t="s">
        <v>1382</v>
      </c>
      <c r="B677" s="2" t="s">
        <v>1383</v>
      </c>
      <c r="C677">
        <v>1699</v>
      </c>
      <c r="D677" t="s">
        <v>12</v>
      </c>
      <c r="E677" t="s">
        <v>27</v>
      </c>
      <c r="F677" t="s">
        <v>14</v>
      </c>
      <c r="G677">
        <v>157</v>
      </c>
      <c r="H677">
        <v>744</v>
      </c>
      <c r="I677" t="s">
        <v>15</v>
      </c>
      <c r="J677">
        <v>2</v>
      </c>
      <c r="K677" s="1">
        <f t="shared" si="80"/>
        <v>46085</v>
      </c>
      <c r="L677" s="3">
        <f t="shared" si="81"/>
        <v>12.4</v>
      </c>
      <c r="M677" s="3">
        <f t="shared" si="82"/>
        <v>2.6166666666666667</v>
      </c>
      <c r="N677" t="str">
        <f t="shared" si="83"/>
        <v>Within SLA</v>
      </c>
      <c r="O677" t="str">
        <f t="shared" si="87"/>
        <v>Dissatisfied</v>
      </c>
      <c r="P677" t="str">
        <f t="shared" si="84"/>
        <v>Resolved</v>
      </c>
      <c r="Q677" s="2" t="str">
        <f t="shared" si="85"/>
        <v>Mar-2026</v>
      </c>
      <c r="R677" s="2">
        <f t="shared" si="86"/>
        <v>46082</v>
      </c>
    </row>
    <row r="678" spans="1:18">
      <c r="A678" t="s">
        <v>1384</v>
      </c>
      <c r="B678" s="2" t="s">
        <v>1385</v>
      </c>
      <c r="C678">
        <v>1351</v>
      </c>
      <c r="D678" t="s">
        <v>26</v>
      </c>
      <c r="E678" t="s">
        <v>33</v>
      </c>
      <c r="F678" t="s">
        <v>43</v>
      </c>
      <c r="G678">
        <v>295</v>
      </c>
      <c r="H678">
        <v>3830</v>
      </c>
      <c r="I678" t="s">
        <v>15</v>
      </c>
      <c r="J678">
        <v>5</v>
      </c>
      <c r="K678" s="1">
        <f t="shared" si="80"/>
        <v>46085</v>
      </c>
      <c r="L678" s="3">
        <f t="shared" si="81"/>
        <v>63.833333333333336</v>
      </c>
      <c r="M678" s="3">
        <f t="shared" si="82"/>
        <v>4.916666666666667</v>
      </c>
      <c r="N678" t="str">
        <f t="shared" si="83"/>
        <v>Within SLA</v>
      </c>
      <c r="O678" t="str">
        <f t="shared" si="87"/>
        <v>Satisfied</v>
      </c>
      <c r="P678" t="str">
        <f t="shared" si="84"/>
        <v>Resolved</v>
      </c>
      <c r="Q678" s="2" t="str">
        <f t="shared" si="85"/>
        <v>Mar-2026</v>
      </c>
      <c r="R678" s="2">
        <f t="shared" si="86"/>
        <v>46082</v>
      </c>
    </row>
    <row r="679" spans="1:18">
      <c r="A679" t="s">
        <v>1386</v>
      </c>
      <c r="B679" s="2" t="s">
        <v>1387</v>
      </c>
      <c r="C679">
        <v>1578</v>
      </c>
      <c r="D679" t="s">
        <v>18</v>
      </c>
      <c r="E679" t="s">
        <v>27</v>
      </c>
      <c r="F679" t="s">
        <v>64</v>
      </c>
      <c r="G679">
        <v>143</v>
      </c>
      <c r="H679">
        <v>3208</v>
      </c>
      <c r="I679" t="s">
        <v>20</v>
      </c>
      <c r="J679">
        <v>5</v>
      </c>
      <c r="K679" s="1">
        <f t="shared" si="80"/>
        <v>46086</v>
      </c>
      <c r="L679" s="3">
        <f t="shared" si="81"/>
        <v>53.466666666666669</v>
      </c>
      <c r="M679" s="3">
        <f t="shared" si="82"/>
        <v>2.3833333333333333</v>
      </c>
      <c r="N679" t="str">
        <f t="shared" si="83"/>
        <v>Breached</v>
      </c>
      <c r="O679" t="str">
        <f t="shared" si="87"/>
        <v>Satisfied</v>
      </c>
      <c r="P679" t="str">
        <f t="shared" si="84"/>
        <v>Resolved</v>
      </c>
      <c r="Q679" s="2" t="str">
        <f t="shared" si="85"/>
        <v>Mar-2026</v>
      </c>
      <c r="R679" s="2">
        <f t="shared" si="86"/>
        <v>46082</v>
      </c>
    </row>
    <row r="680" spans="1:18">
      <c r="A680" t="s">
        <v>1388</v>
      </c>
      <c r="B680" s="2" t="s">
        <v>1389</v>
      </c>
      <c r="C680">
        <v>1749</v>
      </c>
      <c r="D680" t="s">
        <v>18</v>
      </c>
      <c r="E680" t="s">
        <v>27</v>
      </c>
      <c r="F680" t="s">
        <v>34</v>
      </c>
      <c r="G680">
        <v>96</v>
      </c>
      <c r="H680">
        <v>2118</v>
      </c>
      <c r="I680" t="s">
        <v>15</v>
      </c>
      <c r="J680">
        <v>2</v>
      </c>
      <c r="K680" s="1">
        <f t="shared" si="80"/>
        <v>46086</v>
      </c>
      <c r="L680" s="3">
        <f t="shared" si="81"/>
        <v>35.299999999999997</v>
      </c>
      <c r="M680" s="3">
        <f t="shared" si="82"/>
        <v>1.6</v>
      </c>
      <c r="N680" t="str">
        <f t="shared" si="83"/>
        <v>Within SLA</v>
      </c>
      <c r="O680" t="str">
        <f t="shared" si="87"/>
        <v>Dissatisfied</v>
      </c>
      <c r="P680" t="str">
        <f t="shared" si="84"/>
        <v>Resolved</v>
      </c>
      <c r="Q680" s="2" t="str">
        <f t="shared" si="85"/>
        <v>Mar-2026</v>
      </c>
      <c r="R680" s="2">
        <f t="shared" si="86"/>
        <v>46082</v>
      </c>
    </row>
    <row r="681" spans="1:18">
      <c r="A681" t="s">
        <v>1390</v>
      </c>
      <c r="B681" s="2" t="s">
        <v>1391</v>
      </c>
      <c r="C681">
        <v>1062</v>
      </c>
      <c r="D681" t="s">
        <v>26</v>
      </c>
      <c r="E681" t="s">
        <v>27</v>
      </c>
      <c r="F681" t="s">
        <v>71</v>
      </c>
      <c r="G681">
        <v>124</v>
      </c>
      <c r="H681">
        <v>1281</v>
      </c>
      <c r="I681" t="s">
        <v>15</v>
      </c>
      <c r="K681" s="1">
        <f t="shared" si="80"/>
        <v>46086</v>
      </c>
      <c r="L681" s="3">
        <f t="shared" si="81"/>
        <v>21.35</v>
      </c>
      <c r="M681" s="3">
        <f t="shared" si="82"/>
        <v>2.0666666666666669</v>
      </c>
      <c r="N681" t="str">
        <f t="shared" si="83"/>
        <v>Within SLA</v>
      </c>
      <c r="O681" t="str">
        <f t="shared" si="87"/>
        <v>No Rating</v>
      </c>
      <c r="P681" t="str">
        <f t="shared" si="84"/>
        <v>Resolved</v>
      </c>
      <c r="Q681" s="2" t="str">
        <f t="shared" si="85"/>
        <v>Mar-2026</v>
      </c>
      <c r="R681" s="2">
        <f t="shared" si="86"/>
        <v>46082</v>
      </c>
    </row>
    <row r="682" spans="1:18">
      <c r="A682" t="s">
        <v>1392</v>
      </c>
      <c r="B682" s="2" t="s">
        <v>1393</v>
      </c>
      <c r="C682">
        <v>1379</v>
      </c>
      <c r="D682" t="s">
        <v>12</v>
      </c>
      <c r="E682" t="s">
        <v>27</v>
      </c>
      <c r="F682" t="s">
        <v>54</v>
      </c>
      <c r="G682">
        <v>166</v>
      </c>
      <c r="I682" t="s">
        <v>29</v>
      </c>
      <c r="K682" s="1">
        <f t="shared" si="80"/>
        <v>46087</v>
      </c>
      <c r="L682" s="3" t="str">
        <f t="shared" si="81"/>
        <v/>
      </c>
      <c r="M682" s="3">
        <f t="shared" si="82"/>
        <v>2.7666666666666666</v>
      </c>
      <c r="N682" t="str">
        <f t="shared" si="83"/>
        <v>Open</v>
      </c>
      <c r="O682" t="str">
        <f t="shared" si="87"/>
        <v>No Rating</v>
      </c>
      <c r="P682" t="str">
        <f t="shared" si="84"/>
        <v>Unresolved</v>
      </c>
      <c r="Q682" s="2" t="str">
        <f t="shared" si="85"/>
        <v>Mar-2026</v>
      </c>
      <c r="R682" s="2">
        <f t="shared" si="86"/>
        <v>46082</v>
      </c>
    </row>
    <row r="683" spans="1:18">
      <c r="A683" t="s">
        <v>1394</v>
      </c>
      <c r="B683" s="2" t="s">
        <v>1395</v>
      </c>
      <c r="C683">
        <v>1889</v>
      </c>
      <c r="D683" t="s">
        <v>18</v>
      </c>
      <c r="E683" t="s">
        <v>27</v>
      </c>
      <c r="F683" t="s">
        <v>43</v>
      </c>
      <c r="G683">
        <v>83</v>
      </c>
      <c r="H683">
        <v>792</v>
      </c>
      <c r="I683" t="s">
        <v>20</v>
      </c>
      <c r="J683">
        <v>2</v>
      </c>
      <c r="K683" s="1">
        <f t="shared" si="80"/>
        <v>46087</v>
      </c>
      <c r="L683" s="3">
        <f t="shared" si="81"/>
        <v>13.2</v>
      </c>
      <c r="M683" s="3">
        <f t="shared" si="82"/>
        <v>1.3833333333333333</v>
      </c>
      <c r="N683" t="str">
        <f t="shared" si="83"/>
        <v>Within SLA</v>
      </c>
      <c r="O683" t="str">
        <f t="shared" si="87"/>
        <v>Dissatisfied</v>
      </c>
      <c r="P683" t="str">
        <f t="shared" si="84"/>
        <v>Resolved</v>
      </c>
      <c r="Q683" s="2" t="str">
        <f t="shared" si="85"/>
        <v>Mar-2026</v>
      </c>
      <c r="R683" s="2">
        <f t="shared" si="86"/>
        <v>46082</v>
      </c>
    </row>
    <row r="684" spans="1:18">
      <c r="A684" t="s">
        <v>1396</v>
      </c>
      <c r="B684" s="2" t="s">
        <v>1397</v>
      </c>
      <c r="C684">
        <v>1089</v>
      </c>
      <c r="D684" t="s">
        <v>18</v>
      </c>
      <c r="E684" t="s">
        <v>13</v>
      </c>
      <c r="F684" t="s">
        <v>43</v>
      </c>
      <c r="G684">
        <v>8</v>
      </c>
      <c r="H684">
        <v>303</v>
      </c>
      <c r="I684" t="s">
        <v>15</v>
      </c>
      <c r="K684" s="1">
        <f t="shared" si="80"/>
        <v>46087</v>
      </c>
      <c r="L684" s="3">
        <f t="shared" si="81"/>
        <v>5.05</v>
      </c>
      <c r="M684" s="3">
        <f t="shared" si="82"/>
        <v>0.13333333333333333</v>
      </c>
      <c r="N684" t="str">
        <f t="shared" si="83"/>
        <v>Within SLA</v>
      </c>
      <c r="O684" t="str">
        <f t="shared" si="87"/>
        <v>No Rating</v>
      </c>
      <c r="P684" t="str">
        <f t="shared" si="84"/>
        <v>Resolved</v>
      </c>
      <c r="Q684" s="2" t="str">
        <f t="shared" si="85"/>
        <v>Mar-2026</v>
      </c>
      <c r="R684" s="2">
        <f t="shared" si="86"/>
        <v>46082</v>
      </c>
    </row>
    <row r="685" spans="1:18">
      <c r="A685" t="s">
        <v>1398</v>
      </c>
      <c r="B685" s="2" t="s">
        <v>1399</v>
      </c>
      <c r="C685">
        <v>1218</v>
      </c>
      <c r="D685" t="s">
        <v>26</v>
      </c>
      <c r="E685" t="s">
        <v>27</v>
      </c>
      <c r="F685" t="s">
        <v>71</v>
      </c>
      <c r="G685">
        <v>124</v>
      </c>
      <c r="H685">
        <v>838</v>
      </c>
      <c r="I685" t="s">
        <v>15</v>
      </c>
      <c r="K685" s="1">
        <f t="shared" si="80"/>
        <v>46088</v>
      </c>
      <c r="L685" s="3">
        <f t="shared" si="81"/>
        <v>13.966666666666667</v>
      </c>
      <c r="M685" s="3">
        <f t="shared" si="82"/>
        <v>2.0666666666666669</v>
      </c>
      <c r="N685" t="str">
        <f t="shared" si="83"/>
        <v>Within SLA</v>
      </c>
      <c r="O685" t="str">
        <f t="shared" si="87"/>
        <v>No Rating</v>
      </c>
      <c r="P685" t="str">
        <f t="shared" si="84"/>
        <v>Resolved</v>
      </c>
      <c r="Q685" s="2" t="str">
        <f t="shared" si="85"/>
        <v>Mar-2026</v>
      </c>
      <c r="R685" s="2">
        <f t="shared" si="86"/>
        <v>46082</v>
      </c>
    </row>
    <row r="686" spans="1:18">
      <c r="A686" t="s">
        <v>1400</v>
      </c>
      <c r="B686" s="2" t="s">
        <v>1401</v>
      </c>
      <c r="C686">
        <v>1792</v>
      </c>
      <c r="D686" t="s">
        <v>12</v>
      </c>
      <c r="E686" t="s">
        <v>33</v>
      </c>
      <c r="F686" t="s">
        <v>43</v>
      </c>
      <c r="G686">
        <v>349</v>
      </c>
      <c r="H686">
        <v>1431</v>
      </c>
      <c r="I686" t="s">
        <v>20</v>
      </c>
      <c r="J686">
        <v>5</v>
      </c>
      <c r="K686" s="1">
        <f t="shared" si="80"/>
        <v>46088</v>
      </c>
      <c r="L686" s="3">
        <f t="shared" si="81"/>
        <v>23.85</v>
      </c>
      <c r="M686" s="3">
        <f t="shared" si="82"/>
        <v>5.8166666666666664</v>
      </c>
      <c r="N686" t="str">
        <f t="shared" si="83"/>
        <v>Within SLA</v>
      </c>
      <c r="O686" t="str">
        <f t="shared" si="87"/>
        <v>Satisfied</v>
      </c>
      <c r="P686" t="str">
        <f t="shared" si="84"/>
        <v>Resolved</v>
      </c>
      <c r="Q686" s="2" t="str">
        <f t="shared" si="85"/>
        <v>Mar-2026</v>
      </c>
      <c r="R686" s="2">
        <f t="shared" si="86"/>
        <v>46082</v>
      </c>
    </row>
    <row r="687" spans="1:18">
      <c r="A687" t="s">
        <v>1402</v>
      </c>
      <c r="B687" s="2" t="s">
        <v>1403</v>
      </c>
      <c r="C687">
        <v>1988</v>
      </c>
      <c r="D687" t="s">
        <v>26</v>
      </c>
      <c r="E687" t="s">
        <v>27</v>
      </c>
      <c r="F687" t="s">
        <v>23</v>
      </c>
      <c r="G687">
        <v>46</v>
      </c>
      <c r="H687">
        <v>3363</v>
      </c>
      <c r="I687" t="s">
        <v>20</v>
      </c>
      <c r="K687" s="1">
        <f t="shared" si="80"/>
        <v>46089</v>
      </c>
      <c r="L687" s="3">
        <f t="shared" si="81"/>
        <v>56.05</v>
      </c>
      <c r="M687" s="3">
        <f t="shared" si="82"/>
        <v>0.76666666666666672</v>
      </c>
      <c r="N687" t="str">
        <f t="shared" si="83"/>
        <v>Breached</v>
      </c>
      <c r="O687" t="str">
        <f t="shared" si="87"/>
        <v>No Rating</v>
      </c>
      <c r="P687" t="str">
        <f t="shared" si="84"/>
        <v>Resolved</v>
      </c>
      <c r="Q687" s="2" t="str">
        <f t="shared" si="85"/>
        <v>Mar-2026</v>
      </c>
      <c r="R687" s="2">
        <f t="shared" si="86"/>
        <v>46082</v>
      </c>
    </row>
    <row r="688" spans="1:18">
      <c r="A688" t="s">
        <v>1404</v>
      </c>
      <c r="B688" s="2" t="s">
        <v>1405</v>
      </c>
      <c r="C688">
        <v>1909</v>
      </c>
      <c r="D688" t="s">
        <v>18</v>
      </c>
      <c r="E688" t="s">
        <v>19</v>
      </c>
      <c r="F688" t="s">
        <v>54</v>
      </c>
      <c r="G688">
        <v>12</v>
      </c>
      <c r="H688">
        <v>819</v>
      </c>
      <c r="I688" t="s">
        <v>15</v>
      </c>
      <c r="J688">
        <v>3</v>
      </c>
      <c r="K688" s="1">
        <f t="shared" si="80"/>
        <v>46089</v>
      </c>
      <c r="L688" s="3">
        <f t="shared" si="81"/>
        <v>13.65</v>
      </c>
      <c r="M688" s="3">
        <f t="shared" si="82"/>
        <v>0.2</v>
      </c>
      <c r="N688" t="str">
        <f t="shared" si="83"/>
        <v>Within SLA</v>
      </c>
      <c r="O688" t="str">
        <f t="shared" si="87"/>
        <v>Neutral</v>
      </c>
      <c r="P688" t="str">
        <f t="shared" si="84"/>
        <v>Resolved</v>
      </c>
      <c r="Q688" s="2" t="str">
        <f t="shared" si="85"/>
        <v>Mar-2026</v>
      </c>
      <c r="R688" s="2">
        <f t="shared" si="86"/>
        <v>46082</v>
      </c>
    </row>
    <row r="689" spans="1:18">
      <c r="A689" t="s">
        <v>1406</v>
      </c>
      <c r="B689" s="2" t="s">
        <v>1407</v>
      </c>
      <c r="C689">
        <v>1730</v>
      </c>
      <c r="D689" t="s">
        <v>26</v>
      </c>
      <c r="E689" t="s">
        <v>27</v>
      </c>
      <c r="F689" t="s">
        <v>14</v>
      </c>
      <c r="G689">
        <v>71</v>
      </c>
      <c r="H689">
        <v>1019</v>
      </c>
      <c r="I689" t="s">
        <v>15</v>
      </c>
      <c r="K689" s="1">
        <f t="shared" si="80"/>
        <v>46089</v>
      </c>
      <c r="L689" s="3">
        <f t="shared" si="81"/>
        <v>16.983333333333334</v>
      </c>
      <c r="M689" s="3">
        <f t="shared" si="82"/>
        <v>1.1833333333333333</v>
      </c>
      <c r="N689" t="str">
        <f t="shared" si="83"/>
        <v>Within SLA</v>
      </c>
      <c r="O689" t="str">
        <f t="shared" si="87"/>
        <v>No Rating</v>
      </c>
      <c r="P689" t="str">
        <f t="shared" si="84"/>
        <v>Resolved</v>
      </c>
      <c r="Q689" s="2" t="str">
        <f t="shared" si="85"/>
        <v>Mar-2026</v>
      </c>
      <c r="R689" s="2">
        <f t="shared" si="86"/>
        <v>46082</v>
      </c>
    </row>
    <row r="690" spans="1:18">
      <c r="A690" t="s">
        <v>1408</v>
      </c>
      <c r="B690" s="2" t="s">
        <v>1409</v>
      </c>
      <c r="C690">
        <v>1630</v>
      </c>
      <c r="D690" t="s">
        <v>47</v>
      </c>
      <c r="E690" t="s">
        <v>27</v>
      </c>
      <c r="F690" t="s">
        <v>71</v>
      </c>
      <c r="G690">
        <v>69</v>
      </c>
      <c r="H690">
        <v>808</v>
      </c>
      <c r="I690" t="s">
        <v>15</v>
      </c>
      <c r="K690" s="1">
        <f t="shared" si="80"/>
        <v>46090</v>
      </c>
      <c r="L690" s="3">
        <f t="shared" si="81"/>
        <v>13.466666666666667</v>
      </c>
      <c r="M690" s="3">
        <f t="shared" si="82"/>
        <v>1.1499999999999999</v>
      </c>
      <c r="N690" t="str">
        <f t="shared" si="83"/>
        <v>Within SLA</v>
      </c>
      <c r="O690" t="str">
        <f t="shared" si="87"/>
        <v>No Rating</v>
      </c>
      <c r="P690" t="str">
        <f t="shared" si="84"/>
        <v>Resolved</v>
      </c>
      <c r="Q690" s="2" t="str">
        <f t="shared" si="85"/>
        <v>Mar-2026</v>
      </c>
      <c r="R690" s="2">
        <f t="shared" si="86"/>
        <v>46082</v>
      </c>
    </row>
    <row r="691" spans="1:18">
      <c r="A691" t="s">
        <v>1410</v>
      </c>
      <c r="B691" s="2" t="s">
        <v>1411</v>
      </c>
      <c r="C691">
        <v>1287</v>
      </c>
      <c r="D691" t="s">
        <v>12</v>
      </c>
      <c r="E691" t="s">
        <v>13</v>
      </c>
      <c r="F691" t="s">
        <v>59</v>
      </c>
      <c r="G691">
        <v>9</v>
      </c>
      <c r="H691">
        <v>341</v>
      </c>
      <c r="I691" t="s">
        <v>20</v>
      </c>
      <c r="K691" s="1">
        <f t="shared" si="80"/>
        <v>46090</v>
      </c>
      <c r="L691" s="3">
        <f t="shared" si="81"/>
        <v>5.6833333333333336</v>
      </c>
      <c r="M691" s="3">
        <f t="shared" si="82"/>
        <v>0.15</v>
      </c>
      <c r="N691" t="str">
        <f t="shared" si="83"/>
        <v>Within SLA</v>
      </c>
      <c r="O691" t="str">
        <f t="shared" si="87"/>
        <v>No Rating</v>
      </c>
      <c r="P691" t="str">
        <f t="shared" si="84"/>
        <v>Resolved</v>
      </c>
      <c r="Q691" s="2" t="str">
        <f t="shared" si="85"/>
        <v>Mar-2026</v>
      </c>
      <c r="R691" s="2">
        <f t="shared" si="86"/>
        <v>46082</v>
      </c>
    </row>
    <row r="692" spans="1:18">
      <c r="A692" t="s">
        <v>1412</v>
      </c>
      <c r="B692" s="2" t="s">
        <v>1413</v>
      </c>
      <c r="C692">
        <v>1129</v>
      </c>
      <c r="D692" t="s">
        <v>26</v>
      </c>
      <c r="E692" t="s">
        <v>27</v>
      </c>
      <c r="F692" t="s">
        <v>23</v>
      </c>
      <c r="G692">
        <v>83</v>
      </c>
      <c r="H692">
        <v>1990</v>
      </c>
      <c r="I692" t="s">
        <v>15</v>
      </c>
      <c r="K692" s="1">
        <f t="shared" si="80"/>
        <v>46090</v>
      </c>
      <c r="L692" s="3">
        <f t="shared" si="81"/>
        <v>33.166666666666664</v>
      </c>
      <c r="M692" s="3">
        <f t="shared" si="82"/>
        <v>1.3833333333333333</v>
      </c>
      <c r="N692" t="str">
        <f t="shared" si="83"/>
        <v>Within SLA</v>
      </c>
      <c r="O692" t="str">
        <f t="shared" si="87"/>
        <v>No Rating</v>
      </c>
      <c r="P692" t="str">
        <f t="shared" si="84"/>
        <v>Resolved</v>
      </c>
      <c r="Q692" s="2" t="str">
        <f t="shared" si="85"/>
        <v>Mar-2026</v>
      </c>
      <c r="R692" s="2">
        <f t="shared" si="86"/>
        <v>46082</v>
      </c>
    </row>
    <row r="693" spans="1:18">
      <c r="A693" t="s">
        <v>1414</v>
      </c>
      <c r="B693" s="2" t="s">
        <v>1415</v>
      </c>
      <c r="C693">
        <v>1320</v>
      </c>
      <c r="D693" t="s">
        <v>26</v>
      </c>
      <c r="E693" t="s">
        <v>33</v>
      </c>
      <c r="F693" t="s">
        <v>71</v>
      </c>
      <c r="G693">
        <v>223</v>
      </c>
      <c r="H693">
        <v>1663</v>
      </c>
      <c r="I693" t="s">
        <v>15</v>
      </c>
      <c r="J693">
        <v>3</v>
      </c>
      <c r="K693" s="1">
        <f t="shared" si="80"/>
        <v>46091</v>
      </c>
      <c r="L693" s="3">
        <f t="shared" si="81"/>
        <v>27.716666666666665</v>
      </c>
      <c r="M693" s="3">
        <f t="shared" si="82"/>
        <v>3.7166666666666668</v>
      </c>
      <c r="N693" t="str">
        <f t="shared" si="83"/>
        <v>Within SLA</v>
      </c>
      <c r="O693" t="str">
        <f t="shared" si="87"/>
        <v>Neutral</v>
      </c>
      <c r="P693" t="str">
        <f t="shared" si="84"/>
        <v>Resolved</v>
      </c>
      <c r="Q693" s="2" t="str">
        <f t="shared" si="85"/>
        <v>Mar-2026</v>
      </c>
      <c r="R693" s="2">
        <f t="shared" si="86"/>
        <v>46082</v>
      </c>
    </row>
    <row r="694" spans="1:18">
      <c r="A694" t="s">
        <v>1416</v>
      </c>
      <c r="B694" s="2" t="s">
        <v>1417</v>
      </c>
      <c r="C694">
        <v>1082</v>
      </c>
      <c r="D694" t="s">
        <v>32</v>
      </c>
      <c r="E694" t="s">
        <v>27</v>
      </c>
      <c r="F694" t="s">
        <v>28</v>
      </c>
      <c r="G694">
        <v>123</v>
      </c>
      <c r="H694">
        <v>978</v>
      </c>
      <c r="I694" t="s">
        <v>15</v>
      </c>
      <c r="J694">
        <v>2</v>
      </c>
      <c r="K694" s="1">
        <f t="shared" si="80"/>
        <v>46091</v>
      </c>
      <c r="L694" s="3">
        <f t="shared" si="81"/>
        <v>16.3</v>
      </c>
      <c r="M694" s="3">
        <f t="shared" si="82"/>
        <v>2.0499999999999998</v>
      </c>
      <c r="N694" t="str">
        <f t="shared" si="83"/>
        <v>Within SLA</v>
      </c>
      <c r="O694" t="str">
        <f t="shared" si="87"/>
        <v>Dissatisfied</v>
      </c>
      <c r="P694" t="str">
        <f t="shared" si="84"/>
        <v>Resolved</v>
      </c>
      <c r="Q694" s="2" t="str">
        <f t="shared" si="85"/>
        <v>Mar-2026</v>
      </c>
      <c r="R694" s="2">
        <f t="shared" si="86"/>
        <v>46082</v>
      </c>
    </row>
    <row r="695" spans="1:18">
      <c r="A695" t="s">
        <v>1418</v>
      </c>
      <c r="B695" s="2" t="s">
        <v>1419</v>
      </c>
      <c r="C695">
        <v>1972</v>
      </c>
      <c r="D695" t="s">
        <v>47</v>
      </c>
      <c r="E695" t="s">
        <v>27</v>
      </c>
      <c r="F695" t="s">
        <v>71</v>
      </c>
      <c r="G695">
        <v>36</v>
      </c>
      <c r="H695">
        <v>3035</v>
      </c>
      <c r="I695" t="s">
        <v>15</v>
      </c>
      <c r="J695">
        <v>4</v>
      </c>
      <c r="K695" s="1">
        <f t="shared" si="80"/>
        <v>46091</v>
      </c>
      <c r="L695" s="3">
        <f t="shared" si="81"/>
        <v>50.583333333333336</v>
      </c>
      <c r="M695" s="3">
        <f t="shared" si="82"/>
        <v>0.6</v>
      </c>
      <c r="N695" t="str">
        <f t="shared" si="83"/>
        <v>Breached</v>
      </c>
      <c r="O695" t="str">
        <f t="shared" si="87"/>
        <v>Satisfied</v>
      </c>
      <c r="P695" t="str">
        <f t="shared" si="84"/>
        <v>Resolved</v>
      </c>
      <c r="Q695" s="2" t="str">
        <f t="shared" si="85"/>
        <v>Mar-2026</v>
      </c>
      <c r="R695" s="2">
        <f t="shared" si="86"/>
        <v>46082</v>
      </c>
    </row>
    <row r="696" spans="1:18">
      <c r="A696" t="s">
        <v>1420</v>
      </c>
      <c r="B696" s="2" t="s">
        <v>1421</v>
      </c>
      <c r="C696">
        <v>1350</v>
      </c>
      <c r="D696" t="s">
        <v>32</v>
      </c>
      <c r="E696" t="s">
        <v>19</v>
      </c>
      <c r="F696" t="s">
        <v>54</v>
      </c>
      <c r="G696">
        <v>22</v>
      </c>
      <c r="H696">
        <v>952</v>
      </c>
      <c r="I696" t="s">
        <v>15</v>
      </c>
      <c r="J696">
        <v>1</v>
      </c>
      <c r="K696" s="1">
        <f t="shared" si="80"/>
        <v>46092</v>
      </c>
      <c r="L696" s="3">
        <f t="shared" si="81"/>
        <v>15.866666666666667</v>
      </c>
      <c r="M696" s="3">
        <f t="shared" si="82"/>
        <v>0.36666666666666664</v>
      </c>
      <c r="N696" t="str">
        <f t="shared" si="83"/>
        <v>Within SLA</v>
      </c>
      <c r="O696" t="str">
        <f t="shared" si="87"/>
        <v>Dissatisfied</v>
      </c>
      <c r="P696" t="str">
        <f t="shared" si="84"/>
        <v>Resolved</v>
      </c>
      <c r="Q696" s="2" t="str">
        <f t="shared" si="85"/>
        <v>Mar-2026</v>
      </c>
      <c r="R696" s="2">
        <f t="shared" si="86"/>
        <v>46082</v>
      </c>
    </row>
    <row r="697" spans="1:18">
      <c r="A697" t="s">
        <v>1422</v>
      </c>
      <c r="B697" s="2" t="s">
        <v>1423</v>
      </c>
      <c r="C697">
        <v>1591</v>
      </c>
      <c r="D697" t="s">
        <v>18</v>
      </c>
      <c r="E697" t="s">
        <v>27</v>
      </c>
      <c r="F697" t="s">
        <v>71</v>
      </c>
      <c r="G697">
        <v>71</v>
      </c>
      <c r="H697">
        <v>2418</v>
      </c>
      <c r="I697" t="s">
        <v>15</v>
      </c>
      <c r="J697">
        <v>1</v>
      </c>
      <c r="K697" s="1">
        <f t="shared" si="80"/>
        <v>46092</v>
      </c>
      <c r="L697" s="3">
        <f t="shared" si="81"/>
        <v>40.299999999999997</v>
      </c>
      <c r="M697" s="3">
        <f t="shared" si="82"/>
        <v>1.1833333333333333</v>
      </c>
      <c r="N697" t="str">
        <f t="shared" si="83"/>
        <v>Within SLA</v>
      </c>
      <c r="O697" t="str">
        <f t="shared" si="87"/>
        <v>Dissatisfied</v>
      </c>
      <c r="P697" t="str">
        <f t="shared" si="84"/>
        <v>Resolved</v>
      </c>
      <c r="Q697" s="2" t="str">
        <f t="shared" si="85"/>
        <v>Mar-2026</v>
      </c>
      <c r="R697" s="2">
        <f t="shared" si="86"/>
        <v>46082</v>
      </c>
    </row>
    <row r="698" spans="1:18">
      <c r="A698" t="s">
        <v>1424</v>
      </c>
      <c r="B698" s="2" t="s">
        <v>1425</v>
      </c>
      <c r="C698">
        <v>1268</v>
      </c>
      <c r="D698" t="s">
        <v>12</v>
      </c>
      <c r="E698" t="s">
        <v>27</v>
      </c>
      <c r="F698" t="s">
        <v>64</v>
      </c>
      <c r="G698">
        <v>148</v>
      </c>
      <c r="H698">
        <v>3115</v>
      </c>
      <c r="I698" t="s">
        <v>15</v>
      </c>
      <c r="J698">
        <v>4</v>
      </c>
      <c r="K698" s="1">
        <f t="shared" si="80"/>
        <v>46093</v>
      </c>
      <c r="L698" s="3">
        <f t="shared" si="81"/>
        <v>51.916666666666664</v>
      </c>
      <c r="M698" s="3">
        <f t="shared" si="82"/>
        <v>2.4666666666666668</v>
      </c>
      <c r="N698" t="str">
        <f t="shared" si="83"/>
        <v>Breached</v>
      </c>
      <c r="O698" t="str">
        <f t="shared" si="87"/>
        <v>Satisfied</v>
      </c>
      <c r="P698" t="str">
        <f t="shared" si="84"/>
        <v>Resolved</v>
      </c>
      <c r="Q698" s="2" t="str">
        <f t="shared" si="85"/>
        <v>Mar-2026</v>
      </c>
      <c r="R698" s="2">
        <f t="shared" si="86"/>
        <v>46082</v>
      </c>
    </row>
    <row r="699" spans="1:18">
      <c r="A699" t="s">
        <v>1426</v>
      </c>
      <c r="B699" s="2" t="s">
        <v>1427</v>
      </c>
      <c r="C699">
        <v>1510</v>
      </c>
      <c r="D699" t="s">
        <v>26</v>
      </c>
      <c r="E699" t="s">
        <v>27</v>
      </c>
      <c r="F699" t="s">
        <v>23</v>
      </c>
      <c r="G699">
        <v>42</v>
      </c>
      <c r="H699">
        <v>2853</v>
      </c>
      <c r="I699" t="s">
        <v>15</v>
      </c>
      <c r="J699">
        <v>2</v>
      </c>
      <c r="K699" s="1">
        <f t="shared" si="80"/>
        <v>46093</v>
      </c>
      <c r="L699" s="3">
        <f t="shared" si="81"/>
        <v>47.55</v>
      </c>
      <c r="M699" s="3">
        <f t="shared" si="82"/>
        <v>0.7</v>
      </c>
      <c r="N699" t="str">
        <f t="shared" si="83"/>
        <v>Within SLA</v>
      </c>
      <c r="O699" t="str">
        <f t="shared" si="87"/>
        <v>Dissatisfied</v>
      </c>
      <c r="P699" t="str">
        <f t="shared" si="84"/>
        <v>Resolved</v>
      </c>
      <c r="Q699" s="2" t="str">
        <f t="shared" si="85"/>
        <v>Mar-2026</v>
      </c>
      <c r="R699" s="2">
        <f t="shared" si="86"/>
        <v>46082</v>
      </c>
    </row>
    <row r="700" spans="1:18">
      <c r="A700" t="s">
        <v>1428</v>
      </c>
      <c r="B700" s="2" t="s">
        <v>1429</v>
      </c>
      <c r="C700">
        <v>1294</v>
      </c>
      <c r="D700" t="s">
        <v>47</v>
      </c>
      <c r="E700" t="s">
        <v>33</v>
      </c>
      <c r="F700" t="s">
        <v>64</v>
      </c>
      <c r="G700">
        <v>290</v>
      </c>
      <c r="I700" t="s">
        <v>29</v>
      </c>
      <c r="K700" s="1">
        <f t="shared" si="80"/>
        <v>46093</v>
      </c>
      <c r="L700" s="3" t="str">
        <f t="shared" si="81"/>
        <v/>
      </c>
      <c r="M700" s="3">
        <f t="shared" si="82"/>
        <v>4.833333333333333</v>
      </c>
      <c r="N700" t="str">
        <f t="shared" si="83"/>
        <v>Open</v>
      </c>
      <c r="O700" t="str">
        <f t="shared" si="87"/>
        <v>No Rating</v>
      </c>
      <c r="P700" t="str">
        <f t="shared" si="84"/>
        <v>Unresolved</v>
      </c>
      <c r="Q700" s="2" t="str">
        <f t="shared" si="85"/>
        <v>Mar-2026</v>
      </c>
      <c r="R700" s="2">
        <f t="shared" si="86"/>
        <v>46082</v>
      </c>
    </row>
    <row r="701" spans="1:18">
      <c r="A701" t="s">
        <v>1430</v>
      </c>
      <c r="B701" s="2" t="s">
        <v>1431</v>
      </c>
      <c r="C701">
        <v>1780</v>
      </c>
      <c r="D701" t="s">
        <v>18</v>
      </c>
      <c r="E701" t="s">
        <v>27</v>
      </c>
      <c r="F701" t="s">
        <v>34</v>
      </c>
      <c r="G701">
        <v>165</v>
      </c>
      <c r="H701">
        <v>1094</v>
      </c>
      <c r="I701" t="s">
        <v>15</v>
      </c>
      <c r="J701">
        <v>3</v>
      </c>
      <c r="K701" s="1">
        <f t="shared" si="80"/>
        <v>46094</v>
      </c>
      <c r="L701" s="3">
        <f t="shared" si="81"/>
        <v>18.233333333333334</v>
      </c>
      <c r="M701" s="3">
        <f t="shared" si="82"/>
        <v>2.75</v>
      </c>
      <c r="N701" t="str">
        <f t="shared" si="83"/>
        <v>Within SLA</v>
      </c>
      <c r="O701" t="str">
        <f t="shared" si="87"/>
        <v>Neutral</v>
      </c>
      <c r="P701" t="str">
        <f t="shared" si="84"/>
        <v>Resolved</v>
      </c>
      <c r="Q701" s="2" t="str">
        <f t="shared" si="85"/>
        <v>Mar-2026</v>
      </c>
      <c r="R701" s="2">
        <f t="shared" si="86"/>
        <v>46082</v>
      </c>
    </row>
    <row r="702" spans="1:18">
      <c r="A702" t="s">
        <v>1432</v>
      </c>
      <c r="B702" s="2" t="s">
        <v>1433</v>
      </c>
      <c r="C702">
        <v>1977</v>
      </c>
      <c r="D702" t="s">
        <v>18</v>
      </c>
      <c r="E702" t="s">
        <v>27</v>
      </c>
      <c r="F702" t="s">
        <v>28</v>
      </c>
      <c r="G702">
        <v>118</v>
      </c>
      <c r="H702">
        <v>3299</v>
      </c>
      <c r="I702" t="s">
        <v>15</v>
      </c>
      <c r="J702">
        <v>1</v>
      </c>
      <c r="K702" s="1">
        <f t="shared" si="80"/>
        <v>46094</v>
      </c>
      <c r="L702" s="3">
        <f t="shared" si="81"/>
        <v>54.983333333333334</v>
      </c>
      <c r="M702" s="3">
        <f t="shared" si="82"/>
        <v>1.9666666666666666</v>
      </c>
      <c r="N702" t="str">
        <f t="shared" si="83"/>
        <v>Breached</v>
      </c>
      <c r="O702" t="str">
        <f t="shared" si="87"/>
        <v>Dissatisfied</v>
      </c>
      <c r="P702" t="str">
        <f t="shared" si="84"/>
        <v>Resolved</v>
      </c>
      <c r="Q702" s="2" t="str">
        <f t="shared" si="85"/>
        <v>Mar-2026</v>
      </c>
      <c r="R702" s="2">
        <f t="shared" si="86"/>
        <v>46082</v>
      </c>
    </row>
    <row r="703" spans="1:18">
      <c r="A703" t="s">
        <v>1434</v>
      </c>
      <c r="B703" s="2" t="s">
        <v>1435</v>
      </c>
      <c r="C703">
        <v>1515</v>
      </c>
      <c r="D703" t="s">
        <v>47</v>
      </c>
      <c r="E703" t="s">
        <v>33</v>
      </c>
      <c r="F703" t="s">
        <v>43</v>
      </c>
      <c r="G703">
        <v>366</v>
      </c>
      <c r="H703">
        <v>3468</v>
      </c>
      <c r="I703" t="s">
        <v>15</v>
      </c>
      <c r="J703">
        <v>2</v>
      </c>
      <c r="K703" s="1">
        <f t="shared" si="80"/>
        <v>46094</v>
      </c>
      <c r="L703" s="3">
        <f t="shared" si="81"/>
        <v>57.8</v>
      </c>
      <c r="M703" s="3">
        <f t="shared" si="82"/>
        <v>6.1</v>
      </c>
      <c r="N703" t="str">
        <f t="shared" si="83"/>
        <v>Within SLA</v>
      </c>
      <c r="O703" t="str">
        <f t="shared" si="87"/>
        <v>Dissatisfied</v>
      </c>
      <c r="P703" t="str">
        <f t="shared" si="84"/>
        <v>Resolved</v>
      </c>
      <c r="Q703" s="2" t="str">
        <f t="shared" si="85"/>
        <v>Mar-2026</v>
      </c>
      <c r="R703" s="2">
        <f t="shared" si="86"/>
        <v>46082</v>
      </c>
    </row>
    <row r="704" spans="1:18">
      <c r="A704" t="s">
        <v>1436</v>
      </c>
      <c r="B704" s="2" t="s">
        <v>1437</v>
      </c>
      <c r="C704">
        <v>1668</v>
      </c>
      <c r="D704" t="s">
        <v>47</v>
      </c>
      <c r="E704" t="s">
        <v>19</v>
      </c>
      <c r="F704" t="s">
        <v>54</v>
      </c>
      <c r="G704">
        <v>45</v>
      </c>
      <c r="H704">
        <v>605</v>
      </c>
      <c r="I704" t="s">
        <v>15</v>
      </c>
      <c r="J704">
        <v>3</v>
      </c>
      <c r="K704" s="1">
        <f t="shared" si="80"/>
        <v>46095</v>
      </c>
      <c r="L704" s="3">
        <f t="shared" si="81"/>
        <v>10.083333333333334</v>
      </c>
      <c r="M704" s="3">
        <f t="shared" si="82"/>
        <v>0.75</v>
      </c>
      <c r="N704" t="str">
        <f t="shared" si="83"/>
        <v>Within SLA</v>
      </c>
      <c r="O704" t="str">
        <f t="shared" si="87"/>
        <v>Neutral</v>
      </c>
      <c r="P704" t="str">
        <f t="shared" si="84"/>
        <v>Resolved</v>
      </c>
      <c r="Q704" s="2" t="str">
        <f t="shared" si="85"/>
        <v>Mar-2026</v>
      </c>
      <c r="R704" s="2">
        <f t="shared" si="86"/>
        <v>46082</v>
      </c>
    </row>
    <row r="705" spans="1:18">
      <c r="A705" t="s">
        <v>1438</v>
      </c>
      <c r="B705" s="2" t="s">
        <v>1439</v>
      </c>
      <c r="C705">
        <v>1128</v>
      </c>
      <c r="D705" t="s">
        <v>26</v>
      </c>
      <c r="E705" t="s">
        <v>27</v>
      </c>
      <c r="F705" t="s">
        <v>43</v>
      </c>
      <c r="G705">
        <v>75</v>
      </c>
      <c r="H705">
        <v>492</v>
      </c>
      <c r="I705" t="s">
        <v>20</v>
      </c>
      <c r="K705" s="1">
        <f t="shared" si="80"/>
        <v>46095</v>
      </c>
      <c r="L705" s="3">
        <f t="shared" si="81"/>
        <v>8.1999999999999993</v>
      </c>
      <c r="M705" s="3">
        <f t="shared" si="82"/>
        <v>1.25</v>
      </c>
      <c r="N705" t="str">
        <f t="shared" si="83"/>
        <v>Within SLA</v>
      </c>
      <c r="O705" t="str">
        <f t="shared" si="87"/>
        <v>No Rating</v>
      </c>
      <c r="P705" t="str">
        <f t="shared" si="84"/>
        <v>Resolved</v>
      </c>
      <c r="Q705" s="2" t="str">
        <f t="shared" si="85"/>
        <v>Mar-2026</v>
      </c>
      <c r="R705" s="2">
        <f t="shared" si="86"/>
        <v>46082</v>
      </c>
    </row>
    <row r="706" spans="1:18">
      <c r="A706" t="s">
        <v>1440</v>
      </c>
      <c r="B706" s="2" t="s">
        <v>1441</v>
      </c>
      <c r="C706">
        <v>1201</v>
      </c>
      <c r="D706" t="s">
        <v>26</v>
      </c>
      <c r="E706" t="s">
        <v>33</v>
      </c>
      <c r="F706" t="s">
        <v>64</v>
      </c>
      <c r="G706">
        <v>134</v>
      </c>
      <c r="I706" t="s">
        <v>44</v>
      </c>
      <c r="K706" s="1">
        <f t="shared" si="80"/>
        <v>46095</v>
      </c>
      <c r="L706" s="3" t="str">
        <f t="shared" si="81"/>
        <v/>
      </c>
      <c r="M706" s="3">
        <f t="shared" si="82"/>
        <v>2.2333333333333334</v>
      </c>
      <c r="N706" t="str">
        <f t="shared" si="83"/>
        <v>Open</v>
      </c>
      <c r="O706" t="str">
        <f t="shared" si="87"/>
        <v>No Rating</v>
      </c>
      <c r="P706" t="str">
        <f t="shared" si="84"/>
        <v>Unresolved</v>
      </c>
      <c r="Q706" s="2" t="str">
        <f t="shared" si="85"/>
        <v>Mar-2026</v>
      </c>
      <c r="R706" s="2">
        <f t="shared" si="86"/>
        <v>46082</v>
      </c>
    </row>
    <row r="707" spans="1:18">
      <c r="A707" t="s">
        <v>1442</v>
      </c>
      <c r="B707" s="2" t="s">
        <v>1443</v>
      </c>
      <c r="C707">
        <v>1369</v>
      </c>
      <c r="D707" t="s">
        <v>47</v>
      </c>
      <c r="E707" t="s">
        <v>27</v>
      </c>
      <c r="F707" t="s">
        <v>23</v>
      </c>
      <c r="G707">
        <v>167</v>
      </c>
      <c r="H707">
        <v>2139</v>
      </c>
      <c r="I707" t="s">
        <v>15</v>
      </c>
      <c r="J707">
        <v>2</v>
      </c>
      <c r="K707" s="1">
        <f t="shared" ref="K707:K770" si="88">IF(B707="","",DATEVALUE(LEFT(B707,10)))</f>
        <v>46096</v>
      </c>
      <c r="L707" s="3">
        <f t="shared" ref="L707:L770" si="89">IF(H707="","",H707/60)</f>
        <v>35.65</v>
      </c>
      <c r="M707" s="3">
        <f t="shared" ref="M707:M770" si="90">IF(G707="","",G707/60)</f>
        <v>2.7833333333333332</v>
      </c>
      <c r="N707" t="str">
        <f t="shared" ref="N707:N770" si="91">IF(L707="","Open",IF(L707&lt;=IF(E707="Urgent",8,IF(E707="High",24,IF(E707="Normal",48,72))),"Within SLA","Breached"))</f>
        <v>Within SLA</v>
      </c>
      <c r="O707" t="str">
        <f t="shared" si="87"/>
        <v>Dissatisfied</v>
      </c>
      <c r="P707" t="str">
        <f t="shared" ref="P707:P770" si="92">IF(I707="Closed","Resolved",IF(I707="Resolved","Resolved","Unresolved"))</f>
        <v>Resolved</v>
      </c>
      <c r="Q707" s="2" t="str">
        <f t="shared" ref="Q707:Q770" si="93">IF(K707="","",TEXT(K707,"mmm-yyyy"))</f>
        <v>Mar-2026</v>
      </c>
      <c r="R707" s="2">
        <f t="shared" ref="R707:R770" si="94">IF(K707="","",DATE(YEAR(K707),MONTH(K707),1))</f>
        <v>46082</v>
      </c>
    </row>
    <row r="708" spans="1:18">
      <c r="A708" t="s">
        <v>1444</v>
      </c>
      <c r="B708" s="2" t="s">
        <v>1445</v>
      </c>
      <c r="C708">
        <v>1494</v>
      </c>
      <c r="D708" t="s">
        <v>12</v>
      </c>
      <c r="E708" t="s">
        <v>33</v>
      </c>
      <c r="F708" t="s">
        <v>23</v>
      </c>
      <c r="G708">
        <v>248</v>
      </c>
      <c r="H708">
        <v>5603</v>
      </c>
      <c r="I708" t="s">
        <v>15</v>
      </c>
      <c r="K708" s="1">
        <f t="shared" si="88"/>
        <v>46096</v>
      </c>
      <c r="L708" s="3">
        <f t="shared" si="89"/>
        <v>93.38333333333334</v>
      </c>
      <c r="M708" s="3">
        <f t="shared" si="90"/>
        <v>4.1333333333333337</v>
      </c>
      <c r="N708" t="str">
        <f t="shared" si="91"/>
        <v>Breached</v>
      </c>
      <c r="O708" t="str">
        <f t="shared" ref="O708:O771" si="95">IF(J708="","No Rating",IF(J708&gt;=4,"Satisfied",IF(J708=3,"Neutral","Dissatisfied")))</f>
        <v>No Rating</v>
      </c>
      <c r="P708" t="str">
        <f t="shared" si="92"/>
        <v>Resolved</v>
      </c>
      <c r="Q708" s="2" t="str">
        <f t="shared" si="93"/>
        <v>Mar-2026</v>
      </c>
      <c r="R708" s="2">
        <f t="shared" si="94"/>
        <v>46082</v>
      </c>
    </row>
    <row r="709" spans="1:18">
      <c r="A709" t="s">
        <v>1446</v>
      </c>
      <c r="B709" s="2" t="s">
        <v>1447</v>
      </c>
      <c r="C709">
        <v>1920</v>
      </c>
      <c r="D709" t="s">
        <v>32</v>
      </c>
      <c r="E709" t="s">
        <v>13</v>
      </c>
      <c r="F709" t="s">
        <v>59</v>
      </c>
      <c r="G709">
        <v>2</v>
      </c>
      <c r="H709">
        <v>401</v>
      </c>
      <c r="I709" t="s">
        <v>15</v>
      </c>
      <c r="J709">
        <v>1</v>
      </c>
      <c r="K709" s="1">
        <f t="shared" si="88"/>
        <v>46097</v>
      </c>
      <c r="L709" s="3">
        <f t="shared" si="89"/>
        <v>6.6833333333333336</v>
      </c>
      <c r="M709" s="3">
        <f t="shared" si="90"/>
        <v>3.3333333333333333E-2</v>
      </c>
      <c r="N709" t="str">
        <f t="shared" si="91"/>
        <v>Within SLA</v>
      </c>
      <c r="O709" t="str">
        <f t="shared" si="95"/>
        <v>Dissatisfied</v>
      </c>
      <c r="P709" t="str">
        <f t="shared" si="92"/>
        <v>Resolved</v>
      </c>
      <c r="Q709" s="2" t="str">
        <f t="shared" si="93"/>
        <v>Mar-2026</v>
      </c>
      <c r="R709" s="2">
        <f t="shared" si="94"/>
        <v>46082</v>
      </c>
    </row>
    <row r="710" spans="1:18">
      <c r="A710" t="s">
        <v>1448</v>
      </c>
      <c r="B710" s="2" t="s">
        <v>1449</v>
      </c>
      <c r="C710">
        <v>1966</v>
      </c>
      <c r="D710" t="s">
        <v>18</v>
      </c>
      <c r="E710" t="s">
        <v>27</v>
      </c>
      <c r="F710" t="s">
        <v>54</v>
      </c>
      <c r="G710">
        <v>139</v>
      </c>
      <c r="H710">
        <v>3327</v>
      </c>
      <c r="I710" t="s">
        <v>20</v>
      </c>
      <c r="J710">
        <v>1</v>
      </c>
      <c r="K710" s="1">
        <f t="shared" si="88"/>
        <v>46097</v>
      </c>
      <c r="L710" s="3">
        <f t="shared" si="89"/>
        <v>55.45</v>
      </c>
      <c r="M710" s="3">
        <f t="shared" si="90"/>
        <v>2.3166666666666669</v>
      </c>
      <c r="N710" t="str">
        <f t="shared" si="91"/>
        <v>Breached</v>
      </c>
      <c r="O710" t="str">
        <f t="shared" si="95"/>
        <v>Dissatisfied</v>
      </c>
      <c r="P710" t="str">
        <f t="shared" si="92"/>
        <v>Resolved</v>
      </c>
      <c r="Q710" s="2" t="str">
        <f t="shared" si="93"/>
        <v>Mar-2026</v>
      </c>
      <c r="R710" s="2">
        <f t="shared" si="94"/>
        <v>46082</v>
      </c>
    </row>
    <row r="711" spans="1:18">
      <c r="A711" t="s">
        <v>1450</v>
      </c>
      <c r="B711" s="2" t="s">
        <v>1451</v>
      </c>
      <c r="C711">
        <v>1814</v>
      </c>
      <c r="D711" t="s">
        <v>32</v>
      </c>
      <c r="E711" t="s">
        <v>27</v>
      </c>
      <c r="F711" t="s">
        <v>64</v>
      </c>
      <c r="G711">
        <v>116</v>
      </c>
      <c r="H711">
        <v>2373</v>
      </c>
      <c r="I711" t="s">
        <v>15</v>
      </c>
      <c r="J711">
        <v>3</v>
      </c>
      <c r="K711" s="1">
        <f t="shared" si="88"/>
        <v>46097</v>
      </c>
      <c r="L711" s="3">
        <f t="shared" si="89"/>
        <v>39.549999999999997</v>
      </c>
      <c r="M711" s="3">
        <f t="shared" si="90"/>
        <v>1.9333333333333333</v>
      </c>
      <c r="N711" t="str">
        <f t="shared" si="91"/>
        <v>Within SLA</v>
      </c>
      <c r="O711" t="str">
        <f t="shared" si="95"/>
        <v>Neutral</v>
      </c>
      <c r="P711" t="str">
        <f t="shared" si="92"/>
        <v>Resolved</v>
      </c>
      <c r="Q711" s="2" t="str">
        <f t="shared" si="93"/>
        <v>Mar-2026</v>
      </c>
      <c r="R711" s="2">
        <f t="shared" si="94"/>
        <v>46082</v>
      </c>
    </row>
    <row r="712" spans="1:18">
      <c r="A712" t="s">
        <v>1452</v>
      </c>
      <c r="B712" s="2" t="s">
        <v>1453</v>
      </c>
      <c r="C712">
        <v>1275</v>
      </c>
      <c r="D712" t="s">
        <v>18</v>
      </c>
      <c r="E712" t="s">
        <v>19</v>
      </c>
      <c r="F712" t="s">
        <v>71</v>
      </c>
      <c r="G712">
        <v>43</v>
      </c>
      <c r="H712">
        <v>1070</v>
      </c>
      <c r="I712" t="s">
        <v>20</v>
      </c>
      <c r="J712">
        <v>2</v>
      </c>
      <c r="K712" s="1">
        <f t="shared" si="88"/>
        <v>46098</v>
      </c>
      <c r="L712" s="3">
        <f t="shared" si="89"/>
        <v>17.833333333333332</v>
      </c>
      <c r="M712" s="3">
        <f t="shared" si="90"/>
        <v>0.71666666666666667</v>
      </c>
      <c r="N712" t="str">
        <f t="shared" si="91"/>
        <v>Within SLA</v>
      </c>
      <c r="O712" t="str">
        <f t="shared" si="95"/>
        <v>Dissatisfied</v>
      </c>
      <c r="P712" t="str">
        <f t="shared" si="92"/>
        <v>Resolved</v>
      </c>
      <c r="Q712" s="2" t="str">
        <f t="shared" si="93"/>
        <v>Mar-2026</v>
      </c>
      <c r="R712" s="2">
        <f t="shared" si="94"/>
        <v>46082</v>
      </c>
    </row>
    <row r="713" spans="1:18">
      <c r="A713" t="s">
        <v>1454</v>
      </c>
      <c r="B713" s="2" t="s">
        <v>1455</v>
      </c>
      <c r="C713">
        <v>1842</v>
      </c>
      <c r="D713" t="s">
        <v>26</v>
      </c>
      <c r="E713" t="s">
        <v>33</v>
      </c>
      <c r="F713" t="s">
        <v>54</v>
      </c>
      <c r="G713">
        <v>318</v>
      </c>
      <c r="I713" t="s">
        <v>29</v>
      </c>
      <c r="K713" s="1">
        <f t="shared" si="88"/>
        <v>46098</v>
      </c>
      <c r="L713" s="3" t="str">
        <f t="shared" si="89"/>
        <v/>
      </c>
      <c r="M713" s="3">
        <f t="shared" si="90"/>
        <v>5.3</v>
      </c>
      <c r="N713" t="str">
        <f t="shared" si="91"/>
        <v>Open</v>
      </c>
      <c r="O713" t="str">
        <f t="shared" si="95"/>
        <v>No Rating</v>
      </c>
      <c r="P713" t="str">
        <f t="shared" si="92"/>
        <v>Unresolved</v>
      </c>
      <c r="Q713" s="2" t="str">
        <f t="shared" si="93"/>
        <v>Mar-2026</v>
      </c>
      <c r="R713" s="2">
        <f t="shared" si="94"/>
        <v>46082</v>
      </c>
    </row>
    <row r="714" spans="1:18">
      <c r="A714" t="s">
        <v>1456</v>
      </c>
      <c r="B714" s="2" t="s">
        <v>1457</v>
      </c>
      <c r="C714">
        <v>1247</v>
      </c>
      <c r="D714" t="s">
        <v>32</v>
      </c>
      <c r="E714" t="s">
        <v>27</v>
      </c>
      <c r="F714" t="s">
        <v>59</v>
      </c>
      <c r="G714">
        <v>109</v>
      </c>
      <c r="H714">
        <v>2862</v>
      </c>
      <c r="I714" t="s">
        <v>15</v>
      </c>
      <c r="K714" s="1">
        <f t="shared" si="88"/>
        <v>46098</v>
      </c>
      <c r="L714" s="3">
        <f t="shared" si="89"/>
        <v>47.7</v>
      </c>
      <c r="M714" s="3">
        <f t="shared" si="90"/>
        <v>1.8166666666666667</v>
      </c>
      <c r="N714" t="str">
        <f t="shared" si="91"/>
        <v>Within SLA</v>
      </c>
      <c r="O714" t="str">
        <f t="shared" si="95"/>
        <v>No Rating</v>
      </c>
      <c r="P714" t="str">
        <f t="shared" si="92"/>
        <v>Resolved</v>
      </c>
      <c r="Q714" s="2" t="str">
        <f t="shared" si="93"/>
        <v>Mar-2026</v>
      </c>
      <c r="R714" s="2">
        <f t="shared" si="94"/>
        <v>46082</v>
      </c>
    </row>
    <row r="715" spans="1:18">
      <c r="A715" t="s">
        <v>1458</v>
      </c>
      <c r="B715" s="2" t="s">
        <v>1459</v>
      </c>
      <c r="C715">
        <v>1368</v>
      </c>
      <c r="D715" t="s">
        <v>18</v>
      </c>
      <c r="E715" t="s">
        <v>33</v>
      </c>
      <c r="F715" t="s">
        <v>43</v>
      </c>
      <c r="G715">
        <v>291</v>
      </c>
      <c r="H715">
        <v>4183</v>
      </c>
      <c r="I715" t="s">
        <v>20</v>
      </c>
      <c r="K715" s="1">
        <f t="shared" si="88"/>
        <v>46099</v>
      </c>
      <c r="L715" s="3">
        <f t="shared" si="89"/>
        <v>69.716666666666669</v>
      </c>
      <c r="M715" s="3">
        <f t="shared" si="90"/>
        <v>4.8499999999999996</v>
      </c>
      <c r="N715" t="str">
        <f t="shared" si="91"/>
        <v>Within SLA</v>
      </c>
      <c r="O715" t="str">
        <f t="shared" si="95"/>
        <v>No Rating</v>
      </c>
      <c r="P715" t="str">
        <f t="shared" si="92"/>
        <v>Resolved</v>
      </c>
      <c r="Q715" s="2" t="str">
        <f t="shared" si="93"/>
        <v>Mar-2026</v>
      </c>
      <c r="R715" s="2">
        <f t="shared" si="94"/>
        <v>46082</v>
      </c>
    </row>
    <row r="716" spans="1:18">
      <c r="A716" t="s">
        <v>1460</v>
      </c>
      <c r="B716" s="2" t="s">
        <v>1461</v>
      </c>
      <c r="C716">
        <v>1660</v>
      </c>
      <c r="D716" t="s">
        <v>18</v>
      </c>
      <c r="E716" t="s">
        <v>27</v>
      </c>
      <c r="F716" t="s">
        <v>54</v>
      </c>
      <c r="G716">
        <v>42</v>
      </c>
      <c r="H716">
        <v>2589</v>
      </c>
      <c r="I716" t="s">
        <v>15</v>
      </c>
      <c r="K716" s="1">
        <f t="shared" si="88"/>
        <v>46099</v>
      </c>
      <c r="L716" s="3">
        <f t="shared" si="89"/>
        <v>43.15</v>
      </c>
      <c r="M716" s="3">
        <f t="shared" si="90"/>
        <v>0.7</v>
      </c>
      <c r="N716" t="str">
        <f t="shared" si="91"/>
        <v>Within SLA</v>
      </c>
      <c r="O716" t="str">
        <f t="shared" si="95"/>
        <v>No Rating</v>
      </c>
      <c r="P716" t="str">
        <f t="shared" si="92"/>
        <v>Resolved</v>
      </c>
      <c r="Q716" s="2" t="str">
        <f t="shared" si="93"/>
        <v>Mar-2026</v>
      </c>
      <c r="R716" s="2">
        <f t="shared" si="94"/>
        <v>46082</v>
      </c>
    </row>
    <row r="717" spans="1:18">
      <c r="A717" t="s">
        <v>1462</v>
      </c>
      <c r="B717" s="2" t="s">
        <v>1463</v>
      </c>
      <c r="C717">
        <v>1495</v>
      </c>
      <c r="D717" t="s">
        <v>32</v>
      </c>
      <c r="E717" t="s">
        <v>33</v>
      </c>
      <c r="F717" t="s">
        <v>34</v>
      </c>
      <c r="G717">
        <v>330</v>
      </c>
      <c r="H717">
        <v>5569</v>
      </c>
      <c r="I717" t="s">
        <v>15</v>
      </c>
      <c r="J717">
        <v>1</v>
      </c>
      <c r="K717" s="1">
        <f t="shared" si="88"/>
        <v>46099</v>
      </c>
      <c r="L717" s="3">
        <f t="shared" si="89"/>
        <v>92.816666666666663</v>
      </c>
      <c r="M717" s="3">
        <f t="shared" si="90"/>
        <v>5.5</v>
      </c>
      <c r="N717" t="str">
        <f t="shared" si="91"/>
        <v>Breached</v>
      </c>
      <c r="O717" t="str">
        <f t="shared" si="95"/>
        <v>Dissatisfied</v>
      </c>
      <c r="P717" t="str">
        <f t="shared" si="92"/>
        <v>Resolved</v>
      </c>
      <c r="Q717" s="2" t="str">
        <f t="shared" si="93"/>
        <v>Mar-2026</v>
      </c>
      <c r="R717" s="2">
        <f t="shared" si="94"/>
        <v>46082</v>
      </c>
    </row>
    <row r="718" spans="1:18">
      <c r="A718" t="s">
        <v>1464</v>
      </c>
      <c r="B718" s="2" t="s">
        <v>1465</v>
      </c>
      <c r="C718">
        <v>1987</v>
      </c>
      <c r="D718" t="s">
        <v>26</v>
      </c>
      <c r="E718" t="s">
        <v>13</v>
      </c>
      <c r="F718" t="s">
        <v>59</v>
      </c>
      <c r="G718">
        <v>9</v>
      </c>
      <c r="I718" t="s">
        <v>29</v>
      </c>
      <c r="K718" s="1">
        <f t="shared" si="88"/>
        <v>46100</v>
      </c>
      <c r="L718" s="3" t="str">
        <f t="shared" si="89"/>
        <v/>
      </c>
      <c r="M718" s="3">
        <f t="shared" si="90"/>
        <v>0.15</v>
      </c>
      <c r="N718" t="str">
        <f t="shared" si="91"/>
        <v>Open</v>
      </c>
      <c r="O718" t="str">
        <f t="shared" si="95"/>
        <v>No Rating</v>
      </c>
      <c r="P718" t="str">
        <f t="shared" si="92"/>
        <v>Unresolved</v>
      </c>
      <c r="Q718" s="2" t="str">
        <f t="shared" si="93"/>
        <v>Mar-2026</v>
      </c>
      <c r="R718" s="2">
        <f t="shared" si="94"/>
        <v>46082</v>
      </c>
    </row>
    <row r="719" spans="1:18">
      <c r="A719" t="s">
        <v>1466</v>
      </c>
      <c r="B719" s="2" t="s">
        <v>1467</v>
      </c>
      <c r="C719">
        <v>1199</v>
      </c>
      <c r="D719" t="s">
        <v>26</v>
      </c>
      <c r="E719" t="s">
        <v>19</v>
      </c>
      <c r="F719" t="s">
        <v>59</v>
      </c>
      <c r="G719">
        <v>42</v>
      </c>
      <c r="H719">
        <v>1097</v>
      </c>
      <c r="I719" t="s">
        <v>15</v>
      </c>
      <c r="K719" s="1">
        <f t="shared" si="88"/>
        <v>46100</v>
      </c>
      <c r="L719" s="3">
        <f t="shared" si="89"/>
        <v>18.283333333333335</v>
      </c>
      <c r="M719" s="3">
        <f t="shared" si="90"/>
        <v>0.7</v>
      </c>
      <c r="N719" t="str">
        <f t="shared" si="91"/>
        <v>Within SLA</v>
      </c>
      <c r="O719" t="str">
        <f t="shared" si="95"/>
        <v>No Rating</v>
      </c>
      <c r="P719" t="str">
        <f t="shared" si="92"/>
        <v>Resolved</v>
      </c>
      <c r="Q719" s="2" t="str">
        <f t="shared" si="93"/>
        <v>Mar-2026</v>
      </c>
      <c r="R719" s="2">
        <f t="shared" si="94"/>
        <v>46082</v>
      </c>
    </row>
    <row r="720" spans="1:18">
      <c r="A720" t="s">
        <v>1468</v>
      </c>
      <c r="B720" s="2" t="s">
        <v>1469</v>
      </c>
      <c r="C720">
        <v>1714</v>
      </c>
      <c r="D720" t="s">
        <v>47</v>
      </c>
      <c r="E720" t="s">
        <v>13</v>
      </c>
      <c r="F720" t="s">
        <v>14</v>
      </c>
      <c r="G720">
        <v>10</v>
      </c>
      <c r="H720">
        <v>353</v>
      </c>
      <c r="I720" t="s">
        <v>15</v>
      </c>
      <c r="K720" s="1">
        <f t="shared" si="88"/>
        <v>46101</v>
      </c>
      <c r="L720" s="3">
        <f t="shared" si="89"/>
        <v>5.8833333333333337</v>
      </c>
      <c r="M720" s="3">
        <f t="shared" si="90"/>
        <v>0.16666666666666666</v>
      </c>
      <c r="N720" t="str">
        <f t="shared" si="91"/>
        <v>Within SLA</v>
      </c>
      <c r="O720" t="str">
        <f t="shared" si="95"/>
        <v>No Rating</v>
      </c>
      <c r="P720" t="str">
        <f t="shared" si="92"/>
        <v>Resolved</v>
      </c>
      <c r="Q720" s="2" t="str">
        <f t="shared" si="93"/>
        <v>Mar-2026</v>
      </c>
      <c r="R720" s="2">
        <f t="shared" si="94"/>
        <v>46082</v>
      </c>
    </row>
    <row r="721" spans="1:18">
      <c r="A721" t="s">
        <v>1470</v>
      </c>
      <c r="B721" s="2" t="s">
        <v>1471</v>
      </c>
      <c r="C721">
        <v>1033</v>
      </c>
      <c r="D721" t="s">
        <v>32</v>
      </c>
      <c r="E721" t="s">
        <v>27</v>
      </c>
      <c r="F721" t="s">
        <v>34</v>
      </c>
      <c r="G721">
        <v>146</v>
      </c>
      <c r="I721" t="s">
        <v>29</v>
      </c>
      <c r="K721" s="1">
        <f t="shared" si="88"/>
        <v>46101</v>
      </c>
      <c r="L721" s="3" t="str">
        <f t="shared" si="89"/>
        <v/>
      </c>
      <c r="M721" s="3">
        <f t="shared" si="90"/>
        <v>2.4333333333333331</v>
      </c>
      <c r="N721" t="str">
        <f t="shared" si="91"/>
        <v>Open</v>
      </c>
      <c r="O721" t="str">
        <f t="shared" si="95"/>
        <v>No Rating</v>
      </c>
      <c r="P721" t="str">
        <f t="shared" si="92"/>
        <v>Unresolved</v>
      </c>
      <c r="Q721" s="2" t="str">
        <f t="shared" si="93"/>
        <v>Mar-2026</v>
      </c>
      <c r="R721" s="2">
        <f t="shared" si="94"/>
        <v>46082</v>
      </c>
    </row>
    <row r="722" spans="1:18">
      <c r="A722" t="s">
        <v>1472</v>
      </c>
      <c r="B722" s="2" t="s">
        <v>1473</v>
      </c>
      <c r="C722">
        <v>1062</v>
      </c>
      <c r="D722" t="s">
        <v>26</v>
      </c>
      <c r="E722" t="s">
        <v>27</v>
      </c>
      <c r="F722" t="s">
        <v>34</v>
      </c>
      <c r="G722">
        <v>76</v>
      </c>
      <c r="H722">
        <v>1285</v>
      </c>
      <c r="I722" t="s">
        <v>15</v>
      </c>
      <c r="K722" s="1">
        <f t="shared" si="88"/>
        <v>46101</v>
      </c>
      <c r="L722" s="3">
        <f t="shared" si="89"/>
        <v>21.416666666666668</v>
      </c>
      <c r="M722" s="3">
        <f t="shared" si="90"/>
        <v>1.2666666666666666</v>
      </c>
      <c r="N722" t="str">
        <f t="shared" si="91"/>
        <v>Within SLA</v>
      </c>
      <c r="O722" t="str">
        <f t="shared" si="95"/>
        <v>No Rating</v>
      </c>
      <c r="P722" t="str">
        <f t="shared" si="92"/>
        <v>Resolved</v>
      </c>
      <c r="Q722" s="2" t="str">
        <f t="shared" si="93"/>
        <v>Mar-2026</v>
      </c>
      <c r="R722" s="2">
        <f t="shared" si="94"/>
        <v>46082</v>
      </c>
    </row>
    <row r="723" spans="1:18">
      <c r="A723" t="s">
        <v>1474</v>
      </c>
      <c r="B723" s="2" t="s">
        <v>1475</v>
      </c>
      <c r="C723">
        <v>1456</v>
      </c>
      <c r="D723" t="s">
        <v>47</v>
      </c>
      <c r="E723" t="s">
        <v>33</v>
      </c>
      <c r="F723" t="s">
        <v>54</v>
      </c>
      <c r="G723">
        <v>358</v>
      </c>
      <c r="H723">
        <v>1877</v>
      </c>
      <c r="I723" t="s">
        <v>15</v>
      </c>
      <c r="K723" s="1">
        <f t="shared" si="88"/>
        <v>46102</v>
      </c>
      <c r="L723" s="3">
        <f t="shared" si="89"/>
        <v>31.283333333333335</v>
      </c>
      <c r="M723" s="3">
        <f t="shared" si="90"/>
        <v>5.9666666666666668</v>
      </c>
      <c r="N723" t="str">
        <f t="shared" si="91"/>
        <v>Within SLA</v>
      </c>
      <c r="O723" t="str">
        <f t="shared" si="95"/>
        <v>No Rating</v>
      </c>
      <c r="P723" t="str">
        <f t="shared" si="92"/>
        <v>Resolved</v>
      </c>
      <c r="Q723" s="2" t="str">
        <f t="shared" si="93"/>
        <v>Mar-2026</v>
      </c>
      <c r="R723" s="2">
        <f t="shared" si="94"/>
        <v>46082</v>
      </c>
    </row>
    <row r="724" spans="1:18">
      <c r="A724" t="s">
        <v>1476</v>
      </c>
      <c r="B724" s="2" t="s">
        <v>1477</v>
      </c>
      <c r="C724">
        <v>1600</v>
      </c>
      <c r="D724" t="s">
        <v>32</v>
      </c>
      <c r="E724" t="s">
        <v>33</v>
      </c>
      <c r="F724" t="s">
        <v>43</v>
      </c>
      <c r="G724">
        <v>238</v>
      </c>
      <c r="H724">
        <v>4425</v>
      </c>
      <c r="I724" t="s">
        <v>20</v>
      </c>
      <c r="K724" s="1">
        <f t="shared" si="88"/>
        <v>46102</v>
      </c>
      <c r="L724" s="3">
        <f t="shared" si="89"/>
        <v>73.75</v>
      </c>
      <c r="M724" s="3">
        <f t="shared" si="90"/>
        <v>3.9666666666666668</v>
      </c>
      <c r="N724" t="str">
        <f t="shared" si="91"/>
        <v>Breached</v>
      </c>
      <c r="O724" t="str">
        <f t="shared" si="95"/>
        <v>No Rating</v>
      </c>
      <c r="P724" t="str">
        <f t="shared" si="92"/>
        <v>Resolved</v>
      </c>
      <c r="Q724" s="2" t="str">
        <f t="shared" si="93"/>
        <v>Mar-2026</v>
      </c>
      <c r="R724" s="2">
        <f t="shared" si="94"/>
        <v>46082</v>
      </c>
    </row>
    <row r="725" spans="1:18">
      <c r="A725" t="s">
        <v>1478</v>
      </c>
      <c r="B725" s="2" t="s">
        <v>1479</v>
      </c>
      <c r="C725">
        <v>1248</v>
      </c>
      <c r="D725" t="s">
        <v>12</v>
      </c>
      <c r="E725" t="s">
        <v>27</v>
      </c>
      <c r="F725" t="s">
        <v>43</v>
      </c>
      <c r="G725">
        <v>91</v>
      </c>
      <c r="H725">
        <v>889</v>
      </c>
      <c r="I725" t="s">
        <v>15</v>
      </c>
      <c r="J725">
        <v>5</v>
      </c>
      <c r="K725" s="1">
        <f t="shared" si="88"/>
        <v>46102</v>
      </c>
      <c r="L725" s="3">
        <f t="shared" si="89"/>
        <v>14.816666666666666</v>
      </c>
      <c r="M725" s="3">
        <f t="shared" si="90"/>
        <v>1.5166666666666666</v>
      </c>
      <c r="N725" t="str">
        <f t="shared" si="91"/>
        <v>Within SLA</v>
      </c>
      <c r="O725" t="str">
        <f t="shared" si="95"/>
        <v>Satisfied</v>
      </c>
      <c r="P725" t="str">
        <f t="shared" si="92"/>
        <v>Resolved</v>
      </c>
      <c r="Q725" s="2" t="str">
        <f t="shared" si="93"/>
        <v>Mar-2026</v>
      </c>
      <c r="R725" s="2">
        <f t="shared" si="94"/>
        <v>46082</v>
      </c>
    </row>
    <row r="726" spans="1:18">
      <c r="A726" t="s">
        <v>1480</v>
      </c>
      <c r="B726" s="2" t="s">
        <v>1481</v>
      </c>
      <c r="C726">
        <v>1651</v>
      </c>
      <c r="D726" t="s">
        <v>18</v>
      </c>
      <c r="E726" t="s">
        <v>19</v>
      </c>
      <c r="F726" t="s">
        <v>64</v>
      </c>
      <c r="G726">
        <v>36</v>
      </c>
      <c r="H726">
        <v>1033</v>
      </c>
      <c r="I726" t="s">
        <v>15</v>
      </c>
      <c r="J726">
        <v>4</v>
      </c>
      <c r="K726" s="1">
        <f t="shared" si="88"/>
        <v>46103</v>
      </c>
      <c r="L726" s="3">
        <f t="shared" si="89"/>
        <v>17.216666666666665</v>
      </c>
      <c r="M726" s="3">
        <f t="shared" si="90"/>
        <v>0.6</v>
      </c>
      <c r="N726" t="str">
        <f t="shared" si="91"/>
        <v>Within SLA</v>
      </c>
      <c r="O726" t="str">
        <f t="shared" si="95"/>
        <v>Satisfied</v>
      </c>
      <c r="P726" t="str">
        <f t="shared" si="92"/>
        <v>Resolved</v>
      </c>
      <c r="Q726" s="2" t="str">
        <f t="shared" si="93"/>
        <v>Mar-2026</v>
      </c>
      <c r="R726" s="2">
        <f t="shared" si="94"/>
        <v>46082</v>
      </c>
    </row>
    <row r="727" spans="1:18">
      <c r="A727" t="s">
        <v>1482</v>
      </c>
      <c r="B727" s="2" t="s">
        <v>1483</v>
      </c>
      <c r="C727">
        <v>1079</v>
      </c>
      <c r="D727" t="s">
        <v>26</v>
      </c>
      <c r="E727" t="s">
        <v>33</v>
      </c>
      <c r="F727" t="s">
        <v>23</v>
      </c>
      <c r="G727">
        <v>159</v>
      </c>
      <c r="I727" t="s">
        <v>29</v>
      </c>
      <c r="K727" s="1">
        <f t="shared" si="88"/>
        <v>46103</v>
      </c>
      <c r="L727" s="3" t="str">
        <f t="shared" si="89"/>
        <v/>
      </c>
      <c r="M727" s="3">
        <f t="shared" si="90"/>
        <v>2.65</v>
      </c>
      <c r="N727" t="str">
        <f t="shared" si="91"/>
        <v>Open</v>
      </c>
      <c r="O727" t="str">
        <f t="shared" si="95"/>
        <v>No Rating</v>
      </c>
      <c r="P727" t="str">
        <f t="shared" si="92"/>
        <v>Unresolved</v>
      </c>
      <c r="Q727" s="2" t="str">
        <f t="shared" si="93"/>
        <v>Mar-2026</v>
      </c>
      <c r="R727" s="2">
        <f t="shared" si="94"/>
        <v>46082</v>
      </c>
    </row>
    <row r="728" spans="1:18">
      <c r="A728" t="s">
        <v>1484</v>
      </c>
      <c r="B728" s="2" t="s">
        <v>1485</v>
      </c>
      <c r="C728">
        <v>1663</v>
      </c>
      <c r="D728" t="s">
        <v>47</v>
      </c>
      <c r="E728" t="s">
        <v>33</v>
      </c>
      <c r="F728" t="s">
        <v>64</v>
      </c>
      <c r="G728">
        <v>398</v>
      </c>
      <c r="I728" t="s">
        <v>29</v>
      </c>
      <c r="K728" s="1">
        <f t="shared" si="88"/>
        <v>46103</v>
      </c>
      <c r="L728" s="3" t="str">
        <f t="shared" si="89"/>
        <v/>
      </c>
      <c r="M728" s="3">
        <f t="shared" si="90"/>
        <v>6.6333333333333337</v>
      </c>
      <c r="N728" t="str">
        <f t="shared" si="91"/>
        <v>Open</v>
      </c>
      <c r="O728" t="str">
        <f t="shared" si="95"/>
        <v>No Rating</v>
      </c>
      <c r="P728" t="str">
        <f t="shared" si="92"/>
        <v>Unresolved</v>
      </c>
      <c r="Q728" s="2" t="str">
        <f t="shared" si="93"/>
        <v>Mar-2026</v>
      </c>
      <c r="R728" s="2">
        <f t="shared" si="94"/>
        <v>46082</v>
      </c>
    </row>
    <row r="729" spans="1:18">
      <c r="A729" t="s">
        <v>1486</v>
      </c>
      <c r="B729" s="2" t="s">
        <v>1487</v>
      </c>
      <c r="C729">
        <v>1447</v>
      </c>
      <c r="D729" t="s">
        <v>32</v>
      </c>
      <c r="E729" t="s">
        <v>33</v>
      </c>
      <c r="F729" t="s">
        <v>43</v>
      </c>
      <c r="G729">
        <v>406</v>
      </c>
      <c r="H729">
        <v>1275</v>
      </c>
      <c r="I729" t="s">
        <v>15</v>
      </c>
      <c r="J729">
        <v>4</v>
      </c>
      <c r="K729" s="1">
        <f t="shared" si="88"/>
        <v>46104</v>
      </c>
      <c r="L729" s="3">
        <f t="shared" si="89"/>
        <v>21.25</v>
      </c>
      <c r="M729" s="3">
        <f t="shared" si="90"/>
        <v>6.7666666666666666</v>
      </c>
      <c r="N729" t="str">
        <f t="shared" si="91"/>
        <v>Within SLA</v>
      </c>
      <c r="O729" t="str">
        <f t="shared" si="95"/>
        <v>Satisfied</v>
      </c>
      <c r="P729" t="str">
        <f t="shared" si="92"/>
        <v>Resolved</v>
      </c>
      <c r="Q729" s="2" t="str">
        <f t="shared" si="93"/>
        <v>Mar-2026</v>
      </c>
      <c r="R729" s="2">
        <f t="shared" si="94"/>
        <v>46082</v>
      </c>
    </row>
    <row r="730" spans="1:18">
      <c r="A730" t="s">
        <v>1488</v>
      </c>
      <c r="B730" s="2" t="s">
        <v>1489</v>
      </c>
      <c r="C730">
        <v>1200</v>
      </c>
      <c r="D730" t="s">
        <v>47</v>
      </c>
      <c r="E730" t="s">
        <v>13</v>
      </c>
      <c r="F730" t="s">
        <v>59</v>
      </c>
      <c r="G730">
        <v>10</v>
      </c>
      <c r="H730">
        <v>91</v>
      </c>
      <c r="I730" t="s">
        <v>15</v>
      </c>
      <c r="K730" s="1">
        <f t="shared" si="88"/>
        <v>46104</v>
      </c>
      <c r="L730" s="3">
        <f t="shared" si="89"/>
        <v>1.5166666666666666</v>
      </c>
      <c r="M730" s="3">
        <f t="shared" si="90"/>
        <v>0.16666666666666666</v>
      </c>
      <c r="N730" t="str">
        <f t="shared" si="91"/>
        <v>Within SLA</v>
      </c>
      <c r="O730" t="str">
        <f t="shared" si="95"/>
        <v>No Rating</v>
      </c>
      <c r="P730" t="str">
        <f t="shared" si="92"/>
        <v>Resolved</v>
      </c>
      <c r="Q730" s="2" t="str">
        <f t="shared" si="93"/>
        <v>Mar-2026</v>
      </c>
      <c r="R730" s="2">
        <f t="shared" si="94"/>
        <v>46082</v>
      </c>
    </row>
    <row r="731" spans="1:18">
      <c r="A731" t="s">
        <v>1490</v>
      </c>
      <c r="B731" s="2" t="s">
        <v>1491</v>
      </c>
      <c r="C731">
        <v>1564</v>
      </c>
      <c r="D731" t="s">
        <v>26</v>
      </c>
      <c r="E731" t="s">
        <v>27</v>
      </c>
      <c r="F731" t="s">
        <v>54</v>
      </c>
      <c r="G731">
        <v>64</v>
      </c>
      <c r="H731">
        <v>1008</v>
      </c>
      <c r="I731" t="s">
        <v>20</v>
      </c>
      <c r="J731">
        <v>4</v>
      </c>
      <c r="K731" s="1">
        <f t="shared" si="88"/>
        <v>46105</v>
      </c>
      <c r="L731" s="3">
        <f t="shared" si="89"/>
        <v>16.8</v>
      </c>
      <c r="M731" s="3">
        <f t="shared" si="90"/>
        <v>1.0666666666666667</v>
      </c>
      <c r="N731" t="str">
        <f t="shared" si="91"/>
        <v>Within SLA</v>
      </c>
      <c r="O731" t="str">
        <f t="shared" si="95"/>
        <v>Satisfied</v>
      </c>
      <c r="P731" t="str">
        <f t="shared" si="92"/>
        <v>Resolved</v>
      </c>
      <c r="Q731" s="2" t="str">
        <f t="shared" si="93"/>
        <v>Mar-2026</v>
      </c>
      <c r="R731" s="2">
        <f t="shared" si="94"/>
        <v>46082</v>
      </c>
    </row>
    <row r="732" spans="1:18">
      <c r="A732" t="s">
        <v>1492</v>
      </c>
      <c r="B732" s="2" t="s">
        <v>1493</v>
      </c>
      <c r="C732">
        <v>1679</v>
      </c>
      <c r="D732" t="s">
        <v>26</v>
      </c>
      <c r="E732" t="s">
        <v>27</v>
      </c>
      <c r="F732" t="s">
        <v>34</v>
      </c>
      <c r="G732">
        <v>38</v>
      </c>
      <c r="H732">
        <v>763</v>
      </c>
      <c r="I732" t="s">
        <v>20</v>
      </c>
      <c r="K732" s="1">
        <f t="shared" si="88"/>
        <v>46105</v>
      </c>
      <c r="L732" s="3">
        <f t="shared" si="89"/>
        <v>12.716666666666667</v>
      </c>
      <c r="M732" s="3">
        <f t="shared" si="90"/>
        <v>0.6333333333333333</v>
      </c>
      <c r="N732" t="str">
        <f t="shared" si="91"/>
        <v>Within SLA</v>
      </c>
      <c r="O732" t="str">
        <f t="shared" si="95"/>
        <v>No Rating</v>
      </c>
      <c r="P732" t="str">
        <f t="shared" si="92"/>
        <v>Resolved</v>
      </c>
      <c r="Q732" s="2" t="str">
        <f t="shared" si="93"/>
        <v>Mar-2026</v>
      </c>
      <c r="R732" s="2">
        <f t="shared" si="94"/>
        <v>46082</v>
      </c>
    </row>
    <row r="733" spans="1:18">
      <c r="A733" t="s">
        <v>1494</v>
      </c>
      <c r="B733" s="2" t="s">
        <v>1495</v>
      </c>
      <c r="C733">
        <v>1881</v>
      </c>
      <c r="D733" t="s">
        <v>47</v>
      </c>
      <c r="E733" t="s">
        <v>19</v>
      </c>
      <c r="F733" t="s">
        <v>34</v>
      </c>
      <c r="G733">
        <v>49</v>
      </c>
      <c r="H733">
        <v>1253</v>
      </c>
      <c r="I733" t="s">
        <v>15</v>
      </c>
      <c r="K733" s="1">
        <f t="shared" si="88"/>
        <v>46105</v>
      </c>
      <c r="L733" s="3">
        <f t="shared" si="89"/>
        <v>20.883333333333333</v>
      </c>
      <c r="M733" s="3">
        <f t="shared" si="90"/>
        <v>0.81666666666666665</v>
      </c>
      <c r="N733" t="str">
        <f t="shared" si="91"/>
        <v>Within SLA</v>
      </c>
      <c r="O733" t="str">
        <f t="shared" si="95"/>
        <v>No Rating</v>
      </c>
      <c r="P733" t="str">
        <f t="shared" si="92"/>
        <v>Resolved</v>
      </c>
      <c r="Q733" s="2" t="str">
        <f t="shared" si="93"/>
        <v>Mar-2026</v>
      </c>
      <c r="R733" s="2">
        <f t="shared" si="94"/>
        <v>46082</v>
      </c>
    </row>
    <row r="734" spans="1:18">
      <c r="A734" t="s">
        <v>1496</v>
      </c>
      <c r="B734" s="2" t="s">
        <v>1497</v>
      </c>
      <c r="C734">
        <v>1803</v>
      </c>
      <c r="D734" t="s">
        <v>12</v>
      </c>
      <c r="E734" t="s">
        <v>27</v>
      </c>
      <c r="F734" t="s">
        <v>14</v>
      </c>
      <c r="G734">
        <v>165</v>
      </c>
      <c r="H734">
        <v>1957</v>
      </c>
      <c r="I734" t="s">
        <v>15</v>
      </c>
      <c r="J734">
        <v>2</v>
      </c>
      <c r="K734" s="1">
        <f t="shared" si="88"/>
        <v>46106</v>
      </c>
      <c r="L734" s="3">
        <f t="shared" si="89"/>
        <v>32.616666666666667</v>
      </c>
      <c r="M734" s="3">
        <f t="shared" si="90"/>
        <v>2.75</v>
      </c>
      <c r="N734" t="str">
        <f t="shared" si="91"/>
        <v>Within SLA</v>
      </c>
      <c r="O734" t="str">
        <f t="shared" si="95"/>
        <v>Dissatisfied</v>
      </c>
      <c r="P734" t="str">
        <f t="shared" si="92"/>
        <v>Resolved</v>
      </c>
      <c r="Q734" s="2" t="str">
        <f t="shared" si="93"/>
        <v>Mar-2026</v>
      </c>
      <c r="R734" s="2">
        <f t="shared" si="94"/>
        <v>46082</v>
      </c>
    </row>
    <row r="735" spans="1:18">
      <c r="A735" t="s">
        <v>1498</v>
      </c>
      <c r="B735" s="2" t="s">
        <v>1499</v>
      </c>
      <c r="C735">
        <v>1319</v>
      </c>
      <c r="D735" t="s">
        <v>26</v>
      </c>
      <c r="E735" t="s">
        <v>33</v>
      </c>
      <c r="F735" t="s">
        <v>43</v>
      </c>
      <c r="G735">
        <v>358</v>
      </c>
      <c r="H735">
        <v>2234</v>
      </c>
      <c r="I735" t="s">
        <v>15</v>
      </c>
      <c r="J735">
        <v>4</v>
      </c>
      <c r="K735" s="1">
        <f t="shared" si="88"/>
        <v>46106</v>
      </c>
      <c r="L735" s="3">
        <f t="shared" si="89"/>
        <v>37.233333333333334</v>
      </c>
      <c r="M735" s="3">
        <f t="shared" si="90"/>
        <v>5.9666666666666668</v>
      </c>
      <c r="N735" t="str">
        <f t="shared" si="91"/>
        <v>Within SLA</v>
      </c>
      <c r="O735" t="str">
        <f t="shared" si="95"/>
        <v>Satisfied</v>
      </c>
      <c r="P735" t="str">
        <f t="shared" si="92"/>
        <v>Resolved</v>
      </c>
      <c r="Q735" s="2" t="str">
        <f t="shared" si="93"/>
        <v>Mar-2026</v>
      </c>
      <c r="R735" s="2">
        <f t="shared" si="94"/>
        <v>46082</v>
      </c>
    </row>
    <row r="736" spans="1:18">
      <c r="A736" t="s">
        <v>1500</v>
      </c>
      <c r="B736" s="2" t="s">
        <v>1501</v>
      </c>
      <c r="C736">
        <v>1570</v>
      </c>
      <c r="D736" t="s">
        <v>18</v>
      </c>
      <c r="E736" t="s">
        <v>27</v>
      </c>
      <c r="F736" t="s">
        <v>64</v>
      </c>
      <c r="G736">
        <v>93</v>
      </c>
      <c r="H736">
        <v>582</v>
      </c>
      <c r="I736" t="s">
        <v>15</v>
      </c>
      <c r="J736">
        <v>1</v>
      </c>
      <c r="K736" s="1">
        <f t="shared" si="88"/>
        <v>46106</v>
      </c>
      <c r="L736" s="3">
        <f t="shared" si="89"/>
        <v>9.6999999999999993</v>
      </c>
      <c r="M736" s="3">
        <f t="shared" si="90"/>
        <v>1.55</v>
      </c>
      <c r="N736" t="str">
        <f t="shared" si="91"/>
        <v>Within SLA</v>
      </c>
      <c r="O736" t="str">
        <f t="shared" si="95"/>
        <v>Dissatisfied</v>
      </c>
      <c r="P736" t="str">
        <f t="shared" si="92"/>
        <v>Resolved</v>
      </c>
      <c r="Q736" s="2" t="str">
        <f t="shared" si="93"/>
        <v>Mar-2026</v>
      </c>
      <c r="R736" s="2">
        <f t="shared" si="94"/>
        <v>46082</v>
      </c>
    </row>
    <row r="737" spans="1:18">
      <c r="A737" t="s">
        <v>1502</v>
      </c>
      <c r="B737" s="2" t="s">
        <v>1503</v>
      </c>
      <c r="C737">
        <v>1583</v>
      </c>
      <c r="D737" t="s">
        <v>26</v>
      </c>
      <c r="E737" t="s">
        <v>27</v>
      </c>
      <c r="F737" t="s">
        <v>59</v>
      </c>
      <c r="G737">
        <v>54</v>
      </c>
      <c r="H737">
        <v>938</v>
      </c>
      <c r="I737" t="s">
        <v>15</v>
      </c>
      <c r="K737" s="1">
        <f t="shared" si="88"/>
        <v>46107</v>
      </c>
      <c r="L737" s="3">
        <f t="shared" si="89"/>
        <v>15.633333333333333</v>
      </c>
      <c r="M737" s="3">
        <f t="shared" si="90"/>
        <v>0.9</v>
      </c>
      <c r="N737" t="str">
        <f t="shared" si="91"/>
        <v>Within SLA</v>
      </c>
      <c r="O737" t="str">
        <f t="shared" si="95"/>
        <v>No Rating</v>
      </c>
      <c r="P737" t="str">
        <f t="shared" si="92"/>
        <v>Resolved</v>
      </c>
      <c r="Q737" s="2" t="str">
        <f t="shared" si="93"/>
        <v>Mar-2026</v>
      </c>
      <c r="R737" s="2">
        <f t="shared" si="94"/>
        <v>46082</v>
      </c>
    </row>
    <row r="738" spans="1:18">
      <c r="A738" t="s">
        <v>1504</v>
      </c>
      <c r="B738" s="2" t="s">
        <v>1505</v>
      </c>
      <c r="C738">
        <v>1689</v>
      </c>
      <c r="D738" t="s">
        <v>18</v>
      </c>
      <c r="E738" t="s">
        <v>27</v>
      </c>
      <c r="F738" t="s">
        <v>71</v>
      </c>
      <c r="G738">
        <v>56</v>
      </c>
      <c r="H738">
        <v>1785</v>
      </c>
      <c r="I738" t="s">
        <v>15</v>
      </c>
      <c r="K738" s="1">
        <f t="shared" si="88"/>
        <v>46107</v>
      </c>
      <c r="L738" s="3">
        <f t="shared" si="89"/>
        <v>29.75</v>
      </c>
      <c r="M738" s="3">
        <f t="shared" si="90"/>
        <v>0.93333333333333335</v>
      </c>
      <c r="N738" t="str">
        <f t="shared" si="91"/>
        <v>Within SLA</v>
      </c>
      <c r="O738" t="str">
        <f t="shared" si="95"/>
        <v>No Rating</v>
      </c>
      <c r="P738" t="str">
        <f t="shared" si="92"/>
        <v>Resolved</v>
      </c>
      <c r="Q738" s="2" t="str">
        <f t="shared" si="93"/>
        <v>Mar-2026</v>
      </c>
      <c r="R738" s="2">
        <f t="shared" si="94"/>
        <v>46082</v>
      </c>
    </row>
    <row r="739" spans="1:18">
      <c r="A739" t="s">
        <v>1506</v>
      </c>
      <c r="B739" s="2" t="s">
        <v>1507</v>
      </c>
      <c r="C739">
        <v>1590</v>
      </c>
      <c r="D739" t="s">
        <v>18</v>
      </c>
      <c r="E739" t="s">
        <v>27</v>
      </c>
      <c r="F739" t="s">
        <v>43</v>
      </c>
      <c r="G739">
        <v>128</v>
      </c>
      <c r="I739" t="s">
        <v>29</v>
      </c>
      <c r="K739" s="1">
        <f t="shared" si="88"/>
        <v>46108</v>
      </c>
      <c r="L739" s="3" t="str">
        <f t="shared" si="89"/>
        <v/>
      </c>
      <c r="M739" s="3">
        <f t="shared" si="90"/>
        <v>2.1333333333333333</v>
      </c>
      <c r="N739" t="str">
        <f t="shared" si="91"/>
        <v>Open</v>
      </c>
      <c r="O739" t="str">
        <f t="shared" si="95"/>
        <v>No Rating</v>
      </c>
      <c r="P739" t="str">
        <f t="shared" si="92"/>
        <v>Unresolved</v>
      </c>
      <c r="Q739" s="2" t="str">
        <f t="shared" si="93"/>
        <v>Mar-2026</v>
      </c>
      <c r="R739" s="2">
        <f t="shared" si="94"/>
        <v>46082</v>
      </c>
    </row>
    <row r="740" spans="1:18">
      <c r="A740" t="s">
        <v>1508</v>
      </c>
      <c r="B740" s="2" t="s">
        <v>1509</v>
      </c>
      <c r="C740">
        <v>1324</v>
      </c>
      <c r="D740" t="s">
        <v>32</v>
      </c>
      <c r="E740" t="s">
        <v>33</v>
      </c>
      <c r="F740" t="s">
        <v>14</v>
      </c>
      <c r="G740">
        <v>400</v>
      </c>
      <c r="H740">
        <v>2399</v>
      </c>
      <c r="I740" t="s">
        <v>15</v>
      </c>
      <c r="K740" s="1">
        <f t="shared" si="88"/>
        <v>46108</v>
      </c>
      <c r="L740" s="3">
        <f t="shared" si="89"/>
        <v>39.983333333333334</v>
      </c>
      <c r="M740" s="3">
        <f t="shared" si="90"/>
        <v>6.666666666666667</v>
      </c>
      <c r="N740" t="str">
        <f t="shared" si="91"/>
        <v>Within SLA</v>
      </c>
      <c r="O740" t="str">
        <f t="shared" si="95"/>
        <v>No Rating</v>
      </c>
      <c r="P740" t="str">
        <f t="shared" si="92"/>
        <v>Resolved</v>
      </c>
      <c r="Q740" s="2" t="str">
        <f t="shared" si="93"/>
        <v>Mar-2026</v>
      </c>
      <c r="R740" s="2">
        <f t="shared" si="94"/>
        <v>46082</v>
      </c>
    </row>
    <row r="741" spans="1:18">
      <c r="A741" t="s">
        <v>1510</v>
      </c>
      <c r="B741" s="2" t="s">
        <v>1511</v>
      </c>
      <c r="C741">
        <v>1679</v>
      </c>
      <c r="D741" t="s">
        <v>12</v>
      </c>
      <c r="E741" t="s">
        <v>27</v>
      </c>
      <c r="F741" t="s">
        <v>54</v>
      </c>
      <c r="G741">
        <v>31</v>
      </c>
      <c r="H741">
        <v>411</v>
      </c>
      <c r="I741" t="s">
        <v>20</v>
      </c>
      <c r="J741">
        <v>4</v>
      </c>
      <c r="K741" s="1">
        <f t="shared" si="88"/>
        <v>46108</v>
      </c>
      <c r="L741" s="3">
        <f t="shared" si="89"/>
        <v>6.85</v>
      </c>
      <c r="M741" s="3">
        <f t="shared" si="90"/>
        <v>0.51666666666666672</v>
      </c>
      <c r="N741" t="str">
        <f t="shared" si="91"/>
        <v>Within SLA</v>
      </c>
      <c r="O741" t="str">
        <f t="shared" si="95"/>
        <v>Satisfied</v>
      </c>
      <c r="P741" t="str">
        <f t="shared" si="92"/>
        <v>Resolved</v>
      </c>
      <c r="Q741" s="2" t="str">
        <f t="shared" si="93"/>
        <v>Mar-2026</v>
      </c>
      <c r="R741" s="2">
        <f t="shared" si="94"/>
        <v>46082</v>
      </c>
    </row>
    <row r="742" spans="1:18">
      <c r="A742" t="s">
        <v>1512</v>
      </c>
      <c r="B742" s="2" t="s">
        <v>1513</v>
      </c>
      <c r="C742">
        <v>1888</v>
      </c>
      <c r="D742" t="s">
        <v>32</v>
      </c>
      <c r="E742" t="s">
        <v>33</v>
      </c>
      <c r="F742" t="s">
        <v>14</v>
      </c>
      <c r="G742">
        <v>235</v>
      </c>
      <c r="I742" t="s">
        <v>44</v>
      </c>
      <c r="K742" s="1">
        <f t="shared" si="88"/>
        <v>46109</v>
      </c>
      <c r="L742" s="3" t="str">
        <f t="shared" si="89"/>
        <v/>
      </c>
      <c r="M742" s="3">
        <f t="shared" si="90"/>
        <v>3.9166666666666665</v>
      </c>
      <c r="N742" t="str">
        <f t="shared" si="91"/>
        <v>Open</v>
      </c>
      <c r="O742" t="str">
        <f t="shared" si="95"/>
        <v>No Rating</v>
      </c>
      <c r="P742" t="str">
        <f t="shared" si="92"/>
        <v>Unresolved</v>
      </c>
      <c r="Q742" s="2" t="str">
        <f t="shared" si="93"/>
        <v>Mar-2026</v>
      </c>
      <c r="R742" s="2">
        <f t="shared" si="94"/>
        <v>46082</v>
      </c>
    </row>
    <row r="743" spans="1:18">
      <c r="A743" t="s">
        <v>1514</v>
      </c>
      <c r="B743" s="2" t="s">
        <v>1515</v>
      </c>
      <c r="C743">
        <v>1330</v>
      </c>
      <c r="D743" t="s">
        <v>18</v>
      </c>
      <c r="E743" t="s">
        <v>33</v>
      </c>
      <c r="F743" t="s">
        <v>43</v>
      </c>
      <c r="G743">
        <v>459</v>
      </c>
      <c r="H743">
        <v>1410</v>
      </c>
      <c r="I743" t="s">
        <v>15</v>
      </c>
      <c r="K743" s="1">
        <f t="shared" si="88"/>
        <v>46109</v>
      </c>
      <c r="L743" s="3">
        <f t="shared" si="89"/>
        <v>23.5</v>
      </c>
      <c r="M743" s="3">
        <f t="shared" si="90"/>
        <v>7.65</v>
      </c>
      <c r="N743" t="str">
        <f t="shared" si="91"/>
        <v>Within SLA</v>
      </c>
      <c r="O743" t="str">
        <f t="shared" si="95"/>
        <v>No Rating</v>
      </c>
      <c r="P743" t="str">
        <f t="shared" si="92"/>
        <v>Resolved</v>
      </c>
      <c r="Q743" s="2" t="str">
        <f t="shared" si="93"/>
        <v>Mar-2026</v>
      </c>
      <c r="R743" s="2">
        <f t="shared" si="94"/>
        <v>46082</v>
      </c>
    </row>
    <row r="744" spans="1:18">
      <c r="A744" t="s">
        <v>1516</v>
      </c>
      <c r="B744" s="2" t="s">
        <v>1517</v>
      </c>
      <c r="C744">
        <v>1527</v>
      </c>
      <c r="D744" t="s">
        <v>12</v>
      </c>
      <c r="E744" t="s">
        <v>19</v>
      </c>
      <c r="F744" t="s">
        <v>14</v>
      </c>
      <c r="G744">
        <v>11</v>
      </c>
      <c r="H744">
        <v>212</v>
      </c>
      <c r="I744" t="s">
        <v>15</v>
      </c>
      <c r="K744" s="1">
        <f t="shared" si="88"/>
        <v>46109</v>
      </c>
      <c r="L744" s="3">
        <f t="shared" si="89"/>
        <v>3.5333333333333332</v>
      </c>
      <c r="M744" s="3">
        <f t="shared" si="90"/>
        <v>0.18333333333333332</v>
      </c>
      <c r="N744" t="str">
        <f t="shared" si="91"/>
        <v>Within SLA</v>
      </c>
      <c r="O744" t="str">
        <f t="shared" si="95"/>
        <v>No Rating</v>
      </c>
      <c r="P744" t="str">
        <f t="shared" si="92"/>
        <v>Resolved</v>
      </c>
      <c r="Q744" s="2" t="str">
        <f t="shared" si="93"/>
        <v>Mar-2026</v>
      </c>
      <c r="R744" s="2">
        <f t="shared" si="94"/>
        <v>46082</v>
      </c>
    </row>
    <row r="745" spans="1:18">
      <c r="A745" t="s">
        <v>1518</v>
      </c>
      <c r="B745" s="2" t="s">
        <v>1519</v>
      </c>
      <c r="C745">
        <v>1330</v>
      </c>
      <c r="D745" t="s">
        <v>47</v>
      </c>
      <c r="E745" t="s">
        <v>27</v>
      </c>
      <c r="F745" t="s">
        <v>64</v>
      </c>
      <c r="G745">
        <v>56</v>
      </c>
      <c r="H745">
        <v>1951</v>
      </c>
      <c r="I745" t="s">
        <v>15</v>
      </c>
      <c r="K745" s="1">
        <f t="shared" si="88"/>
        <v>46110</v>
      </c>
      <c r="L745" s="3">
        <f t="shared" si="89"/>
        <v>32.516666666666666</v>
      </c>
      <c r="M745" s="3">
        <f t="shared" si="90"/>
        <v>0.93333333333333335</v>
      </c>
      <c r="N745" t="str">
        <f t="shared" si="91"/>
        <v>Within SLA</v>
      </c>
      <c r="O745" t="str">
        <f t="shared" si="95"/>
        <v>No Rating</v>
      </c>
      <c r="P745" t="str">
        <f t="shared" si="92"/>
        <v>Resolved</v>
      </c>
      <c r="Q745" s="2" t="str">
        <f t="shared" si="93"/>
        <v>Mar-2026</v>
      </c>
      <c r="R745" s="2">
        <f t="shared" si="94"/>
        <v>46082</v>
      </c>
    </row>
    <row r="746" spans="1:18">
      <c r="A746" t="s">
        <v>1520</v>
      </c>
      <c r="B746" s="2" t="s">
        <v>1521</v>
      </c>
      <c r="C746">
        <v>1748</v>
      </c>
      <c r="D746" t="s">
        <v>32</v>
      </c>
      <c r="E746" t="s">
        <v>33</v>
      </c>
      <c r="F746" t="s">
        <v>34</v>
      </c>
      <c r="G746">
        <v>423</v>
      </c>
      <c r="H746">
        <v>6143</v>
      </c>
      <c r="I746" t="s">
        <v>20</v>
      </c>
      <c r="K746" s="1">
        <f t="shared" si="88"/>
        <v>46110</v>
      </c>
      <c r="L746" s="3">
        <f t="shared" si="89"/>
        <v>102.38333333333334</v>
      </c>
      <c r="M746" s="3">
        <f t="shared" si="90"/>
        <v>7.05</v>
      </c>
      <c r="N746" t="str">
        <f t="shared" si="91"/>
        <v>Breached</v>
      </c>
      <c r="O746" t="str">
        <f t="shared" si="95"/>
        <v>No Rating</v>
      </c>
      <c r="P746" t="str">
        <f t="shared" si="92"/>
        <v>Resolved</v>
      </c>
      <c r="Q746" s="2" t="str">
        <f t="shared" si="93"/>
        <v>Mar-2026</v>
      </c>
      <c r="R746" s="2">
        <f t="shared" si="94"/>
        <v>46082</v>
      </c>
    </row>
    <row r="747" spans="1:18">
      <c r="A747" t="s">
        <v>1522</v>
      </c>
      <c r="B747" s="2" t="s">
        <v>1523</v>
      </c>
      <c r="C747">
        <v>1287</v>
      </c>
      <c r="D747" t="s">
        <v>12</v>
      </c>
      <c r="E747" t="s">
        <v>27</v>
      </c>
      <c r="F747" t="s">
        <v>43</v>
      </c>
      <c r="G747">
        <v>99</v>
      </c>
      <c r="H747">
        <v>1220</v>
      </c>
      <c r="I747" t="s">
        <v>15</v>
      </c>
      <c r="K747" s="1">
        <f t="shared" si="88"/>
        <v>46110</v>
      </c>
      <c r="L747" s="3">
        <f t="shared" si="89"/>
        <v>20.333333333333332</v>
      </c>
      <c r="M747" s="3">
        <f t="shared" si="90"/>
        <v>1.65</v>
      </c>
      <c r="N747" t="str">
        <f t="shared" si="91"/>
        <v>Within SLA</v>
      </c>
      <c r="O747" t="str">
        <f t="shared" si="95"/>
        <v>No Rating</v>
      </c>
      <c r="P747" t="str">
        <f t="shared" si="92"/>
        <v>Resolved</v>
      </c>
      <c r="Q747" s="2" t="str">
        <f t="shared" si="93"/>
        <v>Mar-2026</v>
      </c>
      <c r="R747" s="2">
        <f t="shared" si="94"/>
        <v>46082</v>
      </c>
    </row>
    <row r="748" spans="1:18">
      <c r="A748" t="s">
        <v>1524</v>
      </c>
      <c r="B748" s="2" t="s">
        <v>1525</v>
      </c>
      <c r="C748">
        <v>1366</v>
      </c>
      <c r="D748" t="s">
        <v>26</v>
      </c>
      <c r="E748" t="s">
        <v>27</v>
      </c>
      <c r="F748" t="s">
        <v>14</v>
      </c>
      <c r="G748">
        <v>106</v>
      </c>
      <c r="H748">
        <v>1601</v>
      </c>
      <c r="I748" t="s">
        <v>20</v>
      </c>
      <c r="J748">
        <v>2</v>
      </c>
      <c r="K748" s="1">
        <f t="shared" si="88"/>
        <v>46111</v>
      </c>
      <c r="L748" s="3">
        <f t="shared" si="89"/>
        <v>26.683333333333334</v>
      </c>
      <c r="M748" s="3">
        <f t="shared" si="90"/>
        <v>1.7666666666666666</v>
      </c>
      <c r="N748" t="str">
        <f t="shared" si="91"/>
        <v>Within SLA</v>
      </c>
      <c r="O748" t="str">
        <f t="shared" si="95"/>
        <v>Dissatisfied</v>
      </c>
      <c r="P748" t="str">
        <f t="shared" si="92"/>
        <v>Resolved</v>
      </c>
      <c r="Q748" s="2" t="str">
        <f t="shared" si="93"/>
        <v>Mar-2026</v>
      </c>
      <c r="R748" s="2">
        <f t="shared" si="94"/>
        <v>46082</v>
      </c>
    </row>
    <row r="749" spans="1:18">
      <c r="A749" t="s">
        <v>1526</v>
      </c>
      <c r="B749" s="2" t="s">
        <v>1527</v>
      </c>
      <c r="C749">
        <v>1615</v>
      </c>
      <c r="D749" t="s">
        <v>18</v>
      </c>
      <c r="E749" t="s">
        <v>27</v>
      </c>
      <c r="F749" t="s">
        <v>54</v>
      </c>
      <c r="G749">
        <v>100</v>
      </c>
      <c r="H749">
        <v>593</v>
      </c>
      <c r="I749" t="s">
        <v>20</v>
      </c>
      <c r="K749" s="1">
        <f t="shared" si="88"/>
        <v>46111</v>
      </c>
      <c r="L749" s="3">
        <f t="shared" si="89"/>
        <v>9.8833333333333329</v>
      </c>
      <c r="M749" s="3">
        <f t="shared" si="90"/>
        <v>1.6666666666666667</v>
      </c>
      <c r="N749" t="str">
        <f t="shared" si="91"/>
        <v>Within SLA</v>
      </c>
      <c r="O749" t="str">
        <f t="shared" si="95"/>
        <v>No Rating</v>
      </c>
      <c r="P749" t="str">
        <f t="shared" si="92"/>
        <v>Resolved</v>
      </c>
      <c r="Q749" s="2" t="str">
        <f t="shared" si="93"/>
        <v>Mar-2026</v>
      </c>
      <c r="R749" s="2">
        <f t="shared" si="94"/>
        <v>46082</v>
      </c>
    </row>
    <row r="750" spans="1:18">
      <c r="A750" t="s">
        <v>1528</v>
      </c>
      <c r="B750" s="2" t="s">
        <v>1529</v>
      </c>
      <c r="C750">
        <v>1926</v>
      </c>
      <c r="D750" t="s">
        <v>47</v>
      </c>
      <c r="E750" t="s">
        <v>27</v>
      </c>
      <c r="F750" t="s">
        <v>43</v>
      </c>
      <c r="G750">
        <v>152</v>
      </c>
      <c r="H750">
        <v>1692</v>
      </c>
      <c r="I750" t="s">
        <v>20</v>
      </c>
      <c r="J750">
        <v>2</v>
      </c>
      <c r="K750" s="1">
        <f t="shared" si="88"/>
        <v>46112</v>
      </c>
      <c r="L750" s="3">
        <f t="shared" si="89"/>
        <v>28.2</v>
      </c>
      <c r="M750" s="3">
        <f t="shared" si="90"/>
        <v>2.5333333333333332</v>
      </c>
      <c r="N750" t="str">
        <f t="shared" si="91"/>
        <v>Within SLA</v>
      </c>
      <c r="O750" t="str">
        <f t="shared" si="95"/>
        <v>Dissatisfied</v>
      </c>
      <c r="P750" t="str">
        <f t="shared" si="92"/>
        <v>Resolved</v>
      </c>
      <c r="Q750" s="2" t="str">
        <f t="shared" si="93"/>
        <v>Mar-2026</v>
      </c>
      <c r="R750" s="2">
        <f t="shared" si="94"/>
        <v>46082</v>
      </c>
    </row>
    <row r="751" spans="1:18">
      <c r="A751" t="s">
        <v>1530</v>
      </c>
      <c r="B751" s="2" t="s">
        <v>1531</v>
      </c>
      <c r="C751">
        <v>1250</v>
      </c>
      <c r="D751" t="s">
        <v>18</v>
      </c>
      <c r="E751" t="s">
        <v>33</v>
      </c>
      <c r="F751" t="s">
        <v>59</v>
      </c>
      <c r="G751">
        <v>76</v>
      </c>
      <c r="H751">
        <v>5527</v>
      </c>
      <c r="I751" t="s">
        <v>20</v>
      </c>
      <c r="J751">
        <v>4</v>
      </c>
      <c r="K751" s="1">
        <f t="shared" si="88"/>
        <v>46112</v>
      </c>
      <c r="L751" s="3">
        <f t="shared" si="89"/>
        <v>92.11666666666666</v>
      </c>
      <c r="M751" s="3">
        <f t="shared" si="90"/>
        <v>1.2666666666666666</v>
      </c>
      <c r="N751" t="str">
        <f t="shared" si="91"/>
        <v>Breached</v>
      </c>
      <c r="O751" t="str">
        <f t="shared" si="95"/>
        <v>Satisfied</v>
      </c>
      <c r="P751" t="str">
        <f t="shared" si="92"/>
        <v>Resolved</v>
      </c>
      <c r="Q751" s="2" t="str">
        <f t="shared" si="93"/>
        <v>Mar-2026</v>
      </c>
      <c r="R751" s="2">
        <f t="shared" si="94"/>
        <v>46082</v>
      </c>
    </row>
    <row r="752" spans="1:18">
      <c r="A752" t="s">
        <v>1532</v>
      </c>
      <c r="B752" s="2" t="s">
        <v>1533</v>
      </c>
      <c r="C752">
        <v>1631</v>
      </c>
      <c r="D752" t="s">
        <v>26</v>
      </c>
      <c r="E752" t="s">
        <v>27</v>
      </c>
      <c r="F752" t="s">
        <v>59</v>
      </c>
      <c r="G752">
        <v>67</v>
      </c>
      <c r="H752">
        <v>2669</v>
      </c>
      <c r="I752" t="s">
        <v>15</v>
      </c>
      <c r="J752">
        <v>2</v>
      </c>
      <c r="K752" s="1">
        <f t="shared" si="88"/>
        <v>46112</v>
      </c>
      <c r="L752" s="3">
        <f t="shared" si="89"/>
        <v>44.483333333333334</v>
      </c>
      <c r="M752" s="3">
        <f t="shared" si="90"/>
        <v>1.1166666666666667</v>
      </c>
      <c r="N752" t="str">
        <f t="shared" si="91"/>
        <v>Within SLA</v>
      </c>
      <c r="O752" t="str">
        <f t="shared" si="95"/>
        <v>Dissatisfied</v>
      </c>
      <c r="P752" t="str">
        <f t="shared" si="92"/>
        <v>Resolved</v>
      </c>
      <c r="Q752" s="2" t="str">
        <f t="shared" si="93"/>
        <v>Mar-2026</v>
      </c>
      <c r="R752" s="2">
        <f t="shared" si="94"/>
        <v>46082</v>
      </c>
    </row>
    <row r="753" spans="1:18">
      <c r="A753" t="s">
        <v>1534</v>
      </c>
      <c r="B753" s="2" t="s">
        <v>1535</v>
      </c>
      <c r="C753">
        <v>1610</v>
      </c>
      <c r="D753" t="s">
        <v>47</v>
      </c>
      <c r="E753" t="s">
        <v>33</v>
      </c>
      <c r="F753" t="s">
        <v>28</v>
      </c>
      <c r="G753">
        <v>406</v>
      </c>
      <c r="H753">
        <v>8492</v>
      </c>
      <c r="I753" t="s">
        <v>15</v>
      </c>
      <c r="J753">
        <v>4</v>
      </c>
      <c r="K753" s="1">
        <f t="shared" si="88"/>
        <v>46113</v>
      </c>
      <c r="L753" s="3">
        <f t="shared" si="89"/>
        <v>141.53333333333333</v>
      </c>
      <c r="M753" s="3">
        <f t="shared" si="90"/>
        <v>6.7666666666666666</v>
      </c>
      <c r="N753" t="str">
        <f t="shared" si="91"/>
        <v>Breached</v>
      </c>
      <c r="O753" t="str">
        <f t="shared" si="95"/>
        <v>Satisfied</v>
      </c>
      <c r="P753" t="str">
        <f t="shared" si="92"/>
        <v>Resolved</v>
      </c>
      <c r="Q753" s="2" t="str">
        <f t="shared" si="93"/>
        <v>Apr-2026</v>
      </c>
      <c r="R753" s="2">
        <f t="shared" si="94"/>
        <v>46113</v>
      </c>
    </row>
    <row r="754" spans="1:18">
      <c r="A754" t="s">
        <v>1536</v>
      </c>
      <c r="B754" s="2" t="s">
        <v>1537</v>
      </c>
      <c r="C754">
        <v>1217</v>
      </c>
      <c r="D754" t="s">
        <v>47</v>
      </c>
      <c r="E754" t="s">
        <v>27</v>
      </c>
      <c r="F754" t="s">
        <v>14</v>
      </c>
      <c r="G754">
        <v>97</v>
      </c>
      <c r="H754">
        <v>1152</v>
      </c>
      <c r="I754" t="s">
        <v>15</v>
      </c>
      <c r="J754">
        <v>1</v>
      </c>
      <c r="K754" s="1">
        <f t="shared" si="88"/>
        <v>46113</v>
      </c>
      <c r="L754" s="3">
        <f t="shared" si="89"/>
        <v>19.2</v>
      </c>
      <c r="M754" s="3">
        <f t="shared" si="90"/>
        <v>1.6166666666666667</v>
      </c>
      <c r="N754" t="str">
        <f t="shared" si="91"/>
        <v>Within SLA</v>
      </c>
      <c r="O754" t="str">
        <f t="shared" si="95"/>
        <v>Dissatisfied</v>
      </c>
      <c r="P754" t="str">
        <f t="shared" si="92"/>
        <v>Resolved</v>
      </c>
      <c r="Q754" s="2" t="str">
        <f t="shared" si="93"/>
        <v>Apr-2026</v>
      </c>
      <c r="R754" s="2">
        <f t="shared" si="94"/>
        <v>46113</v>
      </c>
    </row>
    <row r="755" spans="1:18">
      <c r="A755" t="s">
        <v>1538</v>
      </c>
      <c r="B755" s="2" t="s">
        <v>1539</v>
      </c>
      <c r="C755">
        <v>1724</v>
      </c>
      <c r="D755" t="s">
        <v>47</v>
      </c>
      <c r="E755" t="s">
        <v>27</v>
      </c>
      <c r="F755" t="s">
        <v>54</v>
      </c>
      <c r="G755">
        <v>74</v>
      </c>
      <c r="I755" t="s">
        <v>29</v>
      </c>
      <c r="K755" s="1">
        <f t="shared" si="88"/>
        <v>46113</v>
      </c>
      <c r="L755" s="3" t="str">
        <f t="shared" si="89"/>
        <v/>
      </c>
      <c r="M755" s="3">
        <f t="shared" si="90"/>
        <v>1.2333333333333334</v>
      </c>
      <c r="N755" t="str">
        <f t="shared" si="91"/>
        <v>Open</v>
      </c>
      <c r="O755" t="str">
        <f t="shared" si="95"/>
        <v>No Rating</v>
      </c>
      <c r="P755" t="str">
        <f t="shared" si="92"/>
        <v>Unresolved</v>
      </c>
      <c r="Q755" s="2" t="str">
        <f t="shared" si="93"/>
        <v>Apr-2026</v>
      </c>
      <c r="R755" s="2">
        <f t="shared" si="94"/>
        <v>46113</v>
      </c>
    </row>
    <row r="756" spans="1:18">
      <c r="A756" t="s">
        <v>1540</v>
      </c>
      <c r="B756" s="2" t="s">
        <v>1541</v>
      </c>
      <c r="C756">
        <v>1494</v>
      </c>
      <c r="D756" t="s">
        <v>12</v>
      </c>
      <c r="E756" t="s">
        <v>27</v>
      </c>
      <c r="F756" t="s">
        <v>59</v>
      </c>
      <c r="G756">
        <v>101</v>
      </c>
      <c r="H756">
        <v>1924</v>
      </c>
      <c r="I756" t="s">
        <v>15</v>
      </c>
      <c r="J756">
        <v>4</v>
      </c>
      <c r="K756" s="1">
        <f t="shared" si="88"/>
        <v>46114</v>
      </c>
      <c r="L756" s="3">
        <f t="shared" si="89"/>
        <v>32.06666666666667</v>
      </c>
      <c r="M756" s="3">
        <f t="shared" si="90"/>
        <v>1.6833333333333333</v>
      </c>
      <c r="N756" t="str">
        <f t="shared" si="91"/>
        <v>Within SLA</v>
      </c>
      <c r="O756" t="str">
        <f t="shared" si="95"/>
        <v>Satisfied</v>
      </c>
      <c r="P756" t="str">
        <f t="shared" si="92"/>
        <v>Resolved</v>
      </c>
      <c r="Q756" s="2" t="str">
        <f t="shared" si="93"/>
        <v>Apr-2026</v>
      </c>
      <c r="R756" s="2">
        <f t="shared" si="94"/>
        <v>46113</v>
      </c>
    </row>
    <row r="757" spans="1:18">
      <c r="A757" t="s">
        <v>1542</v>
      </c>
      <c r="B757" s="2" t="s">
        <v>1543</v>
      </c>
      <c r="C757">
        <v>1605</v>
      </c>
      <c r="D757" t="s">
        <v>32</v>
      </c>
      <c r="E757" t="s">
        <v>13</v>
      </c>
      <c r="F757" t="s">
        <v>59</v>
      </c>
      <c r="G757">
        <v>6</v>
      </c>
      <c r="H757">
        <v>196</v>
      </c>
      <c r="I757" t="s">
        <v>15</v>
      </c>
      <c r="J757">
        <v>5</v>
      </c>
      <c r="K757" s="1">
        <f t="shared" si="88"/>
        <v>46114</v>
      </c>
      <c r="L757" s="3">
        <f t="shared" si="89"/>
        <v>3.2666666666666666</v>
      </c>
      <c r="M757" s="3">
        <f t="shared" si="90"/>
        <v>0.1</v>
      </c>
      <c r="N757" t="str">
        <f t="shared" si="91"/>
        <v>Within SLA</v>
      </c>
      <c r="O757" t="str">
        <f t="shared" si="95"/>
        <v>Satisfied</v>
      </c>
      <c r="P757" t="str">
        <f t="shared" si="92"/>
        <v>Resolved</v>
      </c>
      <c r="Q757" s="2" t="str">
        <f t="shared" si="93"/>
        <v>Apr-2026</v>
      </c>
      <c r="R757" s="2">
        <f t="shared" si="94"/>
        <v>46113</v>
      </c>
    </row>
    <row r="758" spans="1:18">
      <c r="A758" t="s">
        <v>1544</v>
      </c>
      <c r="B758" s="2" t="s">
        <v>1545</v>
      </c>
      <c r="C758">
        <v>1038</v>
      </c>
      <c r="D758" t="s">
        <v>47</v>
      </c>
      <c r="E758" t="s">
        <v>19</v>
      </c>
      <c r="F758" t="s">
        <v>71</v>
      </c>
      <c r="G758">
        <v>46</v>
      </c>
      <c r="H758">
        <v>416</v>
      </c>
      <c r="I758" t="s">
        <v>20</v>
      </c>
      <c r="J758">
        <v>1</v>
      </c>
      <c r="K758" s="1">
        <f t="shared" si="88"/>
        <v>46114</v>
      </c>
      <c r="L758" s="3">
        <f t="shared" si="89"/>
        <v>6.9333333333333336</v>
      </c>
      <c r="M758" s="3">
        <f t="shared" si="90"/>
        <v>0.76666666666666672</v>
      </c>
      <c r="N758" t="str">
        <f t="shared" si="91"/>
        <v>Within SLA</v>
      </c>
      <c r="O758" t="str">
        <f t="shared" si="95"/>
        <v>Dissatisfied</v>
      </c>
      <c r="P758" t="str">
        <f t="shared" si="92"/>
        <v>Resolved</v>
      </c>
      <c r="Q758" s="2" t="str">
        <f t="shared" si="93"/>
        <v>Apr-2026</v>
      </c>
      <c r="R758" s="2">
        <f t="shared" si="94"/>
        <v>46113</v>
      </c>
    </row>
    <row r="759" spans="1:18">
      <c r="A759" t="s">
        <v>1546</v>
      </c>
      <c r="B759" s="2" t="s">
        <v>1547</v>
      </c>
      <c r="C759">
        <v>1504</v>
      </c>
      <c r="D759" t="s">
        <v>47</v>
      </c>
      <c r="E759" t="s">
        <v>27</v>
      </c>
      <c r="F759" t="s">
        <v>14</v>
      </c>
      <c r="G759">
        <v>177</v>
      </c>
      <c r="H759">
        <v>3178</v>
      </c>
      <c r="I759" t="s">
        <v>20</v>
      </c>
      <c r="J759">
        <v>3</v>
      </c>
      <c r="K759" s="1">
        <f t="shared" si="88"/>
        <v>46115</v>
      </c>
      <c r="L759" s="3">
        <f t="shared" si="89"/>
        <v>52.966666666666669</v>
      </c>
      <c r="M759" s="3">
        <f t="shared" si="90"/>
        <v>2.95</v>
      </c>
      <c r="N759" t="str">
        <f t="shared" si="91"/>
        <v>Breached</v>
      </c>
      <c r="O759" t="str">
        <f t="shared" si="95"/>
        <v>Neutral</v>
      </c>
      <c r="P759" t="str">
        <f t="shared" si="92"/>
        <v>Resolved</v>
      </c>
      <c r="Q759" s="2" t="str">
        <f t="shared" si="93"/>
        <v>Apr-2026</v>
      </c>
      <c r="R759" s="2">
        <f t="shared" si="94"/>
        <v>46113</v>
      </c>
    </row>
    <row r="760" spans="1:18">
      <c r="A760" t="s">
        <v>1548</v>
      </c>
      <c r="B760" s="2" t="s">
        <v>1549</v>
      </c>
      <c r="C760">
        <v>1053</v>
      </c>
      <c r="D760" t="s">
        <v>12</v>
      </c>
      <c r="E760" t="s">
        <v>27</v>
      </c>
      <c r="F760" t="s">
        <v>14</v>
      </c>
      <c r="G760">
        <v>135</v>
      </c>
      <c r="H760">
        <v>2758</v>
      </c>
      <c r="I760" t="s">
        <v>20</v>
      </c>
      <c r="J760">
        <v>5</v>
      </c>
      <c r="K760" s="1">
        <f t="shared" si="88"/>
        <v>46115</v>
      </c>
      <c r="L760" s="3">
        <f t="shared" si="89"/>
        <v>45.966666666666669</v>
      </c>
      <c r="M760" s="3">
        <f t="shared" si="90"/>
        <v>2.25</v>
      </c>
      <c r="N760" t="str">
        <f t="shared" si="91"/>
        <v>Within SLA</v>
      </c>
      <c r="O760" t="str">
        <f t="shared" si="95"/>
        <v>Satisfied</v>
      </c>
      <c r="P760" t="str">
        <f t="shared" si="92"/>
        <v>Resolved</v>
      </c>
      <c r="Q760" s="2" t="str">
        <f t="shared" si="93"/>
        <v>Apr-2026</v>
      </c>
      <c r="R760" s="2">
        <f t="shared" si="94"/>
        <v>46113</v>
      </c>
    </row>
    <row r="761" spans="1:18">
      <c r="A761" t="s">
        <v>1550</v>
      </c>
      <c r="B761" s="2" t="s">
        <v>1551</v>
      </c>
      <c r="C761">
        <v>1331</v>
      </c>
      <c r="D761" t="s">
        <v>26</v>
      </c>
      <c r="E761" t="s">
        <v>27</v>
      </c>
      <c r="F761" t="s">
        <v>34</v>
      </c>
      <c r="G761">
        <v>126</v>
      </c>
      <c r="H761">
        <v>2874</v>
      </c>
      <c r="I761" t="s">
        <v>15</v>
      </c>
      <c r="J761">
        <v>4</v>
      </c>
      <c r="K761" s="1">
        <f t="shared" si="88"/>
        <v>46116</v>
      </c>
      <c r="L761" s="3">
        <f t="shared" si="89"/>
        <v>47.9</v>
      </c>
      <c r="M761" s="3">
        <f t="shared" si="90"/>
        <v>2.1</v>
      </c>
      <c r="N761" t="str">
        <f t="shared" si="91"/>
        <v>Within SLA</v>
      </c>
      <c r="O761" t="str">
        <f t="shared" si="95"/>
        <v>Satisfied</v>
      </c>
      <c r="P761" t="str">
        <f t="shared" si="92"/>
        <v>Resolved</v>
      </c>
      <c r="Q761" s="2" t="str">
        <f t="shared" si="93"/>
        <v>Apr-2026</v>
      </c>
      <c r="R761" s="2">
        <f t="shared" si="94"/>
        <v>46113</v>
      </c>
    </row>
    <row r="762" spans="1:18">
      <c r="A762" t="s">
        <v>1552</v>
      </c>
      <c r="B762" s="2" t="s">
        <v>1553</v>
      </c>
      <c r="C762">
        <v>1593</v>
      </c>
      <c r="D762" t="s">
        <v>12</v>
      </c>
      <c r="E762" t="s">
        <v>19</v>
      </c>
      <c r="F762" t="s">
        <v>23</v>
      </c>
      <c r="G762">
        <v>33</v>
      </c>
      <c r="I762" t="s">
        <v>44</v>
      </c>
      <c r="K762" s="1">
        <f t="shared" si="88"/>
        <v>46116</v>
      </c>
      <c r="L762" s="3" t="str">
        <f t="shared" si="89"/>
        <v/>
      </c>
      <c r="M762" s="3">
        <f t="shared" si="90"/>
        <v>0.55000000000000004</v>
      </c>
      <c r="N762" t="str">
        <f t="shared" si="91"/>
        <v>Open</v>
      </c>
      <c r="O762" t="str">
        <f t="shared" si="95"/>
        <v>No Rating</v>
      </c>
      <c r="P762" t="str">
        <f t="shared" si="92"/>
        <v>Unresolved</v>
      </c>
      <c r="Q762" s="2" t="str">
        <f t="shared" si="93"/>
        <v>Apr-2026</v>
      </c>
      <c r="R762" s="2">
        <f t="shared" si="94"/>
        <v>46113</v>
      </c>
    </row>
    <row r="763" spans="1:18">
      <c r="A763" t="s">
        <v>1554</v>
      </c>
      <c r="B763" s="2" t="s">
        <v>1555</v>
      </c>
      <c r="C763">
        <v>1397</v>
      </c>
      <c r="D763" t="s">
        <v>47</v>
      </c>
      <c r="E763" t="s">
        <v>13</v>
      </c>
      <c r="F763" t="s">
        <v>28</v>
      </c>
      <c r="G763">
        <v>7</v>
      </c>
      <c r="H763">
        <v>98</v>
      </c>
      <c r="I763" t="s">
        <v>15</v>
      </c>
      <c r="J763">
        <v>2</v>
      </c>
      <c r="K763" s="1">
        <f t="shared" si="88"/>
        <v>46116</v>
      </c>
      <c r="L763" s="3">
        <f t="shared" si="89"/>
        <v>1.6333333333333333</v>
      </c>
      <c r="M763" s="3">
        <f t="shared" si="90"/>
        <v>0.11666666666666667</v>
      </c>
      <c r="N763" t="str">
        <f t="shared" si="91"/>
        <v>Within SLA</v>
      </c>
      <c r="O763" t="str">
        <f t="shared" si="95"/>
        <v>Dissatisfied</v>
      </c>
      <c r="P763" t="str">
        <f t="shared" si="92"/>
        <v>Resolved</v>
      </c>
      <c r="Q763" s="2" t="str">
        <f t="shared" si="93"/>
        <v>Apr-2026</v>
      </c>
      <c r="R763" s="2">
        <f t="shared" si="94"/>
        <v>46113</v>
      </c>
    </row>
    <row r="764" spans="1:18">
      <c r="A764" t="s">
        <v>1556</v>
      </c>
      <c r="B764" s="2" t="s">
        <v>1557</v>
      </c>
      <c r="C764">
        <v>1796</v>
      </c>
      <c r="D764" t="s">
        <v>26</v>
      </c>
      <c r="E764" t="s">
        <v>27</v>
      </c>
      <c r="F764" t="s">
        <v>54</v>
      </c>
      <c r="G764">
        <v>80</v>
      </c>
      <c r="I764" t="s">
        <v>29</v>
      </c>
      <c r="K764" s="1">
        <f t="shared" si="88"/>
        <v>46117</v>
      </c>
      <c r="L764" s="3" t="str">
        <f t="shared" si="89"/>
        <v/>
      </c>
      <c r="M764" s="3">
        <f t="shared" si="90"/>
        <v>1.3333333333333333</v>
      </c>
      <c r="N764" t="str">
        <f t="shared" si="91"/>
        <v>Open</v>
      </c>
      <c r="O764" t="str">
        <f t="shared" si="95"/>
        <v>No Rating</v>
      </c>
      <c r="P764" t="str">
        <f t="shared" si="92"/>
        <v>Unresolved</v>
      </c>
      <c r="Q764" s="2" t="str">
        <f t="shared" si="93"/>
        <v>Apr-2026</v>
      </c>
      <c r="R764" s="2">
        <f t="shared" si="94"/>
        <v>46113</v>
      </c>
    </row>
    <row r="765" spans="1:18">
      <c r="A765" t="s">
        <v>1558</v>
      </c>
      <c r="B765" s="2" t="s">
        <v>1559</v>
      </c>
      <c r="C765">
        <v>1203</v>
      </c>
      <c r="D765" t="s">
        <v>18</v>
      </c>
      <c r="E765" t="s">
        <v>19</v>
      </c>
      <c r="F765" t="s">
        <v>71</v>
      </c>
      <c r="G765">
        <v>22</v>
      </c>
      <c r="I765" t="s">
        <v>29</v>
      </c>
      <c r="K765" s="1">
        <f t="shared" si="88"/>
        <v>46117</v>
      </c>
      <c r="L765" s="3" t="str">
        <f t="shared" si="89"/>
        <v/>
      </c>
      <c r="M765" s="3">
        <f t="shared" si="90"/>
        <v>0.36666666666666664</v>
      </c>
      <c r="N765" t="str">
        <f t="shared" si="91"/>
        <v>Open</v>
      </c>
      <c r="O765" t="str">
        <f t="shared" si="95"/>
        <v>No Rating</v>
      </c>
      <c r="P765" t="str">
        <f t="shared" si="92"/>
        <v>Unresolved</v>
      </c>
      <c r="Q765" s="2" t="str">
        <f t="shared" si="93"/>
        <v>Apr-2026</v>
      </c>
      <c r="R765" s="2">
        <f t="shared" si="94"/>
        <v>46113</v>
      </c>
    </row>
    <row r="766" spans="1:18">
      <c r="A766" t="s">
        <v>1560</v>
      </c>
      <c r="B766" s="2" t="s">
        <v>1561</v>
      </c>
      <c r="C766">
        <v>1075</v>
      </c>
      <c r="D766" t="s">
        <v>18</v>
      </c>
      <c r="E766" t="s">
        <v>19</v>
      </c>
      <c r="F766" t="s">
        <v>71</v>
      </c>
      <c r="G766">
        <v>26</v>
      </c>
      <c r="I766" t="s">
        <v>44</v>
      </c>
      <c r="K766" s="1">
        <f t="shared" si="88"/>
        <v>46117</v>
      </c>
      <c r="L766" s="3" t="str">
        <f t="shared" si="89"/>
        <v/>
      </c>
      <c r="M766" s="3">
        <f t="shared" si="90"/>
        <v>0.43333333333333335</v>
      </c>
      <c r="N766" t="str">
        <f t="shared" si="91"/>
        <v>Open</v>
      </c>
      <c r="O766" t="str">
        <f t="shared" si="95"/>
        <v>No Rating</v>
      </c>
      <c r="P766" t="str">
        <f t="shared" si="92"/>
        <v>Unresolved</v>
      </c>
      <c r="Q766" s="2" t="str">
        <f t="shared" si="93"/>
        <v>Apr-2026</v>
      </c>
      <c r="R766" s="2">
        <f t="shared" si="94"/>
        <v>46113</v>
      </c>
    </row>
    <row r="767" spans="1:18">
      <c r="A767" t="s">
        <v>1562</v>
      </c>
      <c r="B767" s="2" t="s">
        <v>1563</v>
      </c>
      <c r="C767">
        <v>1174</v>
      </c>
      <c r="D767" t="s">
        <v>26</v>
      </c>
      <c r="E767" t="s">
        <v>13</v>
      </c>
      <c r="F767" t="s">
        <v>34</v>
      </c>
      <c r="G767">
        <v>2</v>
      </c>
      <c r="H767">
        <v>177</v>
      </c>
      <c r="I767" t="s">
        <v>20</v>
      </c>
      <c r="J767">
        <v>3</v>
      </c>
      <c r="K767" s="1">
        <f t="shared" si="88"/>
        <v>46118</v>
      </c>
      <c r="L767" s="3">
        <f t="shared" si="89"/>
        <v>2.95</v>
      </c>
      <c r="M767" s="3">
        <f t="shared" si="90"/>
        <v>3.3333333333333333E-2</v>
      </c>
      <c r="N767" t="str">
        <f t="shared" si="91"/>
        <v>Within SLA</v>
      </c>
      <c r="O767" t="str">
        <f t="shared" si="95"/>
        <v>Neutral</v>
      </c>
      <c r="P767" t="str">
        <f t="shared" si="92"/>
        <v>Resolved</v>
      </c>
      <c r="Q767" s="2" t="str">
        <f t="shared" si="93"/>
        <v>Apr-2026</v>
      </c>
      <c r="R767" s="2">
        <f t="shared" si="94"/>
        <v>46113</v>
      </c>
    </row>
    <row r="768" spans="1:18">
      <c r="A768" t="s">
        <v>1564</v>
      </c>
      <c r="B768" s="2" t="s">
        <v>1565</v>
      </c>
      <c r="C768">
        <v>1997</v>
      </c>
      <c r="D768" t="s">
        <v>32</v>
      </c>
      <c r="E768" t="s">
        <v>27</v>
      </c>
      <c r="F768" t="s">
        <v>14</v>
      </c>
      <c r="G768">
        <v>88</v>
      </c>
      <c r="H768">
        <v>2308</v>
      </c>
      <c r="I768" t="s">
        <v>20</v>
      </c>
      <c r="J768">
        <v>1</v>
      </c>
      <c r="K768" s="1">
        <f t="shared" si="88"/>
        <v>46118</v>
      </c>
      <c r="L768" s="3">
        <f t="shared" si="89"/>
        <v>38.466666666666669</v>
      </c>
      <c r="M768" s="3">
        <f t="shared" si="90"/>
        <v>1.4666666666666666</v>
      </c>
      <c r="N768" t="str">
        <f t="shared" si="91"/>
        <v>Within SLA</v>
      </c>
      <c r="O768" t="str">
        <f t="shared" si="95"/>
        <v>Dissatisfied</v>
      </c>
      <c r="P768" t="str">
        <f t="shared" si="92"/>
        <v>Resolved</v>
      </c>
      <c r="Q768" s="2" t="str">
        <f t="shared" si="93"/>
        <v>Apr-2026</v>
      </c>
      <c r="R768" s="2">
        <f t="shared" si="94"/>
        <v>46113</v>
      </c>
    </row>
    <row r="769" spans="1:18">
      <c r="A769" t="s">
        <v>1566</v>
      </c>
      <c r="B769" s="2" t="s">
        <v>1567</v>
      </c>
      <c r="C769">
        <v>1381</v>
      </c>
      <c r="D769" t="s">
        <v>32</v>
      </c>
      <c r="E769" t="s">
        <v>27</v>
      </c>
      <c r="F769" t="s">
        <v>43</v>
      </c>
      <c r="G769">
        <v>115</v>
      </c>
      <c r="H769">
        <v>2881</v>
      </c>
      <c r="I769" t="s">
        <v>15</v>
      </c>
      <c r="J769">
        <v>4</v>
      </c>
      <c r="K769" s="1">
        <f t="shared" si="88"/>
        <v>46118</v>
      </c>
      <c r="L769" s="3">
        <f t="shared" si="89"/>
        <v>48.016666666666666</v>
      </c>
      <c r="M769" s="3">
        <f t="shared" si="90"/>
        <v>1.9166666666666667</v>
      </c>
      <c r="N769" t="str">
        <f t="shared" si="91"/>
        <v>Breached</v>
      </c>
      <c r="O769" t="str">
        <f t="shared" si="95"/>
        <v>Satisfied</v>
      </c>
      <c r="P769" t="str">
        <f t="shared" si="92"/>
        <v>Resolved</v>
      </c>
      <c r="Q769" s="2" t="str">
        <f t="shared" si="93"/>
        <v>Apr-2026</v>
      </c>
      <c r="R769" s="2">
        <f t="shared" si="94"/>
        <v>46113</v>
      </c>
    </row>
    <row r="770" spans="1:18">
      <c r="A770" t="s">
        <v>1568</v>
      </c>
      <c r="B770" s="2" t="s">
        <v>1569</v>
      </c>
      <c r="C770">
        <v>1033</v>
      </c>
      <c r="D770" t="s">
        <v>47</v>
      </c>
      <c r="E770" t="s">
        <v>27</v>
      </c>
      <c r="F770" t="s">
        <v>71</v>
      </c>
      <c r="G770">
        <v>57</v>
      </c>
      <c r="I770" t="s">
        <v>44</v>
      </c>
      <c r="K770" s="1">
        <f t="shared" si="88"/>
        <v>46119</v>
      </c>
      <c r="L770" s="3" t="str">
        <f t="shared" si="89"/>
        <v/>
      </c>
      <c r="M770" s="3">
        <f t="shared" si="90"/>
        <v>0.95</v>
      </c>
      <c r="N770" t="str">
        <f t="shared" si="91"/>
        <v>Open</v>
      </c>
      <c r="O770" t="str">
        <f t="shared" si="95"/>
        <v>No Rating</v>
      </c>
      <c r="P770" t="str">
        <f t="shared" si="92"/>
        <v>Unresolved</v>
      </c>
      <c r="Q770" s="2" t="str">
        <f t="shared" si="93"/>
        <v>Apr-2026</v>
      </c>
      <c r="R770" s="2">
        <f t="shared" si="94"/>
        <v>46113</v>
      </c>
    </row>
    <row r="771" spans="1:18">
      <c r="A771" t="s">
        <v>1570</v>
      </c>
      <c r="B771" s="2" t="s">
        <v>1571</v>
      </c>
      <c r="C771">
        <v>1228</v>
      </c>
      <c r="D771" t="s">
        <v>47</v>
      </c>
      <c r="E771" t="s">
        <v>13</v>
      </c>
      <c r="F771" t="s">
        <v>14</v>
      </c>
      <c r="G771">
        <v>7</v>
      </c>
      <c r="H771">
        <v>177</v>
      </c>
      <c r="I771" t="s">
        <v>20</v>
      </c>
      <c r="K771" s="1">
        <f t="shared" ref="K771:K834" si="96">IF(B771="","",DATEVALUE(LEFT(B771,10)))</f>
        <v>46119</v>
      </c>
      <c r="L771" s="3">
        <f t="shared" ref="L771:L834" si="97">IF(H771="","",H771/60)</f>
        <v>2.95</v>
      </c>
      <c r="M771" s="3">
        <f t="shared" ref="M771:M834" si="98">IF(G771="","",G771/60)</f>
        <v>0.11666666666666667</v>
      </c>
      <c r="N771" t="str">
        <f t="shared" ref="N771:N834" si="99">IF(L771="","Open",IF(L771&lt;=IF(E771="Urgent",8,IF(E771="High",24,IF(E771="Normal",48,72))),"Within SLA","Breached"))</f>
        <v>Within SLA</v>
      </c>
      <c r="O771" t="str">
        <f t="shared" si="95"/>
        <v>No Rating</v>
      </c>
      <c r="P771" t="str">
        <f t="shared" ref="P771:P834" si="100">IF(I771="Closed","Resolved",IF(I771="Resolved","Resolved","Unresolved"))</f>
        <v>Resolved</v>
      </c>
      <c r="Q771" s="2" t="str">
        <f t="shared" ref="Q771:Q834" si="101">IF(K771="","",TEXT(K771,"mmm-yyyy"))</f>
        <v>Apr-2026</v>
      </c>
      <c r="R771" s="2">
        <f t="shared" ref="R771:R834" si="102">IF(K771="","",DATE(YEAR(K771),MONTH(K771),1))</f>
        <v>46113</v>
      </c>
    </row>
    <row r="772" spans="1:18">
      <c r="A772" t="s">
        <v>1572</v>
      </c>
      <c r="B772" s="2" t="s">
        <v>1573</v>
      </c>
      <c r="C772">
        <v>1386</v>
      </c>
      <c r="D772" t="s">
        <v>26</v>
      </c>
      <c r="E772" t="s">
        <v>27</v>
      </c>
      <c r="F772" t="s">
        <v>34</v>
      </c>
      <c r="G772">
        <v>44</v>
      </c>
      <c r="H772">
        <v>2297</v>
      </c>
      <c r="I772" t="s">
        <v>15</v>
      </c>
      <c r="J772">
        <v>2</v>
      </c>
      <c r="K772" s="1">
        <f t="shared" si="96"/>
        <v>46120</v>
      </c>
      <c r="L772" s="3">
        <f t="shared" si="97"/>
        <v>38.283333333333331</v>
      </c>
      <c r="M772" s="3">
        <f t="shared" si="98"/>
        <v>0.73333333333333328</v>
      </c>
      <c r="N772" t="str">
        <f t="shared" si="99"/>
        <v>Within SLA</v>
      </c>
      <c r="O772" t="str">
        <f t="shared" ref="O772:O835" si="103">IF(J772="","No Rating",IF(J772&gt;=4,"Satisfied",IF(J772=3,"Neutral","Dissatisfied")))</f>
        <v>Dissatisfied</v>
      </c>
      <c r="P772" t="str">
        <f t="shared" si="100"/>
        <v>Resolved</v>
      </c>
      <c r="Q772" s="2" t="str">
        <f t="shared" si="101"/>
        <v>Apr-2026</v>
      </c>
      <c r="R772" s="2">
        <f t="shared" si="102"/>
        <v>46113</v>
      </c>
    </row>
    <row r="773" spans="1:18">
      <c r="A773" t="s">
        <v>1574</v>
      </c>
      <c r="B773" s="2" t="s">
        <v>1575</v>
      </c>
      <c r="C773">
        <v>1930</v>
      </c>
      <c r="D773" t="s">
        <v>12</v>
      </c>
      <c r="E773" t="s">
        <v>13</v>
      </c>
      <c r="F773" t="s">
        <v>28</v>
      </c>
      <c r="G773">
        <v>10</v>
      </c>
      <c r="H773">
        <v>374</v>
      </c>
      <c r="I773" t="s">
        <v>20</v>
      </c>
      <c r="J773">
        <v>1</v>
      </c>
      <c r="K773" s="1">
        <f t="shared" si="96"/>
        <v>46120</v>
      </c>
      <c r="L773" s="3">
        <f t="shared" si="97"/>
        <v>6.2333333333333334</v>
      </c>
      <c r="M773" s="3">
        <f t="shared" si="98"/>
        <v>0.16666666666666666</v>
      </c>
      <c r="N773" t="str">
        <f t="shared" si="99"/>
        <v>Within SLA</v>
      </c>
      <c r="O773" t="str">
        <f t="shared" si="103"/>
        <v>Dissatisfied</v>
      </c>
      <c r="P773" t="str">
        <f t="shared" si="100"/>
        <v>Resolved</v>
      </c>
      <c r="Q773" s="2" t="str">
        <f t="shared" si="101"/>
        <v>Apr-2026</v>
      </c>
      <c r="R773" s="2">
        <f t="shared" si="102"/>
        <v>46113</v>
      </c>
    </row>
    <row r="774" spans="1:18">
      <c r="A774" t="s">
        <v>1576</v>
      </c>
      <c r="B774" s="2" t="s">
        <v>1577</v>
      </c>
      <c r="C774">
        <v>1963</v>
      </c>
      <c r="D774" t="s">
        <v>12</v>
      </c>
      <c r="E774" t="s">
        <v>13</v>
      </c>
      <c r="F774" t="s">
        <v>28</v>
      </c>
      <c r="G774">
        <v>6</v>
      </c>
      <c r="H774">
        <v>258</v>
      </c>
      <c r="I774" t="s">
        <v>15</v>
      </c>
      <c r="J774">
        <v>2</v>
      </c>
      <c r="K774" s="1">
        <f t="shared" si="96"/>
        <v>46120</v>
      </c>
      <c r="L774" s="3">
        <f t="shared" si="97"/>
        <v>4.3</v>
      </c>
      <c r="M774" s="3">
        <f t="shared" si="98"/>
        <v>0.1</v>
      </c>
      <c r="N774" t="str">
        <f t="shared" si="99"/>
        <v>Within SLA</v>
      </c>
      <c r="O774" t="str">
        <f t="shared" si="103"/>
        <v>Dissatisfied</v>
      </c>
      <c r="P774" t="str">
        <f t="shared" si="100"/>
        <v>Resolved</v>
      </c>
      <c r="Q774" s="2" t="str">
        <f t="shared" si="101"/>
        <v>Apr-2026</v>
      </c>
      <c r="R774" s="2">
        <f t="shared" si="102"/>
        <v>46113</v>
      </c>
    </row>
    <row r="775" spans="1:18">
      <c r="A775" t="s">
        <v>1578</v>
      </c>
      <c r="B775" s="2" t="s">
        <v>1579</v>
      </c>
      <c r="C775">
        <v>1089</v>
      </c>
      <c r="D775" t="s">
        <v>32</v>
      </c>
      <c r="E775" t="s">
        <v>13</v>
      </c>
      <c r="F775" t="s">
        <v>14</v>
      </c>
      <c r="G775">
        <v>9</v>
      </c>
      <c r="I775" t="s">
        <v>29</v>
      </c>
      <c r="K775" s="1">
        <f t="shared" si="96"/>
        <v>46121</v>
      </c>
      <c r="L775" s="3" t="str">
        <f t="shared" si="97"/>
        <v/>
      </c>
      <c r="M775" s="3">
        <f t="shared" si="98"/>
        <v>0.15</v>
      </c>
      <c r="N775" t="str">
        <f t="shared" si="99"/>
        <v>Open</v>
      </c>
      <c r="O775" t="str">
        <f t="shared" si="103"/>
        <v>No Rating</v>
      </c>
      <c r="P775" t="str">
        <f t="shared" si="100"/>
        <v>Unresolved</v>
      </c>
      <c r="Q775" s="2" t="str">
        <f t="shared" si="101"/>
        <v>Apr-2026</v>
      </c>
      <c r="R775" s="2">
        <f t="shared" si="102"/>
        <v>46113</v>
      </c>
    </row>
    <row r="776" spans="1:18">
      <c r="A776" t="s">
        <v>1580</v>
      </c>
      <c r="B776" s="2" t="s">
        <v>1581</v>
      </c>
      <c r="C776">
        <v>1126</v>
      </c>
      <c r="D776" t="s">
        <v>12</v>
      </c>
      <c r="E776" t="s">
        <v>13</v>
      </c>
      <c r="F776" t="s">
        <v>34</v>
      </c>
      <c r="G776">
        <v>11</v>
      </c>
      <c r="H776">
        <v>358</v>
      </c>
      <c r="I776" t="s">
        <v>15</v>
      </c>
      <c r="K776" s="1">
        <f t="shared" si="96"/>
        <v>46121</v>
      </c>
      <c r="L776" s="3">
        <f t="shared" si="97"/>
        <v>5.9666666666666668</v>
      </c>
      <c r="M776" s="3">
        <f t="shared" si="98"/>
        <v>0.18333333333333332</v>
      </c>
      <c r="N776" t="str">
        <f t="shared" si="99"/>
        <v>Within SLA</v>
      </c>
      <c r="O776" t="str">
        <f t="shared" si="103"/>
        <v>No Rating</v>
      </c>
      <c r="P776" t="str">
        <f t="shared" si="100"/>
        <v>Resolved</v>
      </c>
      <c r="Q776" s="2" t="str">
        <f t="shared" si="101"/>
        <v>Apr-2026</v>
      </c>
      <c r="R776" s="2">
        <f t="shared" si="102"/>
        <v>46113</v>
      </c>
    </row>
    <row r="777" spans="1:18">
      <c r="A777" t="s">
        <v>1582</v>
      </c>
      <c r="B777" s="2" t="s">
        <v>1583</v>
      </c>
      <c r="C777">
        <v>1617</v>
      </c>
      <c r="D777" t="s">
        <v>26</v>
      </c>
      <c r="E777" t="s">
        <v>13</v>
      </c>
      <c r="F777" t="s">
        <v>43</v>
      </c>
      <c r="G777">
        <v>9</v>
      </c>
      <c r="H777">
        <v>133</v>
      </c>
      <c r="I777" t="s">
        <v>15</v>
      </c>
      <c r="J777">
        <v>4</v>
      </c>
      <c r="K777" s="1">
        <f t="shared" si="96"/>
        <v>46121</v>
      </c>
      <c r="L777" s="3">
        <f t="shared" si="97"/>
        <v>2.2166666666666668</v>
      </c>
      <c r="M777" s="3">
        <f t="shared" si="98"/>
        <v>0.15</v>
      </c>
      <c r="N777" t="str">
        <f t="shared" si="99"/>
        <v>Within SLA</v>
      </c>
      <c r="O777" t="str">
        <f t="shared" si="103"/>
        <v>Satisfied</v>
      </c>
      <c r="P777" t="str">
        <f t="shared" si="100"/>
        <v>Resolved</v>
      </c>
      <c r="Q777" s="2" t="str">
        <f t="shared" si="101"/>
        <v>Apr-2026</v>
      </c>
      <c r="R777" s="2">
        <f t="shared" si="102"/>
        <v>46113</v>
      </c>
    </row>
    <row r="778" spans="1:18">
      <c r="A778" t="s">
        <v>1584</v>
      </c>
      <c r="B778" s="2" t="s">
        <v>1585</v>
      </c>
      <c r="C778">
        <v>1648</v>
      </c>
      <c r="D778" t="s">
        <v>32</v>
      </c>
      <c r="E778" t="s">
        <v>13</v>
      </c>
      <c r="F778" t="s">
        <v>14</v>
      </c>
      <c r="G778">
        <v>8</v>
      </c>
      <c r="I778" t="s">
        <v>29</v>
      </c>
      <c r="K778" s="1">
        <f t="shared" si="96"/>
        <v>46122</v>
      </c>
      <c r="L778" s="3" t="str">
        <f t="shared" si="97"/>
        <v/>
      </c>
      <c r="M778" s="3">
        <f t="shared" si="98"/>
        <v>0.13333333333333333</v>
      </c>
      <c r="N778" t="str">
        <f t="shared" si="99"/>
        <v>Open</v>
      </c>
      <c r="O778" t="str">
        <f t="shared" si="103"/>
        <v>No Rating</v>
      </c>
      <c r="P778" t="str">
        <f t="shared" si="100"/>
        <v>Unresolved</v>
      </c>
      <c r="Q778" s="2" t="str">
        <f t="shared" si="101"/>
        <v>Apr-2026</v>
      </c>
      <c r="R778" s="2">
        <f t="shared" si="102"/>
        <v>46113</v>
      </c>
    </row>
    <row r="779" spans="1:18">
      <c r="A779" t="s">
        <v>1586</v>
      </c>
      <c r="B779" s="2" t="s">
        <v>1587</v>
      </c>
      <c r="C779">
        <v>1910</v>
      </c>
      <c r="D779" t="s">
        <v>47</v>
      </c>
      <c r="E779" t="s">
        <v>27</v>
      </c>
      <c r="F779" t="s">
        <v>28</v>
      </c>
      <c r="G779">
        <v>161</v>
      </c>
      <c r="H779">
        <v>791</v>
      </c>
      <c r="I779" t="s">
        <v>15</v>
      </c>
      <c r="J779">
        <v>3</v>
      </c>
      <c r="K779" s="1">
        <f t="shared" si="96"/>
        <v>46122</v>
      </c>
      <c r="L779" s="3">
        <f t="shared" si="97"/>
        <v>13.183333333333334</v>
      </c>
      <c r="M779" s="3">
        <f t="shared" si="98"/>
        <v>2.6833333333333331</v>
      </c>
      <c r="N779" t="str">
        <f t="shared" si="99"/>
        <v>Within SLA</v>
      </c>
      <c r="O779" t="str">
        <f t="shared" si="103"/>
        <v>Neutral</v>
      </c>
      <c r="P779" t="str">
        <f t="shared" si="100"/>
        <v>Resolved</v>
      </c>
      <c r="Q779" s="2" t="str">
        <f t="shared" si="101"/>
        <v>Apr-2026</v>
      </c>
      <c r="R779" s="2">
        <f t="shared" si="102"/>
        <v>46113</v>
      </c>
    </row>
    <row r="780" spans="1:18">
      <c r="A780" t="s">
        <v>1588</v>
      </c>
      <c r="B780" s="2" t="s">
        <v>1589</v>
      </c>
      <c r="C780">
        <v>1095</v>
      </c>
      <c r="D780" t="s">
        <v>47</v>
      </c>
      <c r="E780" t="s">
        <v>13</v>
      </c>
      <c r="F780" t="s">
        <v>23</v>
      </c>
      <c r="G780">
        <v>4</v>
      </c>
      <c r="H780">
        <v>343</v>
      </c>
      <c r="I780" t="s">
        <v>20</v>
      </c>
      <c r="J780">
        <v>1</v>
      </c>
      <c r="K780" s="1">
        <f t="shared" si="96"/>
        <v>46122</v>
      </c>
      <c r="L780" s="3">
        <f t="shared" si="97"/>
        <v>5.7166666666666668</v>
      </c>
      <c r="M780" s="3">
        <f t="shared" si="98"/>
        <v>6.6666666666666666E-2</v>
      </c>
      <c r="N780" t="str">
        <f t="shared" si="99"/>
        <v>Within SLA</v>
      </c>
      <c r="O780" t="str">
        <f t="shared" si="103"/>
        <v>Dissatisfied</v>
      </c>
      <c r="P780" t="str">
        <f t="shared" si="100"/>
        <v>Resolved</v>
      </c>
      <c r="Q780" s="2" t="str">
        <f t="shared" si="101"/>
        <v>Apr-2026</v>
      </c>
      <c r="R780" s="2">
        <f t="shared" si="102"/>
        <v>46113</v>
      </c>
    </row>
    <row r="781" spans="1:18">
      <c r="A781" t="s">
        <v>1590</v>
      </c>
      <c r="B781" s="2" t="s">
        <v>1591</v>
      </c>
      <c r="C781">
        <v>1927</v>
      </c>
      <c r="D781" t="s">
        <v>18</v>
      </c>
      <c r="E781" t="s">
        <v>27</v>
      </c>
      <c r="F781" t="s">
        <v>14</v>
      </c>
      <c r="G781">
        <v>128</v>
      </c>
      <c r="H781">
        <v>2119</v>
      </c>
      <c r="I781" t="s">
        <v>20</v>
      </c>
      <c r="J781">
        <v>5</v>
      </c>
      <c r="K781" s="1">
        <f t="shared" si="96"/>
        <v>46123</v>
      </c>
      <c r="L781" s="3">
        <f t="shared" si="97"/>
        <v>35.31666666666667</v>
      </c>
      <c r="M781" s="3">
        <f t="shared" si="98"/>
        <v>2.1333333333333333</v>
      </c>
      <c r="N781" t="str">
        <f t="shared" si="99"/>
        <v>Within SLA</v>
      </c>
      <c r="O781" t="str">
        <f t="shared" si="103"/>
        <v>Satisfied</v>
      </c>
      <c r="P781" t="str">
        <f t="shared" si="100"/>
        <v>Resolved</v>
      </c>
      <c r="Q781" s="2" t="str">
        <f t="shared" si="101"/>
        <v>Apr-2026</v>
      </c>
      <c r="R781" s="2">
        <f t="shared" si="102"/>
        <v>46113</v>
      </c>
    </row>
    <row r="782" spans="1:18">
      <c r="A782" t="s">
        <v>1592</v>
      </c>
      <c r="B782" s="2" t="s">
        <v>1593</v>
      </c>
      <c r="C782">
        <v>1422</v>
      </c>
      <c r="D782" t="s">
        <v>32</v>
      </c>
      <c r="E782" t="s">
        <v>13</v>
      </c>
      <c r="F782" t="s">
        <v>14</v>
      </c>
      <c r="G782">
        <v>8</v>
      </c>
      <c r="H782">
        <v>353</v>
      </c>
      <c r="I782" t="s">
        <v>20</v>
      </c>
      <c r="K782" s="1">
        <f t="shared" si="96"/>
        <v>46123</v>
      </c>
      <c r="L782" s="3">
        <f t="shared" si="97"/>
        <v>5.8833333333333337</v>
      </c>
      <c r="M782" s="3">
        <f t="shared" si="98"/>
        <v>0.13333333333333333</v>
      </c>
      <c r="N782" t="str">
        <f t="shared" si="99"/>
        <v>Within SLA</v>
      </c>
      <c r="O782" t="str">
        <f t="shared" si="103"/>
        <v>No Rating</v>
      </c>
      <c r="P782" t="str">
        <f t="shared" si="100"/>
        <v>Resolved</v>
      </c>
      <c r="Q782" s="2" t="str">
        <f t="shared" si="101"/>
        <v>Apr-2026</v>
      </c>
      <c r="R782" s="2">
        <f t="shared" si="102"/>
        <v>46113</v>
      </c>
    </row>
    <row r="783" spans="1:18">
      <c r="A783" t="s">
        <v>1594</v>
      </c>
      <c r="B783" s="2" t="s">
        <v>1595</v>
      </c>
      <c r="C783">
        <v>1273</v>
      </c>
      <c r="D783" t="s">
        <v>32</v>
      </c>
      <c r="E783" t="s">
        <v>27</v>
      </c>
      <c r="F783" t="s">
        <v>71</v>
      </c>
      <c r="G783">
        <v>78</v>
      </c>
      <c r="H783">
        <v>994</v>
      </c>
      <c r="I783" t="s">
        <v>15</v>
      </c>
      <c r="J783">
        <v>1</v>
      </c>
      <c r="K783" s="1">
        <f t="shared" si="96"/>
        <v>46124</v>
      </c>
      <c r="L783" s="3">
        <f t="shared" si="97"/>
        <v>16.566666666666666</v>
      </c>
      <c r="M783" s="3">
        <f t="shared" si="98"/>
        <v>1.3</v>
      </c>
      <c r="N783" t="str">
        <f t="shared" si="99"/>
        <v>Within SLA</v>
      </c>
      <c r="O783" t="str">
        <f t="shared" si="103"/>
        <v>Dissatisfied</v>
      </c>
      <c r="P783" t="str">
        <f t="shared" si="100"/>
        <v>Resolved</v>
      </c>
      <c r="Q783" s="2" t="str">
        <f t="shared" si="101"/>
        <v>Apr-2026</v>
      </c>
      <c r="R783" s="2">
        <f t="shared" si="102"/>
        <v>46113</v>
      </c>
    </row>
    <row r="784" spans="1:18">
      <c r="A784" t="s">
        <v>1596</v>
      </c>
      <c r="B784" s="2" t="s">
        <v>1597</v>
      </c>
      <c r="C784">
        <v>1208</v>
      </c>
      <c r="D784" t="s">
        <v>32</v>
      </c>
      <c r="E784" t="s">
        <v>33</v>
      </c>
      <c r="F784" t="s">
        <v>14</v>
      </c>
      <c r="G784">
        <v>282</v>
      </c>
      <c r="H784">
        <v>7668</v>
      </c>
      <c r="I784" t="s">
        <v>15</v>
      </c>
      <c r="K784" s="1">
        <f t="shared" si="96"/>
        <v>46124</v>
      </c>
      <c r="L784" s="3">
        <f t="shared" si="97"/>
        <v>127.8</v>
      </c>
      <c r="M784" s="3">
        <f t="shared" si="98"/>
        <v>4.7</v>
      </c>
      <c r="N784" t="str">
        <f t="shared" si="99"/>
        <v>Breached</v>
      </c>
      <c r="O784" t="str">
        <f t="shared" si="103"/>
        <v>No Rating</v>
      </c>
      <c r="P784" t="str">
        <f t="shared" si="100"/>
        <v>Resolved</v>
      </c>
      <c r="Q784" s="2" t="str">
        <f t="shared" si="101"/>
        <v>Apr-2026</v>
      </c>
      <c r="R784" s="2">
        <f t="shared" si="102"/>
        <v>46113</v>
      </c>
    </row>
    <row r="785" spans="1:18">
      <c r="A785" t="s">
        <v>1598</v>
      </c>
      <c r="B785" s="2" t="s">
        <v>1599</v>
      </c>
      <c r="C785">
        <v>1833</v>
      </c>
      <c r="D785" t="s">
        <v>32</v>
      </c>
      <c r="E785" t="s">
        <v>13</v>
      </c>
      <c r="F785" t="s">
        <v>59</v>
      </c>
      <c r="G785">
        <v>9</v>
      </c>
      <c r="H785">
        <v>252</v>
      </c>
      <c r="I785" t="s">
        <v>20</v>
      </c>
      <c r="J785">
        <v>1</v>
      </c>
      <c r="K785" s="1">
        <f t="shared" si="96"/>
        <v>46124</v>
      </c>
      <c r="L785" s="3">
        <f t="shared" si="97"/>
        <v>4.2</v>
      </c>
      <c r="M785" s="3">
        <f t="shared" si="98"/>
        <v>0.15</v>
      </c>
      <c r="N785" t="str">
        <f t="shared" si="99"/>
        <v>Within SLA</v>
      </c>
      <c r="O785" t="str">
        <f t="shared" si="103"/>
        <v>Dissatisfied</v>
      </c>
      <c r="P785" t="str">
        <f t="shared" si="100"/>
        <v>Resolved</v>
      </c>
      <c r="Q785" s="2" t="str">
        <f t="shared" si="101"/>
        <v>Apr-2026</v>
      </c>
      <c r="R785" s="2">
        <f t="shared" si="102"/>
        <v>46113</v>
      </c>
    </row>
    <row r="786" spans="1:18">
      <c r="A786" t="s">
        <v>1600</v>
      </c>
      <c r="B786" s="2" t="s">
        <v>1601</v>
      </c>
      <c r="C786">
        <v>1148</v>
      </c>
      <c r="D786" t="s">
        <v>12</v>
      </c>
      <c r="E786" t="s">
        <v>13</v>
      </c>
      <c r="F786" t="s">
        <v>54</v>
      </c>
      <c r="G786">
        <v>11</v>
      </c>
      <c r="I786" t="s">
        <v>29</v>
      </c>
      <c r="K786" s="1">
        <f t="shared" si="96"/>
        <v>46125</v>
      </c>
      <c r="L786" s="3" t="str">
        <f t="shared" si="97"/>
        <v/>
      </c>
      <c r="M786" s="3">
        <f t="shared" si="98"/>
        <v>0.18333333333333332</v>
      </c>
      <c r="N786" t="str">
        <f t="shared" si="99"/>
        <v>Open</v>
      </c>
      <c r="O786" t="str">
        <f t="shared" si="103"/>
        <v>No Rating</v>
      </c>
      <c r="P786" t="str">
        <f t="shared" si="100"/>
        <v>Unresolved</v>
      </c>
      <c r="Q786" s="2" t="str">
        <f t="shared" si="101"/>
        <v>Apr-2026</v>
      </c>
      <c r="R786" s="2">
        <f t="shared" si="102"/>
        <v>46113</v>
      </c>
    </row>
    <row r="787" spans="1:18">
      <c r="A787" t="s">
        <v>1602</v>
      </c>
      <c r="B787" s="2" t="s">
        <v>1603</v>
      </c>
      <c r="C787">
        <v>1526</v>
      </c>
      <c r="D787" t="s">
        <v>47</v>
      </c>
      <c r="E787" t="s">
        <v>27</v>
      </c>
      <c r="F787" t="s">
        <v>64</v>
      </c>
      <c r="G787">
        <v>118</v>
      </c>
      <c r="H787">
        <v>3101</v>
      </c>
      <c r="I787" t="s">
        <v>15</v>
      </c>
      <c r="K787" s="1">
        <f t="shared" si="96"/>
        <v>46125</v>
      </c>
      <c r="L787" s="3">
        <f t="shared" si="97"/>
        <v>51.68333333333333</v>
      </c>
      <c r="M787" s="3">
        <f t="shared" si="98"/>
        <v>1.9666666666666666</v>
      </c>
      <c r="N787" t="str">
        <f t="shared" si="99"/>
        <v>Breached</v>
      </c>
      <c r="O787" t="str">
        <f t="shared" si="103"/>
        <v>No Rating</v>
      </c>
      <c r="P787" t="str">
        <f t="shared" si="100"/>
        <v>Resolved</v>
      </c>
      <c r="Q787" s="2" t="str">
        <f t="shared" si="101"/>
        <v>Apr-2026</v>
      </c>
      <c r="R787" s="2">
        <f t="shared" si="102"/>
        <v>46113</v>
      </c>
    </row>
    <row r="788" spans="1:18">
      <c r="A788" t="s">
        <v>1604</v>
      </c>
      <c r="B788" s="2" t="s">
        <v>1605</v>
      </c>
      <c r="C788">
        <v>1405</v>
      </c>
      <c r="D788" t="s">
        <v>12</v>
      </c>
      <c r="E788" t="s">
        <v>13</v>
      </c>
      <c r="F788" t="s">
        <v>71</v>
      </c>
      <c r="G788">
        <v>8</v>
      </c>
      <c r="H788">
        <v>144</v>
      </c>
      <c r="I788" t="s">
        <v>20</v>
      </c>
      <c r="J788">
        <v>4</v>
      </c>
      <c r="K788" s="1">
        <f t="shared" si="96"/>
        <v>46125</v>
      </c>
      <c r="L788" s="3">
        <f t="shared" si="97"/>
        <v>2.4</v>
      </c>
      <c r="M788" s="3">
        <f t="shared" si="98"/>
        <v>0.13333333333333333</v>
      </c>
      <c r="N788" t="str">
        <f t="shared" si="99"/>
        <v>Within SLA</v>
      </c>
      <c r="O788" t="str">
        <f t="shared" si="103"/>
        <v>Satisfied</v>
      </c>
      <c r="P788" t="str">
        <f t="shared" si="100"/>
        <v>Resolved</v>
      </c>
      <c r="Q788" s="2" t="str">
        <f t="shared" si="101"/>
        <v>Apr-2026</v>
      </c>
      <c r="R788" s="2">
        <f t="shared" si="102"/>
        <v>46113</v>
      </c>
    </row>
    <row r="789" spans="1:18">
      <c r="A789" t="s">
        <v>1606</v>
      </c>
      <c r="B789" s="2" t="s">
        <v>1607</v>
      </c>
      <c r="C789">
        <v>1311</v>
      </c>
      <c r="D789" t="s">
        <v>18</v>
      </c>
      <c r="E789" t="s">
        <v>13</v>
      </c>
      <c r="F789" t="s">
        <v>43</v>
      </c>
      <c r="G789">
        <v>8</v>
      </c>
      <c r="H789">
        <v>226</v>
      </c>
      <c r="I789" t="s">
        <v>15</v>
      </c>
      <c r="J789">
        <v>5</v>
      </c>
      <c r="K789" s="1">
        <f t="shared" si="96"/>
        <v>46126</v>
      </c>
      <c r="L789" s="3">
        <f t="shared" si="97"/>
        <v>3.7666666666666666</v>
      </c>
      <c r="M789" s="3">
        <f t="shared" si="98"/>
        <v>0.13333333333333333</v>
      </c>
      <c r="N789" t="str">
        <f t="shared" si="99"/>
        <v>Within SLA</v>
      </c>
      <c r="O789" t="str">
        <f t="shared" si="103"/>
        <v>Satisfied</v>
      </c>
      <c r="P789" t="str">
        <f t="shared" si="100"/>
        <v>Resolved</v>
      </c>
      <c r="Q789" s="2" t="str">
        <f t="shared" si="101"/>
        <v>Apr-2026</v>
      </c>
      <c r="R789" s="2">
        <f t="shared" si="102"/>
        <v>46113</v>
      </c>
    </row>
    <row r="790" spans="1:18">
      <c r="A790" t="s">
        <v>1608</v>
      </c>
      <c r="B790" s="2" t="s">
        <v>1609</v>
      </c>
      <c r="C790">
        <v>1950</v>
      </c>
      <c r="D790" t="s">
        <v>26</v>
      </c>
      <c r="E790" t="s">
        <v>27</v>
      </c>
      <c r="F790" t="s">
        <v>59</v>
      </c>
      <c r="G790">
        <v>52</v>
      </c>
      <c r="H790">
        <v>2398</v>
      </c>
      <c r="I790" t="s">
        <v>20</v>
      </c>
      <c r="J790">
        <v>5</v>
      </c>
      <c r="K790" s="1">
        <f t="shared" si="96"/>
        <v>46126</v>
      </c>
      <c r="L790" s="3">
        <f t="shared" si="97"/>
        <v>39.966666666666669</v>
      </c>
      <c r="M790" s="3">
        <f t="shared" si="98"/>
        <v>0.8666666666666667</v>
      </c>
      <c r="N790" t="str">
        <f t="shared" si="99"/>
        <v>Within SLA</v>
      </c>
      <c r="O790" t="str">
        <f t="shared" si="103"/>
        <v>Satisfied</v>
      </c>
      <c r="P790" t="str">
        <f t="shared" si="100"/>
        <v>Resolved</v>
      </c>
      <c r="Q790" s="2" t="str">
        <f t="shared" si="101"/>
        <v>Apr-2026</v>
      </c>
      <c r="R790" s="2">
        <f t="shared" si="102"/>
        <v>46113</v>
      </c>
    </row>
    <row r="791" spans="1:18">
      <c r="A791" t="s">
        <v>1610</v>
      </c>
      <c r="B791" s="2" t="s">
        <v>1611</v>
      </c>
      <c r="C791">
        <v>1777</v>
      </c>
      <c r="D791" t="s">
        <v>47</v>
      </c>
      <c r="E791" t="s">
        <v>27</v>
      </c>
      <c r="F791" t="s">
        <v>54</v>
      </c>
      <c r="G791">
        <v>117</v>
      </c>
      <c r="H791">
        <v>1364</v>
      </c>
      <c r="I791" t="s">
        <v>20</v>
      </c>
      <c r="K791" s="1">
        <f t="shared" si="96"/>
        <v>46126</v>
      </c>
      <c r="L791" s="3">
        <f t="shared" si="97"/>
        <v>22.733333333333334</v>
      </c>
      <c r="M791" s="3">
        <f t="shared" si="98"/>
        <v>1.95</v>
      </c>
      <c r="N791" t="str">
        <f t="shared" si="99"/>
        <v>Within SLA</v>
      </c>
      <c r="O791" t="str">
        <f t="shared" si="103"/>
        <v>No Rating</v>
      </c>
      <c r="P791" t="str">
        <f t="shared" si="100"/>
        <v>Resolved</v>
      </c>
      <c r="Q791" s="2" t="str">
        <f t="shared" si="101"/>
        <v>Apr-2026</v>
      </c>
      <c r="R791" s="2">
        <f t="shared" si="102"/>
        <v>46113</v>
      </c>
    </row>
    <row r="792" spans="1:18">
      <c r="A792" t="s">
        <v>1612</v>
      </c>
      <c r="B792" s="2" t="s">
        <v>1613</v>
      </c>
      <c r="C792">
        <v>1168</v>
      </c>
      <c r="D792" t="s">
        <v>32</v>
      </c>
      <c r="E792" t="s">
        <v>27</v>
      </c>
      <c r="F792" t="s">
        <v>64</v>
      </c>
      <c r="G792">
        <v>114</v>
      </c>
      <c r="H792">
        <v>2058</v>
      </c>
      <c r="I792" t="s">
        <v>15</v>
      </c>
      <c r="J792">
        <v>3</v>
      </c>
      <c r="K792" s="1">
        <f t="shared" si="96"/>
        <v>46127</v>
      </c>
      <c r="L792" s="3">
        <f t="shared" si="97"/>
        <v>34.299999999999997</v>
      </c>
      <c r="M792" s="3">
        <f t="shared" si="98"/>
        <v>1.9</v>
      </c>
      <c r="N792" t="str">
        <f t="shared" si="99"/>
        <v>Within SLA</v>
      </c>
      <c r="O792" t="str">
        <f t="shared" si="103"/>
        <v>Neutral</v>
      </c>
      <c r="P792" t="str">
        <f t="shared" si="100"/>
        <v>Resolved</v>
      </c>
      <c r="Q792" s="2" t="str">
        <f t="shared" si="101"/>
        <v>Apr-2026</v>
      </c>
      <c r="R792" s="2">
        <f t="shared" si="102"/>
        <v>46113</v>
      </c>
    </row>
    <row r="793" spans="1:18">
      <c r="A793" t="s">
        <v>1614</v>
      </c>
      <c r="B793" s="2" t="s">
        <v>1615</v>
      </c>
      <c r="C793">
        <v>1475</v>
      </c>
      <c r="D793" t="s">
        <v>12</v>
      </c>
      <c r="E793" t="s">
        <v>13</v>
      </c>
      <c r="F793" t="s">
        <v>71</v>
      </c>
      <c r="G793">
        <v>9</v>
      </c>
      <c r="H793">
        <v>223</v>
      </c>
      <c r="I793" t="s">
        <v>15</v>
      </c>
      <c r="K793" s="1">
        <f t="shared" si="96"/>
        <v>46127</v>
      </c>
      <c r="L793" s="3">
        <f t="shared" si="97"/>
        <v>3.7166666666666668</v>
      </c>
      <c r="M793" s="3">
        <f t="shared" si="98"/>
        <v>0.15</v>
      </c>
      <c r="N793" t="str">
        <f t="shared" si="99"/>
        <v>Within SLA</v>
      </c>
      <c r="O793" t="str">
        <f t="shared" si="103"/>
        <v>No Rating</v>
      </c>
      <c r="P793" t="str">
        <f t="shared" si="100"/>
        <v>Resolved</v>
      </c>
      <c r="Q793" s="2" t="str">
        <f t="shared" si="101"/>
        <v>Apr-2026</v>
      </c>
      <c r="R793" s="2">
        <f t="shared" si="102"/>
        <v>46113</v>
      </c>
    </row>
    <row r="794" spans="1:18">
      <c r="A794" t="s">
        <v>1616</v>
      </c>
      <c r="B794" s="2" t="s">
        <v>1617</v>
      </c>
      <c r="C794">
        <v>1144</v>
      </c>
      <c r="D794" t="s">
        <v>12</v>
      </c>
      <c r="E794" t="s">
        <v>19</v>
      </c>
      <c r="F794" t="s">
        <v>43</v>
      </c>
      <c r="G794">
        <v>46</v>
      </c>
      <c r="H794">
        <v>714</v>
      </c>
      <c r="I794" t="s">
        <v>20</v>
      </c>
      <c r="J794">
        <v>4</v>
      </c>
      <c r="K794" s="1">
        <f t="shared" si="96"/>
        <v>46128</v>
      </c>
      <c r="L794" s="3">
        <f t="shared" si="97"/>
        <v>11.9</v>
      </c>
      <c r="M794" s="3">
        <f t="shared" si="98"/>
        <v>0.76666666666666672</v>
      </c>
      <c r="N794" t="str">
        <f t="shared" si="99"/>
        <v>Within SLA</v>
      </c>
      <c r="O794" t="str">
        <f t="shared" si="103"/>
        <v>Satisfied</v>
      </c>
      <c r="P794" t="str">
        <f t="shared" si="100"/>
        <v>Resolved</v>
      </c>
      <c r="Q794" s="2" t="str">
        <f t="shared" si="101"/>
        <v>Apr-2026</v>
      </c>
      <c r="R794" s="2">
        <f t="shared" si="102"/>
        <v>46113</v>
      </c>
    </row>
    <row r="795" spans="1:18">
      <c r="A795" t="s">
        <v>1618</v>
      </c>
      <c r="B795" s="2" t="s">
        <v>1619</v>
      </c>
      <c r="C795">
        <v>1170</v>
      </c>
      <c r="D795" t="s">
        <v>47</v>
      </c>
      <c r="E795" t="s">
        <v>19</v>
      </c>
      <c r="F795" t="s">
        <v>71</v>
      </c>
      <c r="G795">
        <v>47</v>
      </c>
      <c r="H795">
        <v>733</v>
      </c>
      <c r="I795" t="s">
        <v>15</v>
      </c>
      <c r="J795">
        <v>3</v>
      </c>
      <c r="K795" s="1">
        <f t="shared" si="96"/>
        <v>46128</v>
      </c>
      <c r="L795" s="3">
        <f t="shared" si="97"/>
        <v>12.216666666666667</v>
      </c>
      <c r="M795" s="3">
        <f t="shared" si="98"/>
        <v>0.78333333333333333</v>
      </c>
      <c r="N795" t="str">
        <f t="shared" si="99"/>
        <v>Within SLA</v>
      </c>
      <c r="O795" t="str">
        <f t="shared" si="103"/>
        <v>Neutral</v>
      </c>
      <c r="P795" t="str">
        <f t="shared" si="100"/>
        <v>Resolved</v>
      </c>
      <c r="Q795" s="2" t="str">
        <f t="shared" si="101"/>
        <v>Apr-2026</v>
      </c>
      <c r="R795" s="2">
        <f t="shared" si="102"/>
        <v>46113</v>
      </c>
    </row>
    <row r="796" spans="1:18">
      <c r="A796" t="s">
        <v>1620</v>
      </c>
      <c r="B796" s="2" t="s">
        <v>1621</v>
      </c>
      <c r="C796">
        <v>1161</v>
      </c>
      <c r="D796" t="s">
        <v>47</v>
      </c>
      <c r="E796" t="s">
        <v>33</v>
      </c>
      <c r="F796" t="s">
        <v>23</v>
      </c>
      <c r="G796">
        <v>449</v>
      </c>
      <c r="H796">
        <v>6414</v>
      </c>
      <c r="I796" t="s">
        <v>15</v>
      </c>
      <c r="K796" s="1">
        <f t="shared" si="96"/>
        <v>46128</v>
      </c>
      <c r="L796" s="3">
        <f t="shared" si="97"/>
        <v>106.9</v>
      </c>
      <c r="M796" s="3">
        <f t="shared" si="98"/>
        <v>7.4833333333333334</v>
      </c>
      <c r="N796" t="str">
        <f t="shared" si="99"/>
        <v>Breached</v>
      </c>
      <c r="O796" t="str">
        <f t="shared" si="103"/>
        <v>No Rating</v>
      </c>
      <c r="P796" t="str">
        <f t="shared" si="100"/>
        <v>Resolved</v>
      </c>
      <c r="Q796" s="2" t="str">
        <f t="shared" si="101"/>
        <v>Apr-2026</v>
      </c>
      <c r="R796" s="2">
        <f t="shared" si="102"/>
        <v>46113</v>
      </c>
    </row>
    <row r="797" spans="1:18">
      <c r="A797" t="s">
        <v>1622</v>
      </c>
      <c r="B797" s="2" t="s">
        <v>1623</v>
      </c>
      <c r="C797">
        <v>1560</v>
      </c>
      <c r="D797" t="s">
        <v>47</v>
      </c>
      <c r="E797" t="s">
        <v>13</v>
      </c>
      <c r="F797" t="s">
        <v>59</v>
      </c>
      <c r="G797">
        <v>5</v>
      </c>
      <c r="H797">
        <v>349</v>
      </c>
      <c r="I797" t="s">
        <v>20</v>
      </c>
      <c r="J797">
        <v>4</v>
      </c>
      <c r="K797" s="1">
        <f t="shared" si="96"/>
        <v>46129</v>
      </c>
      <c r="L797" s="3">
        <f t="shared" si="97"/>
        <v>5.8166666666666664</v>
      </c>
      <c r="M797" s="3">
        <f t="shared" si="98"/>
        <v>8.3333333333333329E-2</v>
      </c>
      <c r="N797" t="str">
        <f t="shared" si="99"/>
        <v>Within SLA</v>
      </c>
      <c r="O797" t="str">
        <f t="shared" si="103"/>
        <v>Satisfied</v>
      </c>
      <c r="P797" t="str">
        <f t="shared" si="100"/>
        <v>Resolved</v>
      </c>
      <c r="Q797" s="2" t="str">
        <f t="shared" si="101"/>
        <v>Apr-2026</v>
      </c>
      <c r="R797" s="2">
        <f t="shared" si="102"/>
        <v>46113</v>
      </c>
    </row>
    <row r="798" spans="1:18">
      <c r="A798" t="s">
        <v>1624</v>
      </c>
      <c r="B798" s="2" t="s">
        <v>1625</v>
      </c>
      <c r="C798">
        <v>1850</v>
      </c>
      <c r="D798" t="s">
        <v>32</v>
      </c>
      <c r="E798" t="s">
        <v>19</v>
      </c>
      <c r="F798" t="s">
        <v>23</v>
      </c>
      <c r="G798">
        <v>8</v>
      </c>
      <c r="H798">
        <v>794</v>
      </c>
      <c r="I798" t="s">
        <v>15</v>
      </c>
      <c r="J798">
        <v>4</v>
      </c>
      <c r="K798" s="1">
        <f t="shared" si="96"/>
        <v>46129</v>
      </c>
      <c r="L798" s="3">
        <f t="shared" si="97"/>
        <v>13.233333333333333</v>
      </c>
      <c r="M798" s="3">
        <f t="shared" si="98"/>
        <v>0.13333333333333333</v>
      </c>
      <c r="N798" t="str">
        <f t="shared" si="99"/>
        <v>Within SLA</v>
      </c>
      <c r="O798" t="str">
        <f t="shared" si="103"/>
        <v>Satisfied</v>
      </c>
      <c r="P798" t="str">
        <f t="shared" si="100"/>
        <v>Resolved</v>
      </c>
      <c r="Q798" s="2" t="str">
        <f t="shared" si="101"/>
        <v>Apr-2026</v>
      </c>
      <c r="R798" s="2">
        <f t="shared" si="102"/>
        <v>46113</v>
      </c>
    </row>
    <row r="799" spans="1:18">
      <c r="A799" t="s">
        <v>1626</v>
      </c>
      <c r="B799" s="2" t="s">
        <v>1627</v>
      </c>
      <c r="C799">
        <v>1408</v>
      </c>
      <c r="D799" t="s">
        <v>26</v>
      </c>
      <c r="E799" t="s">
        <v>13</v>
      </c>
      <c r="F799" t="s">
        <v>59</v>
      </c>
      <c r="G799">
        <v>2</v>
      </c>
      <c r="H799">
        <v>220</v>
      </c>
      <c r="I799" t="s">
        <v>15</v>
      </c>
      <c r="K799" s="1">
        <f t="shared" si="96"/>
        <v>46129</v>
      </c>
      <c r="L799" s="3">
        <f t="shared" si="97"/>
        <v>3.6666666666666665</v>
      </c>
      <c r="M799" s="3">
        <f t="shared" si="98"/>
        <v>3.3333333333333333E-2</v>
      </c>
      <c r="N799" t="str">
        <f t="shared" si="99"/>
        <v>Within SLA</v>
      </c>
      <c r="O799" t="str">
        <f t="shared" si="103"/>
        <v>No Rating</v>
      </c>
      <c r="P799" t="str">
        <f t="shared" si="100"/>
        <v>Resolved</v>
      </c>
      <c r="Q799" s="2" t="str">
        <f t="shared" si="101"/>
        <v>Apr-2026</v>
      </c>
      <c r="R799" s="2">
        <f t="shared" si="102"/>
        <v>46113</v>
      </c>
    </row>
    <row r="800" spans="1:18">
      <c r="A800" t="s">
        <v>1628</v>
      </c>
      <c r="B800" s="2" t="s">
        <v>1629</v>
      </c>
      <c r="C800">
        <v>1110</v>
      </c>
      <c r="D800" t="s">
        <v>26</v>
      </c>
      <c r="E800" t="s">
        <v>19</v>
      </c>
      <c r="F800" t="s">
        <v>59</v>
      </c>
      <c r="G800">
        <v>42</v>
      </c>
      <c r="H800">
        <v>735</v>
      </c>
      <c r="I800" t="s">
        <v>20</v>
      </c>
      <c r="K800" s="1">
        <f t="shared" si="96"/>
        <v>46130</v>
      </c>
      <c r="L800" s="3">
        <f t="shared" si="97"/>
        <v>12.25</v>
      </c>
      <c r="M800" s="3">
        <f t="shared" si="98"/>
        <v>0.7</v>
      </c>
      <c r="N800" t="str">
        <f t="shared" si="99"/>
        <v>Within SLA</v>
      </c>
      <c r="O800" t="str">
        <f t="shared" si="103"/>
        <v>No Rating</v>
      </c>
      <c r="P800" t="str">
        <f t="shared" si="100"/>
        <v>Resolved</v>
      </c>
      <c r="Q800" s="2" t="str">
        <f t="shared" si="101"/>
        <v>Apr-2026</v>
      </c>
      <c r="R800" s="2">
        <f t="shared" si="102"/>
        <v>46113</v>
      </c>
    </row>
    <row r="801" spans="1:18">
      <c r="A801" t="s">
        <v>1630</v>
      </c>
      <c r="B801" s="2" t="s">
        <v>1631</v>
      </c>
      <c r="C801">
        <v>1675</v>
      </c>
      <c r="D801" t="s">
        <v>18</v>
      </c>
      <c r="E801" t="s">
        <v>27</v>
      </c>
      <c r="F801" t="s">
        <v>59</v>
      </c>
      <c r="G801">
        <v>168</v>
      </c>
      <c r="H801">
        <v>868</v>
      </c>
      <c r="I801" t="s">
        <v>15</v>
      </c>
      <c r="J801">
        <v>4</v>
      </c>
      <c r="K801" s="1">
        <f t="shared" si="96"/>
        <v>46130</v>
      </c>
      <c r="L801" s="3">
        <f t="shared" si="97"/>
        <v>14.466666666666667</v>
      </c>
      <c r="M801" s="3">
        <f t="shared" si="98"/>
        <v>2.8</v>
      </c>
      <c r="N801" t="str">
        <f t="shared" si="99"/>
        <v>Within SLA</v>
      </c>
      <c r="O801" t="str">
        <f t="shared" si="103"/>
        <v>Satisfied</v>
      </c>
      <c r="P801" t="str">
        <f t="shared" si="100"/>
        <v>Resolved</v>
      </c>
      <c r="Q801" s="2" t="str">
        <f t="shared" si="101"/>
        <v>Apr-2026</v>
      </c>
      <c r="R801" s="2">
        <f t="shared" si="102"/>
        <v>46113</v>
      </c>
    </row>
    <row r="802" spans="1:18">
      <c r="A802" t="s">
        <v>1632</v>
      </c>
      <c r="B802" s="2" t="s">
        <v>1633</v>
      </c>
      <c r="C802">
        <v>1398</v>
      </c>
      <c r="D802" t="s">
        <v>18</v>
      </c>
      <c r="E802" t="s">
        <v>27</v>
      </c>
      <c r="F802" t="s">
        <v>54</v>
      </c>
      <c r="G802">
        <v>51</v>
      </c>
      <c r="H802">
        <v>3446</v>
      </c>
      <c r="I802" t="s">
        <v>15</v>
      </c>
      <c r="J802">
        <v>1</v>
      </c>
      <c r="K802" s="1">
        <f t="shared" si="96"/>
        <v>46131</v>
      </c>
      <c r="L802" s="3">
        <f t="shared" si="97"/>
        <v>57.43333333333333</v>
      </c>
      <c r="M802" s="3">
        <f t="shared" si="98"/>
        <v>0.85</v>
      </c>
      <c r="N802" t="str">
        <f t="shared" si="99"/>
        <v>Breached</v>
      </c>
      <c r="O802" t="str">
        <f t="shared" si="103"/>
        <v>Dissatisfied</v>
      </c>
      <c r="P802" t="str">
        <f t="shared" si="100"/>
        <v>Resolved</v>
      </c>
      <c r="Q802" s="2" t="str">
        <f t="shared" si="101"/>
        <v>Apr-2026</v>
      </c>
      <c r="R802" s="2">
        <f t="shared" si="102"/>
        <v>46113</v>
      </c>
    </row>
    <row r="803" spans="1:18">
      <c r="A803" t="s">
        <v>1634</v>
      </c>
      <c r="B803" s="2" t="s">
        <v>1635</v>
      </c>
      <c r="C803">
        <v>1308</v>
      </c>
      <c r="D803" t="s">
        <v>18</v>
      </c>
      <c r="E803" t="s">
        <v>19</v>
      </c>
      <c r="F803" t="s">
        <v>43</v>
      </c>
      <c r="G803">
        <v>18</v>
      </c>
      <c r="H803">
        <v>1234</v>
      </c>
      <c r="I803" t="s">
        <v>15</v>
      </c>
      <c r="J803">
        <v>3</v>
      </c>
      <c r="K803" s="1">
        <f t="shared" si="96"/>
        <v>46131</v>
      </c>
      <c r="L803" s="3">
        <f t="shared" si="97"/>
        <v>20.566666666666666</v>
      </c>
      <c r="M803" s="3">
        <f t="shared" si="98"/>
        <v>0.3</v>
      </c>
      <c r="N803" t="str">
        <f t="shared" si="99"/>
        <v>Within SLA</v>
      </c>
      <c r="O803" t="str">
        <f t="shared" si="103"/>
        <v>Neutral</v>
      </c>
      <c r="P803" t="str">
        <f t="shared" si="100"/>
        <v>Resolved</v>
      </c>
      <c r="Q803" s="2" t="str">
        <f t="shared" si="101"/>
        <v>Apr-2026</v>
      </c>
      <c r="R803" s="2">
        <f t="shared" si="102"/>
        <v>46113</v>
      </c>
    </row>
    <row r="804" spans="1:18">
      <c r="A804" t="s">
        <v>1636</v>
      </c>
      <c r="B804" s="2" t="s">
        <v>1637</v>
      </c>
      <c r="C804">
        <v>1590</v>
      </c>
      <c r="D804" t="s">
        <v>32</v>
      </c>
      <c r="E804" t="s">
        <v>27</v>
      </c>
      <c r="F804" t="s">
        <v>14</v>
      </c>
      <c r="G804">
        <v>47</v>
      </c>
      <c r="H804">
        <v>3309</v>
      </c>
      <c r="I804" t="s">
        <v>15</v>
      </c>
      <c r="J804">
        <v>1</v>
      </c>
      <c r="K804" s="1">
        <f t="shared" si="96"/>
        <v>46131</v>
      </c>
      <c r="L804" s="3">
        <f t="shared" si="97"/>
        <v>55.15</v>
      </c>
      <c r="M804" s="3">
        <f t="shared" si="98"/>
        <v>0.78333333333333333</v>
      </c>
      <c r="N804" t="str">
        <f t="shared" si="99"/>
        <v>Breached</v>
      </c>
      <c r="O804" t="str">
        <f t="shared" si="103"/>
        <v>Dissatisfied</v>
      </c>
      <c r="P804" t="str">
        <f t="shared" si="100"/>
        <v>Resolved</v>
      </c>
      <c r="Q804" s="2" t="str">
        <f t="shared" si="101"/>
        <v>Apr-2026</v>
      </c>
      <c r="R804" s="2">
        <f t="shared" si="102"/>
        <v>46113</v>
      </c>
    </row>
    <row r="805" spans="1:18">
      <c r="A805" t="s">
        <v>1638</v>
      </c>
      <c r="B805" s="2" t="s">
        <v>1639</v>
      </c>
      <c r="C805">
        <v>1773</v>
      </c>
      <c r="D805" t="s">
        <v>47</v>
      </c>
      <c r="E805" t="s">
        <v>13</v>
      </c>
      <c r="F805" t="s">
        <v>71</v>
      </c>
      <c r="G805">
        <v>4</v>
      </c>
      <c r="H805">
        <v>200</v>
      </c>
      <c r="I805" t="s">
        <v>20</v>
      </c>
      <c r="J805">
        <v>5</v>
      </c>
      <c r="K805" s="1">
        <f t="shared" si="96"/>
        <v>46132</v>
      </c>
      <c r="L805" s="3">
        <f t="shared" si="97"/>
        <v>3.3333333333333335</v>
      </c>
      <c r="M805" s="3">
        <f t="shared" si="98"/>
        <v>6.6666666666666666E-2</v>
      </c>
      <c r="N805" t="str">
        <f t="shared" si="99"/>
        <v>Within SLA</v>
      </c>
      <c r="O805" t="str">
        <f t="shared" si="103"/>
        <v>Satisfied</v>
      </c>
      <c r="P805" t="str">
        <f t="shared" si="100"/>
        <v>Resolved</v>
      </c>
      <c r="Q805" s="2" t="str">
        <f t="shared" si="101"/>
        <v>Apr-2026</v>
      </c>
      <c r="R805" s="2">
        <f t="shared" si="102"/>
        <v>46113</v>
      </c>
    </row>
    <row r="806" spans="1:18">
      <c r="A806" t="s">
        <v>1640</v>
      </c>
      <c r="B806" s="2" t="s">
        <v>1641</v>
      </c>
      <c r="C806">
        <v>1226</v>
      </c>
      <c r="D806" t="s">
        <v>12</v>
      </c>
      <c r="E806" t="s">
        <v>27</v>
      </c>
      <c r="F806" t="s">
        <v>28</v>
      </c>
      <c r="G806">
        <v>73</v>
      </c>
      <c r="H806">
        <v>1174</v>
      </c>
      <c r="I806" t="s">
        <v>20</v>
      </c>
      <c r="J806">
        <v>3</v>
      </c>
      <c r="K806" s="1">
        <f t="shared" si="96"/>
        <v>46132</v>
      </c>
      <c r="L806" s="3">
        <f t="shared" si="97"/>
        <v>19.566666666666666</v>
      </c>
      <c r="M806" s="3">
        <f t="shared" si="98"/>
        <v>1.2166666666666666</v>
      </c>
      <c r="N806" t="str">
        <f t="shared" si="99"/>
        <v>Within SLA</v>
      </c>
      <c r="O806" t="str">
        <f t="shared" si="103"/>
        <v>Neutral</v>
      </c>
      <c r="P806" t="str">
        <f t="shared" si="100"/>
        <v>Resolved</v>
      </c>
      <c r="Q806" s="2" t="str">
        <f t="shared" si="101"/>
        <v>Apr-2026</v>
      </c>
      <c r="R806" s="2">
        <f t="shared" si="102"/>
        <v>46113</v>
      </c>
    </row>
    <row r="807" spans="1:18">
      <c r="A807" t="s">
        <v>1642</v>
      </c>
      <c r="B807" s="2" t="s">
        <v>1643</v>
      </c>
      <c r="C807">
        <v>1512</v>
      </c>
      <c r="D807" t="s">
        <v>32</v>
      </c>
      <c r="E807" t="s">
        <v>19</v>
      </c>
      <c r="F807" t="s">
        <v>59</v>
      </c>
      <c r="G807">
        <v>27</v>
      </c>
      <c r="H807">
        <v>766</v>
      </c>
      <c r="I807" t="s">
        <v>15</v>
      </c>
      <c r="J807">
        <v>4</v>
      </c>
      <c r="K807" s="1">
        <f t="shared" si="96"/>
        <v>46132</v>
      </c>
      <c r="L807" s="3">
        <f t="shared" si="97"/>
        <v>12.766666666666667</v>
      </c>
      <c r="M807" s="3">
        <f t="shared" si="98"/>
        <v>0.45</v>
      </c>
      <c r="N807" t="str">
        <f t="shared" si="99"/>
        <v>Within SLA</v>
      </c>
      <c r="O807" t="str">
        <f t="shared" si="103"/>
        <v>Satisfied</v>
      </c>
      <c r="P807" t="str">
        <f t="shared" si="100"/>
        <v>Resolved</v>
      </c>
      <c r="Q807" s="2" t="str">
        <f t="shared" si="101"/>
        <v>Apr-2026</v>
      </c>
      <c r="R807" s="2">
        <f t="shared" si="102"/>
        <v>46113</v>
      </c>
    </row>
    <row r="808" spans="1:18">
      <c r="A808" t="s">
        <v>1644</v>
      </c>
      <c r="B808" s="2" t="s">
        <v>1645</v>
      </c>
      <c r="C808">
        <v>1006</v>
      </c>
      <c r="D808" t="s">
        <v>47</v>
      </c>
      <c r="E808" t="s">
        <v>19</v>
      </c>
      <c r="F808" t="s">
        <v>59</v>
      </c>
      <c r="G808">
        <v>16</v>
      </c>
      <c r="I808" t="s">
        <v>44</v>
      </c>
      <c r="K808" s="1">
        <f t="shared" si="96"/>
        <v>46133</v>
      </c>
      <c r="L808" s="3" t="str">
        <f t="shared" si="97"/>
        <v/>
      </c>
      <c r="M808" s="3">
        <f t="shared" si="98"/>
        <v>0.26666666666666666</v>
      </c>
      <c r="N808" t="str">
        <f t="shared" si="99"/>
        <v>Open</v>
      </c>
      <c r="O808" t="str">
        <f t="shared" si="103"/>
        <v>No Rating</v>
      </c>
      <c r="P808" t="str">
        <f t="shared" si="100"/>
        <v>Unresolved</v>
      </c>
      <c r="Q808" s="2" t="str">
        <f t="shared" si="101"/>
        <v>Apr-2026</v>
      </c>
      <c r="R808" s="2">
        <f t="shared" si="102"/>
        <v>46113</v>
      </c>
    </row>
    <row r="809" spans="1:18">
      <c r="A809" t="s">
        <v>1646</v>
      </c>
      <c r="B809" s="2" t="s">
        <v>1647</v>
      </c>
      <c r="C809">
        <v>1767</v>
      </c>
      <c r="D809" t="s">
        <v>18</v>
      </c>
      <c r="E809" t="s">
        <v>27</v>
      </c>
      <c r="F809" t="s">
        <v>54</v>
      </c>
      <c r="G809">
        <v>152</v>
      </c>
      <c r="H809">
        <v>1620</v>
      </c>
      <c r="I809" t="s">
        <v>15</v>
      </c>
      <c r="J809">
        <v>5</v>
      </c>
      <c r="K809" s="1">
        <f t="shared" si="96"/>
        <v>46133</v>
      </c>
      <c r="L809" s="3">
        <f t="shared" si="97"/>
        <v>27</v>
      </c>
      <c r="M809" s="3">
        <f t="shared" si="98"/>
        <v>2.5333333333333332</v>
      </c>
      <c r="N809" t="str">
        <f t="shared" si="99"/>
        <v>Within SLA</v>
      </c>
      <c r="O809" t="str">
        <f t="shared" si="103"/>
        <v>Satisfied</v>
      </c>
      <c r="P809" t="str">
        <f t="shared" si="100"/>
        <v>Resolved</v>
      </c>
      <c r="Q809" s="2" t="str">
        <f t="shared" si="101"/>
        <v>Apr-2026</v>
      </c>
      <c r="R809" s="2">
        <f t="shared" si="102"/>
        <v>46113</v>
      </c>
    </row>
    <row r="810" spans="1:18">
      <c r="A810" t="s">
        <v>1648</v>
      </c>
      <c r="B810" s="2" t="s">
        <v>1649</v>
      </c>
      <c r="C810">
        <v>1899</v>
      </c>
      <c r="D810" t="s">
        <v>12</v>
      </c>
      <c r="E810" t="s">
        <v>13</v>
      </c>
      <c r="F810" t="s">
        <v>23</v>
      </c>
      <c r="G810">
        <v>11</v>
      </c>
      <c r="H810">
        <v>81</v>
      </c>
      <c r="I810" t="s">
        <v>20</v>
      </c>
      <c r="J810">
        <v>4</v>
      </c>
      <c r="K810" s="1">
        <f t="shared" si="96"/>
        <v>46133</v>
      </c>
      <c r="L810" s="3">
        <f t="shared" si="97"/>
        <v>1.35</v>
      </c>
      <c r="M810" s="3">
        <f t="shared" si="98"/>
        <v>0.18333333333333332</v>
      </c>
      <c r="N810" t="str">
        <f t="shared" si="99"/>
        <v>Within SLA</v>
      </c>
      <c r="O810" t="str">
        <f t="shared" si="103"/>
        <v>Satisfied</v>
      </c>
      <c r="P810" t="str">
        <f t="shared" si="100"/>
        <v>Resolved</v>
      </c>
      <c r="Q810" s="2" t="str">
        <f t="shared" si="101"/>
        <v>Apr-2026</v>
      </c>
      <c r="R810" s="2">
        <f t="shared" si="102"/>
        <v>46113</v>
      </c>
    </row>
    <row r="811" spans="1:18">
      <c r="A811" t="s">
        <v>1650</v>
      </c>
      <c r="B811" s="2" t="s">
        <v>1651</v>
      </c>
      <c r="C811">
        <v>1622</v>
      </c>
      <c r="D811" t="s">
        <v>26</v>
      </c>
      <c r="E811" t="s">
        <v>19</v>
      </c>
      <c r="F811" t="s">
        <v>14</v>
      </c>
      <c r="G811">
        <v>46</v>
      </c>
      <c r="H811">
        <v>495</v>
      </c>
      <c r="I811" t="s">
        <v>15</v>
      </c>
      <c r="K811" s="1">
        <f t="shared" si="96"/>
        <v>46134</v>
      </c>
      <c r="L811" s="3">
        <f t="shared" si="97"/>
        <v>8.25</v>
      </c>
      <c r="M811" s="3">
        <f t="shared" si="98"/>
        <v>0.76666666666666672</v>
      </c>
      <c r="N811" t="str">
        <f t="shared" si="99"/>
        <v>Within SLA</v>
      </c>
      <c r="O811" t="str">
        <f t="shared" si="103"/>
        <v>No Rating</v>
      </c>
      <c r="P811" t="str">
        <f t="shared" si="100"/>
        <v>Resolved</v>
      </c>
      <c r="Q811" s="2" t="str">
        <f t="shared" si="101"/>
        <v>Apr-2026</v>
      </c>
      <c r="R811" s="2">
        <f t="shared" si="102"/>
        <v>46113</v>
      </c>
    </row>
    <row r="812" spans="1:18">
      <c r="A812" t="s">
        <v>1652</v>
      </c>
      <c r="B812" s="2" t="s">
        <v>1653</v>
      </c>
      <c r="C812">
        <v>1664</v>
      </c>
      <c r="D812" t="s">
        <v>47</v>
      </c>
      <c r="E812" t="s">
        <v>27</v>
      </c>
      <c r="F812" t="s">
        <v>59</v>
      </c>
      <c r="G812">
        <v>174</v>
      </c>
      <c r="H812">
        <v>3360</v>
      </c>
      <c r="I812" t="s">
        <v>20</v>
      </c>
      <c r="J812">
        <v>5</v>
      </c>
      <c r="K812" s="1">
        <f t="shared" si="96"/>
        <v>46134</v>
      </c>
      <c r="L812" s="3">
        <f t="shared" si="97"/>
        <v>56</v>
      </c>
      <c r="M812" s="3">
        <f t="shared" si="98"/>
        <v>2.9</v>
      </c>
      <c r="N812" t="str">
        <f t="shared" si="99"/>
        <v>Breached</v>
      </c>
      <c r="O812" t="str">
        <f t="shared" si="103"/>
        <v>Satisfied</v>
      </c>
      <c r="P812" t="str">
        <f t="shared" si="100"/>
        <v>Resolved</v>
      </c>
      <c r="Q812" s="2" t="str">
        <f t="shared" si="101"/>
        <v>Apr-2026</v>
      </c>
      <c r="R812" s="2">
        <f t="shared" si="102"/>
        <v>46113</v>
      </c>
    </row>
    <row r="813" spans="1:18">
      <c r="A813" t="s">
        <v>1654</v>
      </c>
      <c r="B813" s="2" t="s">
        <v>1655</v>
      </c>
      <c r="C813">
        <v>1697</v>
      </c>
      <c r="D813" t="s">
        <v>47</v>
      </c>
      <c r="E813" t="s">
        <v>27</v>
      </c>
      <c r="F813" t="s">
        <v>34</v>
      </c>
      <c r="G813">
        <v>70</v>
      </c>
      <c r="H813">
        <v>1960</v>
      </c>
      <c r="I813" t="s">
        <v>20</v>
      </c>
      <c r="J813">
        <v>5</v>
      </c>
      <c r="K813" s="1">
        <f t="shared" si="96"/>
        <v>46135</v>
      </c>
      <c r="L813" s="3">
        <f t="shared" si="97"/>
        <v>32.666666666666664</v>
      </c>
      <c r="M813" s="3">
        <f t="shared" si="98"/>
        <v>1.1666666666666667</v>
      </c>
      <c r="N813" t="str">
        <f t="shared" si="99"/>
        <v>Within SLA</v>
      </c>
      <c r="O813" t="str">
        <f t="shared" si="103"/>
        <v>Satisfied</v>
      </c>
      <c r="P813" t="str">
        <f t="shared" si="100"/>
        <v>Resolved</v>
      </c>
      <c r="Q813" s="2" t="str">
        <f t="shared" si="101"/>
        <v>Apr-2026</v>
      </c>
      <c r="R813" s="2">
        <f t="shared" si="102"/>
        <v>46113</v>
      </c>
    </row>
    <row r="814" spans="1:18">
      <c r="A814" t="s">
        <v>1656</v>
      </c>
      <c r="B814" s="2" t="s">
        <v>1657</v>
      </c>
      <c r="C814">
        <v>1429</v>
      </c>
      <c r="D814" t="s">
        <v>47</v>
      </c>
      <c r="E814" t="s">
        <v>19</v>
      </c>
      <c r="F814" t="s">
        <v>28</v>
      </c>
      <c r="G814">
        <v>36</v>
      </c>
      <c r="H814">
        <v>316</v>
      </c>
      <c r="I814" t="s">
        <v>15</v>
      </c>
      <c r="K814" s="1">
        <f t="shared" si="96"/>
        <v>46135</v>
      </c>
      <c r="L814" s="3">
        <f t="shared" si="97"/>
        <v>5.2666666666666666</v>
      </c>
      <c r="M814" s="3">
        <f t="shared" si="98"/>
        <v>0.6</v>
      </c>
      <c r="N814" t="str">
        <f t="shared" si="99"/>
        <v>Within SLA</v>
      </c>
      <c r="O814" t="str">
        <f t="shared" si="103"/>
        <v>No Rating</v>
      </c>
      <c r="P814" t="str">
        <f t="shared" si="100"/>
        <v>Resolved</v>
      </c>
      <c r="Q814" s="2" t="str">
        <f t="shared" si="101"/>
        <v>Apr-2026</v>
      </c>
      <c r="R814" s="2">
        <f t="shared" si="102"/>
        <v>46113</v>
      </c>
    </row>
    <row r="815" spans="1:18">
      <c r="A815" t="s">
        <v>1658</v>
      </c>
      <c r="B815" s="2" t="s">
        <v>1659</v>
      </c>
      <c r="C815">
        <v>1857</v>
      </c>
      <c r="D815" t="s">
        <v>12</v>
      </c>
      <c r="E815" t="s">
        <v>27</v>
      </c>
      <c r="F815" t="s">
        <v>34</v>
      </c>
      <c r="G815">
        <v>66</v>
      </c>
      <c r="H815">
        <v>2815</v>
      </c>
      <c r="I815" t="s">
        <v>15</v>
      </c>
      <c r="J815">
        <v>2</v>
      </c>
      <c r="K815" s="1">
        <f t="shared" si="96"/>
        <v>46135</v>
      </c>
      <c r="L815" s="3">
        <f t="shared" si="97"/>
        <v>46.916666666666664</v>
      </c>
      <c r="M815" s="3">
        <f t="shared" si="98"/>
        <v>1.1000000000000001</v>
      </c>
      <c r="N815" t="str">
        <f t="shared" si="99"/>
        <v>Within SLA</v>
      </c>
      <c r="O815" t="str">
        <f t="shared" si="103"/>
        <v>Dissatisfied</v>
      </c>
      <c r="P815" t="str">
        <f t="shared" si="100"/>
        <v>Resolved</v>
      </c>
      <c r="Q815" s="2" t="str">
        <f t="shared" si="101"/>
        <v>Apr-2026</v>
      </c>
      <c r="R815" s="2">
        <f t="shared" si="102"/>
        <v>46113</v>
      </c>
    </row>
    <row r="816" spans="1:18">
      <c r="A816" t="s">
        <v>1660</v>
      </c>
      <c r="B816" s="2" t="s">
        <v>1661</v>
      </c>
      <c r="C816">
        <v>1999</v>
      </c>
      <c r="D816" t="s">
        <v>32</v>
      </c>
      <c r="E816" t="s">
        <v>27</v>
      </c>
      <c r="F816" t="s">
        <v>14</v>
      </c>
      <c r="G816">
        <v>133</v>
      </c>
      <c r="I816" t="s">
        <v>29</v>
      </c>
      <c r="K816" s="1">
        <f t="shared" si="96"/>
        <v>46136</v>
      </c>
      <c r="L816" s="3" t="str">
        <f t="shared" si="97"/>
        <v/>
      </c>
      <c r="M816" s="3">
        <f t="shared" si="98"/>
        <v>2.2166666666666668</v>
      </c>
      <c r="N816" t="str">
        <f t="shared" si="99"/>
        <v>Open</v>
      </c>
      <c r="O816" t="str">
        <f t="shared" si="103"/>
        <v>No Rating</v>
      </c>
      <c r="P816" t="str">
        <f t="shared" si="100"/>
        <v>Unresolved</v>
      </c>
      <c r="Q816" s="2" t="str">
        <f t="shared" si="101"/>
        <v>Apr-2026</v>
      </c>
      <c r="R816" s="2">
        <f t="shared" si="102"/>
        <v>46113</v>
      </c>
    </row>
    <row r="817" spans="1:18">
      <c r="A817" t="s">
        <v>1662</v>
      </c>
      <c r="B817" s="2" t="s">
        <v>1663</v>
      </c>
      <c r="C817">
        <v>1524</v>
      </c>
      <c r="D817" t="s">
        <v>12</v>
      </c>
      <c r="E817" t="s">
        <v>19</v>
      </c>
      <c r="F817" t="s">
        <v>59</v>
      </c>
      <c r="G817">
        <v>33</v>
      </c>
      <c r="H817">
        <v>1116</v>
      </c>
      <c r="I817" t="s">
        <v>15</v>
      </c>
      <c r="J817">
        <v>1</v>
      </c>
      <c r="K817" s="1">
        <f t="shared" si="96"/>
        <v>46136</v>
      </c>
      <c r="L817" s="3">
        <f t="shared" si="97"/>
        <v>18.600000000000001</v>
      </c>
      <c r="M817" s="3">
        <f t="shared" si="98"/>
        <v>0.55000000000000004</v>
      </c>
      <c r="N817" t="str">
        <f t="shared" si="99"/>
        <v>Within SLA</v>
      </c>
      <c r="O817" t="str">
        <f t="shared" si="103"/>
        <v>Dissatisfied</v>
      </c>
      <c r="P817" t="str">
        <f t="shared" si="100"/>
        <v>Resolved</v>
      </c>
      <c r="Q817" s="2" t="str">
        <f t="shared" si="101"/>
        <v>Apr-2026</v>
      </c>
      <c r="R817" s="2">
        <f t="shared" si="102"/>
        <v>46113</v>
      </c>
    </row>
    <row r="818" spans="1:18">
      <c r="A818" t="s">
        <v>1664</v>
      </c>
      <c r="B818" s="2" t="s">
        <v>1665</v>
      </c>
      <c r="C818">
        <v>1111</v>
      </c>
      <c r="D818" t="s">
        <v>18</v>
      </c>
      <c r="E818" t="s">
        <v>27</v>
      </c>
      <c r="F818" t="s">
        <v>23</v>
      </c>
      <c r="G818">
        <v>71</v>
      </c>
      <c r="I818" t="s">
        <v>29</v>
      </c>
      <c r="K818" s="1">
        <f t="shared" si="96"/>
        <v>46136</v>
      </c>
      <c r="L818" s="3" t="str">
        <f t="shared" si="97"/>
        <v/>
      </c>
      <c r="M818" s="3">
        <f t="shared" si="98"/>
        <v>1.1833333333333333</v>
      </c>
      <c r="N818" t="str">
        <f t="shared" si="99"/>
        <v>Open</v>
      </c>
      <c r="O818" t="str">
        <f t="shared" si="103"/>
        <v>No Rating</v>
      </c>
      <c r="P818" t="str">
        <f t="shared" si="100"/>
        <v>Unresolved</v>
      </c>
      <c r="Q818" s="2" t="str">
        <f t="shared" si="101"/>
        <v>Apr-2026</v>
      </c>
      <c r="R818" s="2">
        <f t="shared" si="102"/>
        <v>46113</v>
      </c>
    </row>
    <row r="819" spans="1:18">
      <c r="A819" t="s">
        <v>1666</v>
      </c>
      <c r="B819" s="2" t="s">
        <v>1667</v>
      </c>
      <c r="C819">
        <v>1129</v>
      </c>
      <c r="D819" t="s">
        <v>47</v>
      </c>
      <c r="E819" t="s">
        <v>33</v>
      </c>
      <c r="F819" t="s">
        <v>43</v>
      </c>
      <c r="G819">
        <v>465</v>
      </c>
      <c r="H819">
        <v>7309</v>
      </c>
      <c r="I819" t="s">
        <v>20</v>
      </c>
      <c r="J819">
        <v>2</v>
      </c>
      <c r="K819" s="1">
        <f t="shared" si="96"/>
        <v>46137</v>
      </c>
      <c r="L819" s="3">
        <f t="shared" si="97"/>
        <v>121.81666666666666</v>
      </c>
      <c r="M819" s="3">
        <f t="shared" si="98"/>
        <v>7.75</v>
      </c>
      <c r="N819" t="str">
        <f t="shared" si="99"/>
        <v>Breached</v>
      </c>
      <c r="O819" t="str">
        <f t="shared" si="103"/>
        <v>Dissatisfied</v>
      </c>
      <c r="P819" t="str">
        <f t="shared" si="100"/>
        <v>Resolved</v>
      </c>
      <c r="Q819" s="2" t="str">
        <f t="shared" si="101"/>
        <v>Apr-2026</v>
      </c>
      <c r="R819" s="2">
        <f t="shared" si="102"/>
        <v>46113</v>
      </c>
    </row>
    <row r="820" spans="1:18">
      <c r="A820" t="s">
        <v>1668</v>
      </c>
      <c r="B820" s="2" t="s">
        <v>1669</v>
      </c>
      <c r="C820">
        <v>1556</v>
      </c>
      <c r="D820" t="s">
        <v>47</v>
      </c>
      <c r="E820" t="s">
        <v>13</v>
      </c>
      <c r="F820" t="s">
        <v>59</v>
      </c>
      <c r="G820">
        <v>7</v>
      </c>
      <c r="H820">
        <v>220</v>
      </c>
      <c r="I820" t="s">
        <v>15</v>
      </c>
      <c r="J820">
        <v>3</v>
      </c>
      <c r="K820" s="1">
        <f t="shared" si="96"/>
        <v>46137</v>
      </c>
      <c r="L820" s="3">
        <f t="shared" si="97"/>
        <v>3.6666666666666665</v>
      </c>
      <c r="M820" s="3">
        <f t="shared" si="98"/>
        <v>0.11666666666666667</v>
      </c>
      <c r="N820" t="str">
        <f t="shared" si="99"/>
        <v>Within SLA</v>
      </c>
      <c r="O820" t="str">
        <f t="shared" si="103"/>
        <v>Neutral</v>
      </c>
      <c r="P820" t="str">
        <f t="shared" si="100"/>
        <v>Resolved</v>
      </c>
      <c r="Q820" s="2" t="str">
        <f t="shared" si="101"/>
        <v>Apr-2026</v>
      </c>
      <c r="R820" s="2">
        <f t="shared" si="102"/>
        <v>46113</v>
      </c>
    </row>
    <row r="821" spans="1:18">
      <c r="A821" t="s">
        <v>1670</v>
      </c>
      <c r="B821" s="2" t="s">
        <v>1671</v>
      </c>
      <c r="C821">
        <v>1436</v>
      </c>
      <c r="D821" t="s">
        <v>12</v>
      </c>
      <c r="E821" t="s">
        <v>33</v>
      </c>
      <c r="F821" t="s">
        <v>14</v>
      </c>
      <c r="G821">
        <v>125</v>
      </c>
      <c r="H821">
        <v>2370</v>
      </c>
      <c r="I821" t="s">
        <v>15</v>
      </c>
      <c r="K821" s="1">
        <f t="shared" si="96"/>
        <v>46137</v>
      </c>
      <c r="L821" s="3">
        <f t="shared" si="97"/>
        <v>39.5</v>
      </c>
      <c r="M821" s="3">
        <f t="shared" si="98"/>
        <v>2.0833333333333335</v>
      </c>
      <c r="N821" t="str">
        <f t="shared" si="99"/>
        <v>Within SLA</v>
      </c>
      <c r="O821" t="str">
        <f t="shared" si="103"/>
        <v>No Rating</v>
      </c>
      <c r="P821" t="str">
        <f t="shared" si="100"/>
        <v>Resolved</v>
      </c>
      <c r="Q821" s="2" t="str">
        <f t="shared" si="101"/>
        <v>Apr-2026</v>
      </c>
      <c r="R821" s="2">
        <f t="shared" si="102"/>
        <v>46113</v>
      </c>
    </row>
    <row r="822" spans="1:18">
      <c r="A822" t="s">
        <v>1672</v>
      </c>
      <c r="B822" s="2" t="s">
        <v>1673</v>
      </c>
      <c r="C822">
        <v>1079</v>
      </c>
      <c r="D822" t="s">
        <v>18</v>
      </c>
      <c r="E822" t="s">
        <v>27</v>
      </c>
      <c r="F822" t="s">
        <v>28</v>
      </c>
      <c r="G822">
        <v>40</v>
      </c>
      <c r="H822">
        <v>3440</v>
      </c>
      <c r="I822" t="s">
        <v>15</v>
      </c>
      <c r="K822" s="1">
        <f t="shared" si="96"/>
        <v>46138</v>
      </c>
      <c r="L822" s="3">
        <f t="shared" si="97"/>
        <v>57.333333333333336</v>
      </c>
      <c r="M822" s="3">
        <f t="shared" si="98"/>
        <v>0.66666666666666663</v>
      </c>
      <c r="N822" t="str">
        <f t="shared" si="99"/>
        <v>Breached</v>
      </c>
      <c r="O822" t="str">
        <f t="shared" si="103"/>
        <v>No Rating</v>
      </c>
      <c r="P822" t="str">
        <f t="shared" si="100"/>
        <v>Resolved</v>
      </c>
      <c r="Q822" s="2" t="str">
        <f t="shared" si="101"/>
        <v>Apr-2026</v>
      </c>
      <c r="R822" s="2">
        <f t="shared" si="102"/>
        <v>46113</v>
      </c>
    </row>
    <row r="823" spans="1:18">
      <c r="A823" t="s">
        <v>1674</v>
      </c>
      <c r="B823" s="2" t="s">
        <v>1675</v>
      </c>
      <c r="C823">
        <v>1194</v>
      </c>
      <c r="D823" t="s">
        <v>12</v>
      </c>
      <c r="E823" t="s">
        <v>33</v>
      </c>
      <c r="F823" t="s">
        <v>59</v>
      </c>
      <c r="G823">
        <v>245</v>
      </c>
      <c r="I823" t="s">
        <v>44</v>
      </c>
      <c r="K823" s="1">
        <f t="shared" si="96"/>
        <v>46138</v>
      </c>
      <c r="L823" s="3" t="str">
        <f t="shared" si="97"/>
        <v/>
      </c>
      <c r="M823" s="3">
        <f t="shared" si="98"/>
        <v>4.083333333333333</v>
      </c>
      <c r="N823" t="str">
        <f t="shared" si="99"/>
        <v>Open</v>
      </c>
      <c r="O823" t="str">
        <f t="shared" si="103"/>
        <v>No Rating</v>
      </c>
      <c r="P823" t="str">
        <f t="shared" si="100"/>
        <v>Unresolved</v>
      </c>
      <c r="Q823" s="2" t="str">
        <f t="shared" si="101"/>
        <v>Apr-2026</v>
      </c>
      <c r="R823" s="2">
        <f t="shared" si="102"/>
        <v>46113</v>
      </c>
    </row>
    <row r="824" spans="1:18">
      <c r="A824" t="s">
        <v>1676</v>
      </c>
      <c r="B824" s="2" t="s">
        <v>1677</v>
      </c>
      <c r="C824">
        <v>1401</v>
      </c>
      <c r="D824" t="s">
        <v>47</v>
      </c>
      <c r="E824" t="s">
        <v>33</v>
      </c>
      <c r="F824" t="s">
        <v>28</v>
      </c>
      <c r="G824">
        <v>332</v>
      </c>
      <c r="H824">
        <v>5689</v>
      </c>
      <c r="I824" t="s">
        <v>15</v>
      </c>
      <c r="K824" s="1">
        <f t="shared" si="96"/>
        <v>46139</v>
      </c>
      <c r="L824" s="3">
        <f t="shared" si="97"/>
        <v>94.816666666666663</v>
      </c>
      <c r="M824" s="3">
        <f t="shared" si="98"/>
        <v>5.5333333333333332</v>
      </c>
      <c r="N824" t="str">
        <f t="shared" si="99"/>
        <v>Breached</v>
      </c>
      <c r="O824" t="str">
        <f t="shared" si="103"/>
        <v>No Rating</v>
      </c>
      <c r="P824" t="str">
        <f t="shared" si="100"/>
        <v>Resolved</v>
      </c>
      <c r="Q824" s="2" t="str">
        <f t="shared" si="101"/>
        <v>Apr-2026</v>
      </c>
      <c r="R824" s="2">
        <f t="shared" si="102"/>
        <v>46113</v>
      </c>
    </row>
    <row r="825" spans="1:18">
      <c r="A825" t="s">
        <v>1678</v>
      </c>
      <c r="B825" s="2" t="s">
        <v>1679</v>
      </c>
      <c r="C825">
        <v>1497</v>
      </c>
      <c r="D825" t="s">
        <v>18</v>
      </c>
      <c r="E825" t="s">
        <v>19</v>
      </c>
      <c r="F825" t="s">
        <v>64</v>
      </c>
      <c r="G825">
        <v>29</v>
      </c>
      <c r="H825">
        <v>653</v>
      </c>
      <c r="I825" t="s">
        <v>15</v>
      </c>
      <c r="J825">
        <v>4</v>
      </c>
      <c r="K825" s="1">
        <f t="shared" si="96"/>
        <v>46139</v>
      </c>
      <c r="L825" s="3">
        <f t="shared" si="97"/>
        <v>10.883333333333333</v>
      </c>
      <c r="M825" s="3">
        <f t="shared" si="98"/>
        <v>0.48333333333333334</v>
      </c>
      <c r="N825" t="str">
        <f t="shared" si="99"/>
        <v>Within SLA</v>
      </c>
      <c r="O825" t="str">
        <f t="shared" si="103"/>
        <v>Satisfied</v>
      </c>
      <c r="P825" t="str">
        <f t="shared" si="100"/>
        <v>Resolved</v>
      </c>
      <c r="Q825" s="2" t="str">
        <f t="shared" si="101"/>
        <v>Apr-2026</v>
      </c>
      <c r="R825" s="2">
        <f t="shared" si="102"/>
        <v>46113</v>
      </c>
    </row>
    <row r="826" spans="1:18">
      <c r="A826" t="s">
        <v>1680</v>
      </c>
      <c r="B826" s="2" t="s">
        <v>1681</v>
      </c>
      <c r="C826">
        <v>1329</v>
      </c>
      <c r="D826" t="s">
        <v>12</v>
      </c>
      <c r="E826" t="s">
        <v>27</v>
      </c>
      <c r="F826" t="s">
        <v>34</v>
      </c>
      <c r="G826">
        <v>139</v>
      </c>
      <c r="H826">
        <v>2768</v>
      </c>
      <c r="I826" t="s">
        <v>15</v>
      </c>
      <c r="K826" s="1">
        <f t="shared" si="96"/>
        <v>46139</v>
      </c>
      <c r="L826" s="3">
        <f t="shared" si="97"/>
        <v>46.133333333333333</v>
      </c>
      <c r="M826" s="3">
        <f t="shared" si="98"/>
        <v>2.3166666666666669</v>
      </c>
      <c r="N826" t="str">
        <f t="shared" si="99"/>
        <v>Within SLA</v>
      </c>
      <c r="O826" t="str">
        <f t="shared" si="103"/>
        <v>No Rating</v>
      </c>
      <c r="P826" t="str">
        <f t="shared" si="100"/>
        <v>Resolved</v>
      </c>
      <c r="Q826" s="2" t="str">
        <f t="shared" si="101"/>
        <v>Apr-2026</v>
      </c>
      <c r="R826" s="2">
        <f t="shared" si="102"/>
        <v>46113</v>
      </c>
    </row>
    <row r="827" spans="1:18">
      <c r="A827" t="s">
        <v>1682</v>
      </c>
      <c r="B827" s="2" t="s">
        <v>1683</v>
      </c>
      <c r="C827">
        <v>1209</v>
      </c>
      <c r="D827" t="s">
        <v>32</v>
      </c>
      <c r="E827" t="s">
        <v>27</v>
      </c>
      <c r="F827" t="s">
        <v>54</v>
      </c>
      <c r="G827">
        <v>32</v>
      </c>
      <c r="I827" t="s">
        <v>44</v>
      </c>
      <c r="K827" s="1">
        <f t="shared" si="96"/>
        <v>46140</v>
      </c>
      <c r="L827" s="3" t="str">
        <f t="shared" si="97"/>
        <v/>
      </c>
      <c r="M827" s="3">
        <f t="shared" si="98"/>
        <v>0.53333333333333333</v>
      </c>
      <c r="N827" t="str">
        <f t="shared" si="99"/>
        <v>Open</v>
      </c>
      <c r="O827" t="str">
        <f t="shared" si="103"/>
        <v>No Rating</v>
      </c>
      <c r="P827" t="str">
        <f t="shared" si="100"/>
        <v>Unresolved</v>
      </c>
      <c r="Q827" s="2" t="str">
        <f t="shared" si="101"/>
        <v>Apr-2026</v>
      </c>
      <c r="R827" s="2">
        <f t="shared" si="102"/>
        <v>46113</v>
      </c>
    </row>
    <row r="828" spans="1:18">
      <c r="A828" t="s">
        <v>1684</v>
      </c>
      <c r="B828" s="2" t="s">
        <v>1685</v>
      </c>
      <c r="C828">
        <v>1793</v>
      </c>
      <c r="D828" t="s">
        <v>12</v>
      </c>
      <c r="E828" t="s">
        <v>33</v>
      </c>
      <c r="F828" t="s">
        <v>54</v>
      </c>
      <c r="G828">
        <v>74</v>
      </c>
      <c r="H828">
        <v>1645</v>
      </c>
      <c r="I828" t="s">
        <v>15</v>
      </c>
      <c r="J828">
        <v>5</v>
      </c>
      <c r="K828" s="1">
        <f t="shared" si="96"/>
        <v>46140</v>
      </c>
      <c r="L828" s="3">
        <f t="shared" si="97"/>
        <v>27.416666666666668</v>
      </c>
      <c r="M828" s="3">
        <f t="shared" si="98"/>
        <v>1.2333333333333334</v>
      </c>
      <c r="N828" t="str">
        <f t="shared" si="99"/>
        <v>Within SLA</v>
      </c>
      <c r="O828" t="str">
        <f t="shared" si="103"/>
        <v>Satisfied</v>
      </c>
      <c r="P828" t="str">
        <f t="shared" si="100"/>
        <v>Resolved</v>
      </c>
      <c r="Q828" s="2" t="str">
        <f t="shared" si="101"/>
        <v>Apr-2026</v>
      </c>
      <c r="R828" s="2">
        <f t="shared" si="102"/>
        <v>46113</v>
      </c>
    </row>
    <row r="829" spans="1:18">
      <c r="A829" t="s">
        <v>1686</v>
      </c>
      <c r="B829" s="2" t="s">
        <v>1687</v>
      </c>
      <c r="C829">
        <v>1386</v>
      </c>
      <c r="D829" t="s">
        <v>26</v>
      </c>
      <c r="E829" t="s">
        <v>27</v>
      </c>
      <c r="F829" t="s">
        <v>23</v>
      </c>
      <c r="G829">
        <v>166</v>
      </c>
      <c r="H829">
        <v>1457</v>
      </c>
      <c r="I829" t="s">
        <v>15</v>
      </c>
      <c r="J829">
        <v>4</v>
      </c>
      <c r="K829" s="1">
        <f t="shared" si="96"/>
        <v>46140</v>
      </c>
      <c r="L829" s="3">
        <f t="shared" si="97"/>
        <v>24.283333333333335</v>
      </c>
      <c r="M829" s="3">
        <f t="shared" si="98"/>
        <v>2.7666666666666666</v>
      </c>
      <c r="N829" t="str">
        <f t="shared" si="99"/>
        <v>Within SLA</v>
      </c>
      <c r="O829" t="str">
        <f t="shared" si="103"/>
        <v>Satisfied</v>
      </c>
      <c r="P829" t="str">
        <f t="shared" si="100"/>
        <v>Resolved</v>
      </c>
      <c r="Q829" s="2" t="str">
        <f t="shared" si="101"/>
        <v>Apr-2026</v>
      </c>
      <c r="R829" s="2">
        <f t="shared" si="102"/>
        <v>46113</v>
      </c>
    </row>
    <row r="830" spans="1:18">
      <c r="A830" t="s">
        <v>1688</v>
      </c>
      <c r="B830" s="2" t="s">
        <v>1689</v>
      </c>
      <c r="C830">
        <v>1885</v>
      </c>
      <c r="D830" t="s">
        <v>12</v>
      </c>
      <c r="E830" t="s">
        <v>27</v>
      </c>
      <c r="F830" t="s">
        <v>54</v>
      </c>
      <c r="G830">
        <v>90</v>
      </c>
      <c r="H830">
        <v>2207</v>
      </c>
      <c r="I830" t="s">
        <v>15</v>
      </c>
      <c r="J830">
        <v>2</v>
      </c>
      <c r="K830" s="1">
        <f t="shared" si="96"/>
        <v>46141</v>
      </c>
      <c r="L830" s="3">
        <f t="shared" si="97"/>
        <v>36.783333333333331</v>
      </c>
      <c r="M830" s="3">
        <f t="shared" si="98"/>
        <v>1.5</v>
      </c>
      <c r="N830" t="str">
        <f t="shared" si="99"/>
        <v>Within SLA</v>
      </c>
      <c r="O830" t="str">
        <f t="shared" si="103"/>
        <v>Dissatisfied</v>
      </c>
      <c r="P830" t="str">
        <f t="shared" si="100"/>
        <v>Resolved</v>
      </c>
      <c r="Q830" s="2" t="str">
        <f t="shared" si="101"/>
        <v>Apr-2026</v>
      </c>
      <c r="R830" s="2">
        <f t="shared" si="102"/>
        <v>46113</v>
      </c>
    </row>
    <row r="831" spans="1:18">
      <c r="A831" t="s">
        <v>1690</v>
      </c>
      <c r="B831" s="2" t="s">
        <v>1691</v>
      </c>
      <c r="C831">
        <v>1929</v>
      </c>
      <c r="D831" t="s">
        <v>47</v>
      </c>
      <c r="E831" t="s">
        <v>33</v>
      </c>
      <c r="F831" t="s">
        <v>34</v>
      </c>
      <c r="G831">
        <v>269</v>
      </c>
      <c r="I831" t="s">
        <v>29</v>
      </c>
      <c r="K831" s="1">
        <f t="shared" si="96"/>
        <v>46141</v>
      </c>
      <c r="L831" s="3" t="str">
        <f t="shared" si="97"/>
        <v/>
      </c>
      <c r="M831" s="3">
        <f t="shared" si="98"/>
        <v>4.4833333333333334</v>
      </c>
      <c r="N831" t="str">
        <f t="shared" si="99"/>
        <v>Open</v>
      </c>
      <c r="O831" t="str">
        <f t="shared" si="103"/>
        <v>No Rating</v>
      </c>
      <c r="P831" t="str">
        <f t="shared" si="100"/>
        <v>Unresolved</v>
      </c>
      <c r="Q831" s="2" t="str">
        <f t="shared" si="101"/>
        <v>Apr-2026</v>
      </c>
      <c r="R831" s="2">
        <f t="shared" si="102"/>
        <v>46113</v>
      </c>
    </row>
    <row r="832" spans="1:18">
      <c r="A832" t="s">
        <v>1692</v>
      </c>
      <c r="B832" s="2" t="s">
        <v>1693</v>
      </c>
      <c r="C832">
        <v>1846</v>
      </c>
      <c r="D832" t="s">
        <v>26</v>
      </c>
      <c r="E832" t="s">
        <v>13</v>
      </c>
      <c r="F832" t="s">
        <v>43</v>
      </c>
      <c r="G832">
        <v>6</v>
      </c>
      <c r="H832">
        <v>262</v>
      </c>
      <c r="I832" t="s">
        <v>15</v>
      </c>
      <c r="K832" s="1">
        <f t="shared" si="96"/>
        <v>46141</v>
      </c>
      <c r="L832" s="3">
        <f t="shared" si="97"/>
        <v>4.3666666666666663</v>
      </c>
      <c r="M832" s="3">
        <f t="shared" si="98"/>
        <v>0.1</v>
      </c>
      <c r="N832" t="str">
        <f t="shared" si="99"/>
        <v>Within SLA</v>
      </c>
      <c r="O832" t="str">
        <f t="shared" si="103"/>
        <v>No Rating</v>
      </c>
      <c r="P832" t="str">
        <f t="shared" si="100"/>
        <v>Resolved</v>
      </c>
      <c r="Q832" s="2" t="str">
        <f t="shared" si="101"/>
        <v>Apr-2026</v>
      </c>
      <c r="R832" s="2">
        <f t="shared" si="102"/>
        <v>46113</v>
      </c>
    </row>
    <row r="833" spans="1:18">
      <c r="A833" t="s">
        <v>1694</v>
      </c>
      <c r="B833" s="2" t="s">
        <v>1695</v>
      </c>
      <c r="C833">
        <v>1426</v>
      </c>
      <c r="D833" t="s">
        <v>47</v>
      </c>
      <c r="E833" t="s">
        <v>13</v>
      </c>
      <c r="F833" t="s">
        <v>23</v>
      </c>
      <c r="G833">
        <v>12</v>
      </c>
      <c r="H833">
        <v>76</v>
      </c>
      <c r="I833" t="s">
        <v>15</v>
      </c>
      <c r="J833">
        <v>5</v>
      </c>
      <c r="K833" s="1">
        <f t="shared" si="96"/>
        <v>46142</v>
      </c>
      <c r="L833" s="3">
        <f t="shared" si="97"/>
        <v>1.2666666666666666</v>
      </c>
      <c r="M833" s="3">
        <f t="shared" si="98"/>
        <v>0.2</v>
      </c>
      <c r="N833" t="str">
        <f t="shared" si="99"/>
        <v>Within SLA</v>
      </c>
      <c r="O833" t="str">
        <f t="shared" si="103"/>
        <v>Satisfied</v>
      </c>
      <c r="P833" t="str">
        <f t="shared" si="100"/>
        <v>Resolved</v>
      </c>
      <c r="Q833" s="2" t="str">
        <f t="shared" si="101"/>
        <v>Apr-2026</v>
      </c>
      <c r="R833" s="2">
        <f t="shared" si="102"/>
        <v>46113</v>
      </c>
    </row>
    <row r="834" spans="1:18">
      <c r="A834" t="s">
        <v>1696</v>
      </c>
      <c r="B834" s="2" t="s">
        <v>1697</v>
      </c>
      <c r="C834">
        <v>1005</v>
      </c>
      <c r="D834" t="s">
        <v>18</v>
      </c>
      <c r="E834" t="s">
        <v>33</v>
      </c>
      <c r="F834" t="s">
        <v>14</v>
      </c>
      <c r="G834">
        <v>180</v>
      </c>
      <c r="I834" t="s">
        <v>44</v>
      </c>
      <c r="K834" s="1">
        <f t="shared" si="96"/>
        <v>46142</v>
      </c>
      <c r="L834" s="3" t="str">
        <f t="shared" si="97"/>
        <v/>
      </c>
      <c r="M834" s="3">
        <f t="shared" si="98"/>
        <v>3</v>
      </c>
      <c r="N834" t="str">
        <f t="shared" si="99"/>
        <v>Open</v>
      </c>
      <c r="O834" t="str">
        <f t="shared" si="103"/>
        <v>No Rating</v>
      </c>
      <c r="P834" t="str">
        <f t="shared" si="100"/>
        <v>Unresolved</v>
      </c>
      <c r="Q834" s="2" t="str">
        <f t="shared" si="101"/>
        <v>Apr-2026</v>
      </c>
      <c r="R834" s="2">
        <f t="shared" si="102"/>
        <v>46113</v>
      </c>
    </row>
    <row r="835" spans="1:18">
      <c r="A835" t="s">
        <v>1698</v>
      </c>
      <c r="B835" s="2" t="s">
        <v>1699</v>
      </c>
      <c r="C835">
        <v>1975</v>
      </c>
      <c r="D835" t="s">
        <v>26</v>
      </c>
      <c r="E835" t="s">
        <v>33</v>
      </c>
      <c r="F835" t="s">
        <v>23</v>
      </c>
      <c r="G835">
        <v>152</v>
      </c>
      <c r="H835">
        <v>8146</v>
      </c>
      <c r="I835" t="s">
        <v>20</v>
      </c>
      <c r="J835">
        <v>2</v>
      </c>
      <c r="K835" s="1">
        <f t="shared" ref="K835:K898" si="104">IF(B835="","",DATEVALUE(LEFT(B835,10)))</f>
        <v>46143</v>
      </c>
      <c r="L835" s="3">
        <f t="shared" ref="L835:L898" si="105">IF(H835="","",H835/60)</f>
        <v>135.76666666666668</v>
      </c>
      <c r="M835" s="3">
        <f t="shared" ref="M835:M898" si="106">IF(G835="","",G835/60)</f>
        <v>2.5333333333333332</v>
      </c>
      <c r="N835" t="str">
        <f t="shared" ref="N835:N898" si="107">IF(L835="","Open",IF(L835&lt;=IF(E835="Urgent",8,IF(E835="High",24,IF(E835="Normal",48,72))),"Within SLA","Breached"))</f>
        <v>Breached</v>
      </c>
      <c r="O835" t="str">
        <f t="shared" si="103"/>
        <v>Dissatisfied</v>
      </c>
      <c r="P835" t="str">
        <f t="shared" ref="P835:P898" si="108">IF(I835="Closed","Resolved",IF(I835="Resolved","Resolved","Unresolved"))</f>
        <v>Resolved</v>
      </c>
      <c r="Q835" s="2" t="str">
        <f t="shared" ref="Q835:Q898" si="109">IF(K835="","",TEXT(K835,"mmm-yyyy"))</f>
        <v>May-2026</v>
      </c>
      <c r="R835" s="2">
        <f t="shared" ref="R835:R898" si="110">IF(K835="","",DATE(YEAR(K835),MONTH(K835),1))</f>
        <v>46143</v>
      </c>
    </row>
    <row r="836" spans="1:18">
      <c r="A836" t="s">
        <v>1700</v>
      </c>
      <c r="B836" s="2" t="s">
        <v>1701</v>
      </c>
      <c r="C836">
        <v>1047</v>
      </c>
      <c r="D836" t="s">
        <v>12</v>
      </c>
      <c r="E836" t="s">
        <v>13</v>
      </c>
      <c r="F836" t="s">
        <v>34</v>
      </c>
      <c r="G836">
        <v>11</v>
      </c>
      <c r="H836">
        <v>197</v>
      </c>
      <c r="I836" t="s">
        <v>15</v>
      </c>
      <c r="K836" s="1">
        <f t="shared" si="104"/>
        <v>46143</v>
      </c>
      <c r="L836" s="3">
        <f t="shared" si="105"/>
        <v>3.2833333333333332</v>
      </c>
      <c r="M836" s="3">
        <f t="shared" si="106"/>
        <v>0.18333333333333332</v>
      </c>
      <c r="N836" t="str">
        <f t="shared" si="107"/>
        <v>Within SLA</v>
      </c>
      <c r="O836" t="str">
        <f t="shared" ref="O836:O899" si="111">IF(J836="","No Rating",IF(J836&gt;=4,"Satisfied",IF(J836=3,"Neutral","Dissatisfied")))</f>
        <v>No Rating</v>
      </c>
      <c r="P836" t="str">
        <f t="shared" si="108"/>
        <v>Resolved</v>
      </c>
      <c r="Q836" s="2" t="str">
        <f t="shared" si="109"/>
        <v>May-2026</v>
      </c>
      <c r="R836" s="2">
        <f t="shared" si="110"/>
        <v>46143</v>
      </c>
    </row>
    <row r="837" spans="1:18">
      <c r="A837" t="s">
        <v>1702</v>
      </c>
      <c r="B837" s="2" t="s">
        <v>1703</v>
      </c>
      <c r="C837">
        <v>1951</v>
      </c>
      <c r="D837" t="s">
        <v>18</v>
      </c>
      <c r="E837" t="s">
        <v>27</v>
      </c>
      <c r="F837" t="s">
        <v>14</v>
      </c>
      <c r="G837">
        <v>178</v>
      </c>
      <c r="H837">
        <v>1599</v>
      </c>
      <c r="I837" t="s">
        <v>15</v>
      </c>
      <c r="J837">
        <v>3</v>
      </c>
      <c r="K837" s="1">
        <f t="shared" si="104"/>
        <v>46143</v>
      </c>
      <c r="L837" s="3">
        <f t="shared" si="105"/>
        <v>26.65</v>
      </c>
      <c r="M837" s="3">
        <f t="shared" si="106"/>
        <v>2.9666666666666668</v>
      </c>
      <c r="N837" t="str">
        <f t="shared" si="107"/>
        <v>Within SLA</v>
      </c>
      <c r="O837" t="str">
        <f t="shared" si="111"/>
        <v>Neutral</v>
      </c>
      <c r="P837" t="str">
        <f t="shared" si="108"/>
        <v>Resolved</v>
      </c>
      <c r="Q837" s="2" t="str">
        <f t="shared" si="109"/>
        <v>May-2026</v>
      </c>
      <c r="R837" s="2">
        <f t="shared" si="110"/>
        <v>46143</v>
      </c>
    </row>
    <row r="838" spans="1:18">
      <c r="A838" t="s">
        <v>1704</v>
      </c>
      <c r="B838" s="2" t="s">
        <v>1705</v>
      </c>
      <c r="C838">
        <v>1129</v>
      </c>
      <c r="D838" t="s">
        <v>47</v>
      </c>
      <c r="E838" t="s">
        <v>27</v>
      </c>
      <c r="F838" t="s">
        <v>64</v>
      </c>
      <c r="G838">
        <v>83</v>
      </c>
      <c r="I838" t="s">
        <v>44</v>
      </c>
      <c r="K838" s="1">
        <f t="shared" si="104"/>
        <v>46144</v>
      </c>
      <c r="L838" s="3" t="str">
        <f t="shared" si="105"/>
        <v/>
      </c>
      <c r="M838" s="3">
        <f t="shared" si="106"/>
        <v>1.3833333333333333</v>
      </c>
      <c r="N838" t="str">
        <f t="shared" si="107"/>
        <v>Open</v>
      </c>
      <c r="O838" t="str">
        <f t="shared" si="111"/>
        <v>No Rating</v>
      </c>
      <c r="P838" t="str">
        <f t="shared" si="108"/>
        <v>Unresolved</v>
      </c>
      <c r="Q838" s="2" t="str">
        <f t="shared" si="109"/>
        <v>May-2026</v>
      </c>
      <c r="R838" s="2">
        <f t="shared" si="110"/>
        <v>46143</v>
      </c>
    </row>
    <row r="839" spans="1:18">
      <c r="A839" t="s">
        <v>1706</v>
      </c>
      <c r="B839" s="2" t="s">
        <v>1707</v>
      </c>
      <c r="C839">
        <v>1105</v>
      </c>
      <c r="D839" t="s">
        <v>18</v>
      </c>
      <c r="E839" t="s">
        <v>27</v>
      </c>
      <c r="F839" t="s">
        <v>43</v>
      </c>
      <c r="G839">
        <v>83</v>
      </c>
      <c r="H839">
        <v>2275</v>
      </c>
      <c r="I839" t="s">
        <v>15</v>
      </c>
      <c r="J839">
        <v>5</v>
      </c>
      <c r="K839" s="1">
        <f t="shared" si="104"/>
        <v>46144</v>
      </c>
      <c r="L839" s="3">
        <f t="shared" si="105"/>
        <v>37.916666666666664</v>
      </c>
      <c r="M839" s="3">
        <f t="shared" si="106"/>
        <v>1.3833333333333333</v>
      </c>
      <c r="N839" t="str">
        <f t="shared" si="107"/>
        <v>Within SLA</v>
      </c>
      <c r="O839" t="str">
        <f t="shared" si="111"/>
        <v>Satisfied</v>
      </c>
      <c r="P839" t="str">
        <f t="shared" si="108"/>
        <v>Resolved</v>
      </c>
      <c r="Q839" s="2" t="str">
        <f t="shared" si="109"/>
        <v>May-2026</v>
      </c>
      <c r="R839" s="2">
        <f t="shared" si="110"/>
        <v>46143</v>
      </c>
    </row>
    <row r="840" spans="1:18">
      <c r="A840" t="s">
        <v>1708</v>
      </c>
      <c r="B840" s="2" t="s">
        <v>1709</v>
      </c>
      <c r="C840">
        <v>1754</v>
      </c>
      <c r="D840" t="s">
        <v>32</v>
      </c>
      <c r="E840" t="s">
        <v>27</v>
      </c>
      <c r="F840" t="s">
        <v>71</v>
      </c>
      <c r="G840">
        <v>126</v>
      </c>
      <c r="H840">
        <v>1919</v>
      </c>
      <c r="I840" t="s">
        <v>20</v>
      </c>
      <c r="K840" s="1">
        <f t="shared" si="104"/>
        <v>46144</v>
      </c>
      <c r="L840" s="3">
        <f t="shared" si="105"/>
        <v>31.983333333333334</v>
      </c>
      <c r="M840" s="3">
        <f t="shared" si="106"/>
        <v>2.1</v>
      </c>
      <c r="N840" t="str">
        <f t="shared" si="107"/>
        <v>Within SLA</v>
      </c>
      <c r="O840" t="str">
        <f t="shared" si="111"/>
        <v>No Rating</v>
      </c>
      <c r="P840" t="str">
        <f t="shared" si="108"/>
        <v>Resolved</v>
      </c>
      <c r="Q840" s="2" t="str">
        <f t="shared" si="109"/>
        <v>May-2026</v>
      </c>
      <c r="R840" s="2">
        <f t="shared" si="110"/>
        <v>46143</v>
      </c>
    </row>
    <row r="841" spans="1:18">
      <c r="A841" t="s">
        <v>1710</v>
      </c>
      <c r="B841" s="2" t="s">
        <v>1711</v>
      </c>
      <c r="C841">
        <v>1133</v>
      </c>
      <c r="D841" t="s">
        <v>32</v>
      </c>
      <c r="E841" t="s">
        <v>27</v>
      </c>
      <c r="F841" t="s">
        <v>59</v>
      </c>
      <c r="G841">
        <v>69</v>
      </c>
      <c r="H841">
        <v>3323</v>
      </c>
      <c r="I841" t="s">
        <v>15</v>
      </c>
      <c r="J841">
        <v>1</v>
      </c>
      <c r="K841" s="1">
        <f t="shared" si="104"/>
        <v>46145</v>
      </c>
      <c r="L841" s="3">
        <f t="shared" si="105"/>
        <v>55.383333333333333</v>
      </c>
      <c r="M841" s="3">
        <f t="shared" si="106"/>
        <v>1.1499999999999999</v>
      </c>
      <c r="N841" t="str">
        <f t="shared" si="107"/>
        <v>Breached</v>
      </c>
      <c r="O841" t="str">
        <f t="shared" si="111"/>
        <v>Dissatisfied</v>
      </c>
      <c r="P841" t="str">
        <f t="shared" si="108"/>
        <v>Resolved</v>
      </c>
      <c r="Q841" s="2" t="str">
        <f t="shared" si="109"/>
        <v>May-2026</v>
      </c>
      <c r="R841" s="2">
        <f t="shared" si="110"/>
        <v>46143</v>
      </c>
    </row>
    <row r="842" spans="1:18">
      <c r="A842" t="s">
        <v>1712</v>
      </c>
      <c r="B842" s="2" t="s">
        <v>1713</v>
      </c>
      <c r="C842">
        <v>1827</v>
      </c>
      <c r="D842" t="s">
        <v>26</v>
      </c>
      <c r="E842" t="s">
        <v>27</v>
      </c>
      <c r="F842" t="s">
        <v>54</v>
      </c>
      <c r="G842">
        <v>112</v>
      </c>
      <c r="H842">
        <v>1365</v>
      </c>
      <c r="I842" t="s">
        <v>15</v>
      </c>
      <c r="K842" s="1">
        <f t="shared" si="104"/>
        <v>46145</v>
      </c>
      <c r="L842" s="3">
        <f t="shared" si="105"/>
        <v>22.75</v>
      </c>
      <c r="M842" s="3">
        <f t="shared" si="106"/>
        <v>1.8666666666666667</v>
      </c>
      <c r="N842" t="str">
        <f t="shared" si="107"/>
        <v>Within SLA</v>
      </c>
      <c r="O842" t="str">
        <f t="shared" si="111"/>
        <v>No Rating</v>
      </c>
      <c r="P842" t="str">
        <f t="shared" si="108"/>
        <v>Resolved</v>
      </c>
      <c r="Q842" s="2" t="str">
        <f t="shared" si="109"/>
        <v>May-2026</v>
      </c>
      <c r="R842" s="2">
        <f t="shared" si="110"/>
        <v>46143</v>
      </c>
    </row>
    <row r="843" spans="1:18">
      <c r="A843" t="s">
        <v>1714</v>
      </c>
      <c r="B843" s="2" t="s">
        <v>1715</v>
      </c>
      <c r="C843">
        <v>1343</v>
      </c>
      <c r="D843" t="s">
        <v>32</v>
      </c>
      <c r="E843" t="s">
        <v>33</v>
      </c>
      <c r="F843" t="s">
        <v>59</v>
      </c>
      <c r="G843">
        <v>277</v>
      </c>
      <c r="H843">
        <v>3362</v>
      </c>
      <c r="I843" t="s">
        <v>20</v>
      </c>
      <c r="K843" s="1">
        <f t="shared" si="104"/>
        <v>46145</v>
      </c>
      <c r="L843" s="3">
        <f t="shared" si="105"/>
        <v>56.033333333333331</v>
      </c>
      <c r="M843" s="3">
        <f t="shared" si="106"/>
        <v>4.6166666666666663</v>
      </c>
      <c r="N843" t="str">
        <f t="shared" si="107"/>
        <v>Within SLA</v>
      </c>
      <c r="O843" t="str">
        <f t="shared" si="111"/>
        <v>No Rating</v>
      </c>
      <c r="P843" t="str">
        <f t="shared" si="108"/>
        <v>Resolved</v>
      </c>
      <c r="Q843" s="2" t="str">
        <f t="shared" si="109"/>
        <v>May-2026</v>
      </c>
      <c r="R843" s="2">
        <f t="shared" si="110"/>
        <v>46143</v>
      </c>
    </row>
    <row r="844" spans="1:18">
      <c r="A844" t="s">
        <v>1716</v>
      </c>
      <c r="B844" s="2" t="s">
        <v>1717</v>
      </c>
      <c r="C844">
        <v>1735</v>
      </c>
      <c r="D844" t="s">
        <v>32</v>
      </c>
      <c r="E844" t="s">
        <v>13</v>
      </c>
      <c r="F844" t="s">
        <v>64</v>
      </c>
      <c r="G844">
        <v>2</v>
      </c>
      <c r="H844">
        <v>49</v>
      </c>
      <c r="I844" t="s">
        <v>15</v>
      </c>
      <c r="J844">
        <v>2</v>
      </c>
      <c r="K844" s="1">
        <f t="shared" si="104"/>
        <v>46146</v>
      </c>
      <c r="L844" s="3">
        <f t="shared" si="105"/>
        <v>0.81666666666666665</v>
      </c>
      <c r="M844" s="3">
        <f t="shared" si="106"/>
        <v>3.3333333333333333E-2</v>
      </c>
      <c r="N844" t="str">
        <f t="shared" si="107"/>
        <v>Within SLA</v>
      </c>
      <c r="O844" t="str">
        <f t="shared" si="111"/>
        <v>Dissatisfied</v>
      </c>
      <c r="P844" t="str">
        <f t="shared" si="108"/>
        <v>Resolved</v>
      </c>
      <c r="Q844" s="2" t="str">
        <f t="shared" si="109"/>
        <v>May-2026</v>
      </c>
      <c r="R844" s="2">
        <f t="shared" si="110"/>
        <v>46143</v>
      </c>
    </row>
    <row r="845" spans="1:18">
      <c r="A845" t="s">
        <v>1718</v>
      </c>
      <c r="B845" s="2" t="s">
        <v>1719</v>
      </c>
      <c r="C845">
        <v>1536</v>
      </c>
      <c r="D845" t="s">
        <v>18</v>
      </c>
      <c r="E845" t="s">
        <v>19</v>
      </c>
      <c r="F845" t="s">
        <v>23</v>
      </c>
      <c r="G845">
        <v>10</v>
      </c>
      <c r="I845" t="s">
        <v>44</v>
      </c>
      <c r="K845" s="1">
        <f t="shared" si="104"/>
        <v>46146</v>
      </c>
      <c r="L845" s="3" t="str">
        <f t="shared" si="105"/>
        <v/>
      </c>
      <c r="M845" s="3">
        <f t="shared" si="106"/>
        <v>0.16666666666666666</v>
      </c>
      <c r="N845" t="str">
        <f t="shared" si="107"/>
        <v>Open</v>
      </c>
      <c r="O845" t="str">
        <f t="shared" si="111"/>
        <v>No Rating</v>
      </c>
      <c r="P845" t="str">
        <f t="shared" si="108"/>
        <v>Unresolved</v>
      </c>
      <c r="Q845" s="2" t="str">
        <f t="shared" si="109"/>
        <v>May-2026</v>
      </c>
      <c r="R845" s="2">
        <f t="shared" si="110"/>
        <v>46143</v>
      </c>
    </row>
    <row r="846" spans="1:18">
      <c r="A846" t="s">
        <v>1720</v>
      </c>
      <c r="B846" s="2" t="s">
        <v>1721</v>
      </c>
      <c r="C846">
        <v>1433</v>
      </c>
      <c r="D846" t="s">
        <v>47</v>
      </c>
      <c r="E846" t="s">
        <v>27</v>
      </c>
      <c r="F846" t="s">
        <v>54</v>
      </c>
      <c r="G846">
        <v>114</v>
      </c>
      <c r="H846">
        <v>2752</v>
      </c>
      <c r="I846" t="s">
        <v>20</v>
      </c>
      <c r="J846">
        <v>5</v>
      </c>
      <c r="K846" s="1">
        <f t="shared" si="104"/>
        <v>46147</v>
      </c>
      <c r="L846" s="3">
        <f t="shared" si="105"/>
        <v>45.866666666666667</v>
      </c>
      <c r="M846" s="3">
        <f t="shared" si="106"/>
        <v>1.9</v>
      </c>
      <c r="N846" t="str">
        <f t="shared" si="107"/>
        <v>Within SLA</v>
      </c>
      <c r="O846" t="str">
        <f t="shared" si="111"/>
        <v>Satisfied</v>
      </c>
      <c r="P846" t="str">
        <f t="shared" si="108"/>
        <v>Resolved</v>
      </c>
      <c r="Q846" s="2" t="str">
        <f t="shared" si="109"/>
        <v>May-2026</v>
      </c>
      <c r="R846" s="2">
        <f t="shared" si="110"/>
        <v>46143</v>
      </c>
    </row>
    <row r="847" spans="1:18">
      <c r="A847" t="s">
        <v>1722</v>
      </c>
      <c r="B847" s="2" t="s">
        <v>1723</v>
      </c>
      <c r="C847">
        <v>1957</v>
      </c>
      <c r="D847" t="s">
        <v>12</v>
      </c>
      <c r="E847" t="s">
        <v>27</v>
      </c>
      <c r="F847" t="s">
        <v>43</v>
      </c>
      <c r="G847">
        <v>42</v>
      </c>
      <c r="H847">
        <v>2241</v>
      </c>
      <c r="I847" t="s">
        <v>15</v>
      </c>
      <c r="K847" s="1">
        <f t="shared" si="104"/>
        <v>46147</v>
      </c>
      <c r="L847" s="3">
        <f t="shared" si="105"/>
        <v>37.35</v>
      </c>
      <c r="M847" s="3">
        <f t="shared" si="106"/>
        <v>0.7</v>
      </c>
      <c r="N847" t="str">
        <f t="shared" si="107"/>
        <v>Within SLA</v>
      </c>
      <c r="O847" t="str">
        <f t="shared" si="111"/>
        <v>No Rating</v>
      </c>
      <c r="P847" t="str">
        <f t="shared" si="108"/>
        <v>Resolved</v>
      </c>
      <c r="Q847" s="2" t="str">
        <f t="shared" si="109"/>
        <v>May-2026</v>
      </c>
      <c r="R847" s="2">
        <f t="shared" si="110"/>
        <v>46143</v>
      </c>
    </row>
    <row r="848" spans="1:18">
      <c r="A848" t="s">
        <v>1724</v>
      </c>
      <c r="B848" s="2" t="s">
        <v>1725</v>
      </c>
      <c r="C848">
        <v>1505</v>
      </c>
      <c r="D848" t="s">
        <v>18</v>
      </c>
      <c r="E848" t="s">
        <v>33</v>
      </c>
      <c r="F848" t="s">
        <v>23</v>
      </c>
      <c r="G848">
        <v>159</v>
      </c>
      <c r="H848">
        <v>7753</v>
      </c>
      <c r="I848" t="s">
        <v>15</v>
      </c>
      <c r="K848" s="1">
        <f t="shared" si="104"/>
        <v>46147</v>
      </c>
      <c r="L848" s="3">
        <f t="shared" si="105"/>
        <v>129.21666666666667</v>
      </c>
      <c r="M848" s="3">
        <f t="shared" si="106"/>
        <v>2.65</v>
      </c>
      <c r="N848" t="str">
        <f t="shared" si="107"/>
        <v>Breached</v>
      </c>
      <c r="O848" t="str">
        <f t="shared" si="111"/>
        <v>No Rating</v>
      </c>
      <c r="P848" t="str">
        <f t="shared" si="108"/>
        <v>Resolved</v>
      </c>
      <c r="Q848" s="2" t="str">
        <f t="shared" si="109"/>
        <v>May-2026</v>
      </c>
      <c r="R848" s="2">
        <f t="shared" si="110"/>
        <v>46143</v>
      </c>
    </row>
    <row r="849" spans="1:18">
      <c r="A849" t="s">
        <v>1726</v>
      </c>
      <c r="B849" s="2" t="s">
        <v>1727</v>
      </c>
      <c r="C849">
        <v>1011</v>
      </c>
      <c r="D849" t="s">
        <v>26</v>
      </c>
      <c r="E849" t="s">
        <v>13</v>
      </c>
      <c r="F849" t="s">
        <v>71</v>
      </c>
      <c r="G849">
        <v>4</v>
      </c>
      <c r="H849">
        <v>324</v>
      </c>
      <c r="I849" t="s">
        <v>15</v>
      </c>
      <c r="J849">
        <v>4</v>
      </c>
      <c r="K849" s="1">
        <f t="shared" si="104"/>
        <v>46148</v>
      </c>
      <c r="L849" s="3">
        <f t="shared" si="105"/>
        <v>5.4</v>
      </c>
      <c r="M849" s="3">
        <f t="shared" si="106"/>
        <v>6.6666666666666666E-2</v>
      </c>
      <c r="N849" t="str">
        <f t="shared" si="107"/>
        <v>Within SLA</v>
      </c>
      <c r="O849" t="str">
        <f t="shared" si="111"/>
        <v>Satisfied</v>
      </c>
      <c r="P849" t="str">
        <f t="shared" si="108"/>
        <v>Resolved</v>
      </c>
      <c r="Q849" s="2" t="str">
        <f t="shared" si="109"/>
        <v>May-2026</v>
      </c>
      <c r="R849" s="2">
        <f t="shared" si="110"/>
        <v>46143</v>
      </c>
    </row>
    <row r="850" spans="1:18">
      <c r="A850" t="s">
        <v>1728</v>
      </c>
      <c r="B850" s="2" t="s">
        <v>1729</v>
      </c>
      <c r="C850">
        <v>1028</v>
      </c>
      <c r="D850" t="s">
        <v>12</v>
      </c>
      <c r="E850" t="s">
        <v>33</v>
      </c>
      <c r="F850" t="s">
        <v>28</v>
      </c>
      <c r="G850">
        <v>298</v>
      </c>
      <c r="H850">
        <v>2310</v>
      </c>
      <c r="I850" t="s">
        <v>20</v>
      </c>
      <c r="J850">
        <v>2</v>
      </c>
      <c r="K850" s="1">
        <f t="shared" si="104"/>
        <v>46148</v>
      </c>
      <c r="L850" s="3">
        <f t="shared" si="105"/>
        <v>38.5</v>
      </c>
      <c r="M850" s="3">
        <f t="shared" si="106"/>
        <v>4.9666666666666668</v>
      </c>
      <c r="N850" t="str">
        <f t="shared" si="107"/>
        <v>Within SLA</v>
      </c>
      <c r="O850" t="str">
        <f t="shared" si="111"/>
        <v>Dissatisfied</v>
      </c>
      <c r="P850" t="str">
        <f t="shared" si="108"/>
        <v>Resolved</v>
      </c>
      <c r="Q850" s="2" t="str">
        <f t="shared" si="109"/>
        <v>May-2026</v>
      </c>
      <c r="R850" s="2">
        <f t="shared" si="110"/>
        <v>46143</v>
      </c>
    </row>
    <row r="851" spans="1:18">
      <c r="A851" t="s">
        <v>1730</v>
      </c>
      <c r="B851" s="2" t="s">
        <v>1731</v>
      </c>
      <c r="C851">
        <v>1859</v>
      </c>
      <c r="D851" t="s">
        <v>12</v>
      </c>
      <c r="E851" t="s">
        <v>33</v>
      </c>
      <c r="F851" t="s">
        <v>64</v>
      </c>
      <c r="G851">
        <v>103</v>
      </c>
      <c r="H851">
        <v>3445</v>
      </c>
      <c r="I851" t="s">
        <v>15</v>
      </c>
      <c r="J851">
        <v>2</v>
      </c>
      <c r="K851" s="1">
        <f t="shared" si="104"/>
        <v>46148</v>
      </c>
      <c r="L851" s="3">
        <f t="shared" si="105"/>
        <v>57.416666666666664</v>
      </c>
      <c r="M851" s="3">
        <f t="shared" si="106"/>
        <v>1.7166666666666666</v>
      </c>
      <c r="N851" t="str">
        <f t="shared" si="107"/>
        <v>Within SLA</v>
      </c>
      <c r="O851" t="str">
        <f t="shared" si="111"/>
        <v>Dissatisfied</v>
      </c>
      <c r="P851" t="str">
        <f t="shared" si="108"/>
        <v>Resolved</v>
      </c>
      <c r="Q851" s="2" t="str">
        <f t="shared" si="109"/>
        <v>May-2026</v>
      </c>
      <c r="R851" s="2">
        <f t="shared" si="110"/>
        <v>46143</v>
      </c>
    </row>
    <row r="852" spans="1:18">
      <c r="A852" t="s">
        <v>1732</v>
      </c>
      <c r="B852" s="2" t="s">
        <v>1733</v>
      </c>
      <c r="C852">
        <v>1962</v>
      </c>
      <c r="D852" t="s">
        <v>47</v>
      </c>
      <c r="E852" t="s">
        <v>19</v>
      </c>
      <c r="F852" t="s">
        <v>54</v>
      </c>
      <c r="G852">
        <v>27</v>
      </c>
      <c r="I852" t="s">
        <v>29</v>
      </c>
      <c r="K852" s="1">
        <f t="shared" si="104"/>
        <v>46149</v>
      </c>
      <c r="L852" s="3" t="str">
        <f t="shared" si="105"/>
        <v/>
      </c>
      <c r="M852" s="3">
        <f t="shared" si="106"/>
        <v>0.45</v>
      </c>
      <c r="N852" t="str">
        <f t="shared" si="107"/>
        <v>Open</v>
      </c>
      <c r="O852" t="str">
        <f t="shared" si="111"/>
        <v>No Rating</v>
      </c>
      <c r="P852" t="str">
        <f t="shared" si="108"/>
        <v>Unresolved</v>
      </c>
      <c r="Q852" s="2" t="str">
        <f t="shared" si="109"/>
        <v>May-2026</v>
      </c>
      <c r="R852" s="2">
        <f t="shared" si="110"/>
        <v>46143</v>
      </c>
    </row>
    <row r="853" spans="1:18">
      <c r="A853" t="s">
        <v>1734</v>
      </c>
      <c r="B853" s="2" t="s">
        <v>1735</v>
      </c>
      <c r="C853">
        <v>1594</v>
      </c>
      <c r="D853" t="s">
        <v>32</v>
      </c>
      <c r="E853" t="s">
        <v>19</v>
      </c>
      <c r="F853" t="s">
        <v>14</v>
      </c>
      <c r="G853">
        <v>18</v>
      </c>
      <c r="I853" t="s">
        <v>29</v>
      </c>
      <c r="K853" s="1">
        <f t="shared" si="104"/>
        <v>46149</v>
      </c>
      <c r="L853" s="3" t="str">
        <f t="shared" si="105"/>
        <v/>
      </c>
      <c r="M853" s="3">
        <f t="shared" si="106"/>
        <v>0.3</v>
      </c>
      <c r="N853" t="str">
        <f t="shared" si="107"/>
        <v>Open</v>
      </c>
      <c r="O853" t="str">
        <f t="shared" si="111"/>
        <v>No Rating</v>
      </c>
      <c r="P853" t="str">
        <f t="shared" si="108"/>
        <v>Unresolved</v>
      </c>
      <c r="Q853" s="2" t="str">
        <f t="shared" si="109"/>
        <v>May-2026</v>
      </c>
      <c r="R853" s="2">
        <f t="shared" si="110"/>
        <v>46143</v>
      </c>
    </row>
    <row r="854" spans="1:18">
      <c r="A854" t="s">
        <v>1736</v>
      </c>
      <c r="B854" s="2" t="s">
        <v>1737</v>
      </c>
      <c r="C854">
        <v>1924</v>
      </c>
      <c r="D854" t="s">
        <v>12</v>
      </c>
      <c r="E854" t="s">
        <v>19</v>
      </c>
      <c r="F854" t="s">
        <v>14</v>
      </c>
      <c r="G854">
        <v>36</v>
      </c>
      <c r="I854" t="s">
        <v>29</v>
      </c>
      <c r="K854" s="1">
        <f t="shared" si="104"/>
        <v>46149</v>
      </c>
      <c r="L854" s="3" t="str">
        <f t="shared" si="105"/>
        <v/>
      </c>
      <c r="M854" s="3">
        <f t="shared" si="106"/>
        <v>0.6</v>
      </c>
      <c r="N854" t="str">
        <f t="shared" si="107"/>
        <v>Open</v>
      </c>
      <c r="O854" t="str">
        <f t="shared" si="111"/>
        <v>No Rating</v>
      </c>
      <c r="P854" t="str">
        <f t="shared" si="108"/>
        <v>Unresolved</v>
      </c>
      <c r="Q854" s="2" t="str">
        <f t="shared" si="109"/>
        <v>May-2026</v>
      </c>
      <c r="R854" s="2">
        <f t="shared" si="110"/>
        <v>46143</v>
      </c>
    </row>
    <row r="855" spans="1:18">
      <c r="A855" t="s">
        <v>1738</v>
      </c>
      <c r="B855" s="2" t="s">
        <v>1739</v>
      </c>
      <c r="C855">
        <v>1399</v>
      </c>
      <c r="D855" t="s">
        <v>18</v>
      </c>
      <c r="E855" t="s">
        <v>13</v>
      </c>
      <c r="F855" t="s">
        <v>34</v>
      </c>
      <c r="G855">
        <v>10</v>
      </c>
      <c r="H855">
        <v>218</v>
      </c>
      <c r="I855" t="s">
        <v>15</v>
      </c>
      <c r="J855">
        <v>5</v>
      </c>
      <c r="K855" s="1">
        <f t="shared" si="104"/>
        <v>46150</v>
      </c>
      <c r="L855" s="3">
        <f t="shared" si="105"/>
        <v>3.6333333333333333</v>
      </c>
      <c r="M855" s="3">
        <f t="shared" si="106"/>
        <v>0.16666666666666666</v>
      </c>
      <c r="N855" t="str">
        <f t="shared" si="107"/>
        <v>Within SLA</v>
      </c>
      <c r="O855" t="str">
        <f t="shared" si="111"/>
        <v>Satisfied</v>
      </c>
      <c r="P855" t="str">
        <f t="shared" si="108"/>
        <v>Resolved</v>
      </c>
      <c r="Q855" s="2" t="str">
        <f t="shared" si="109"/>
        <v>May-2026</v>
      </c>
      <c r="R855" s="2">
        <f t="shared" si="110"/>
        <v>46143</v>
      </c>
    </row>
    <row r="856" spans="1:18">
      <c r="A856" t="s">
        <v>1740</v>
      </c>
      <c r="B856" s="2" t="s">
        <v>1741</v>
      </c>
      <c r="C856">
        <v>1223</v>
      </c>
      <c r="D856" t="s">
        <v>26</v>
      </c>
      <c r="E856" t="s">
        <v>13</v>
      </c>
      <c r="F856" t="s">
        <v>23</v>
      </c>
      <c r="G856">
        <v>11</v>
      </c>
      <c r="H856">
        <v>334</v>
      </c>
      <c r="I856" t="s">
        <v>20</v>
      </c>
      <c r="J856">
        <v>3</v>
      </c>
      <c r="K856" s="1">
        <f t="shared" si="104"/>
        <v>46150</v>
      </c>
      <c r="L856" s="3">
        <f t="shared" si="105"/>
        <v>5.5666666666666664</v>
      </c>
      <c r="M856" s="3">
        <f t="shared" si="106"/>
        <v>0.18333333333333332</v>
      </c>
      <c r="N856" t="str">
        <f t="shared" si="107"/>
        <v>Within SLA</v>
      </c>
      <c r="O856" t="str">
        <f t="shared" si="111"/>
        <v>Neutral</v>
      </c>
      <c r="P856" t="str">
        <f t="shared" si="108"/>
        <v>Resolved</v>
      </c>
      <c r="Q856" s="2" t="str">
        <f t="shared" si="109"/>
        <v>May-2026</v>
      </c>
      <c r="R856" s="2">
        <f t="shared" si="110"/>
        <v>46143</v>
      </c>
    </row>
    <row r="857" spans="1:18">
      <c r="A857" t="s">
        <v>1742</v>
      </c>
      <c r="B857" s="2" t="s">
        <v>1743</v>
      </c>
      <c r="C857">
        <v>1784</v>
      </c>
      <c r="D857" t="s">
        <v>26</v>
      </c>
      <c r="E857" t="s">
        <v>19</v>
      </c>
      <c r="F857" t="s">
        <v>14</v>
      </c>
      <c r="G857">
        <v>9</v>
      </c>
      <c r="I857" t="s">
        <v>44</v>
      </c>
      <c r="K857" s="1">
        <f t="shared" si="104"/>
        <v>46151</v>
      </c>
      <c r="L857" s="3" t="str">
        <f t="shared" si="105"/>
        <v/>
      </c>
      <c r="M857" s="3">
        <f t="shared" si="106"/>
        <v>0.15</v>
      </c>
      <c r="N857" t="str">
        <f t="shared" si="107"/>
        <v>Open</v>
      </c>
      <c r="O857" t="str">
        <f t="shared" si="111"/>
        <v>No Rating</v>
      </c>
      <c r="P857" t="str">
        <f t="shared" si="108"/>
        <v>Unresolved</v>
      </c>
      <c r="Q857" s="2" t="str">
        <f t="shared" si="109"/>
        <v>May-2026</v>
      </c>
      <c r="R857" s="2">
        <f t="shared" si="110"/>
        <v>46143</v>
      </c>
    </row>
    <row r="858" spans="1:18">
      <c r="A858" t="s">
        <v>1744</v>
      </c>
      <c r="B858" s="2" t="s">
        <v>1745</v>
      </c>
      <c r="C858">
        <v>1533</v>
      </c>
      <c r="D858" t="s">
        <v>32</v>
      </c>
      <c r="E858" t="s">
        <v>13</v>
      </c>
      <c r="F858" t="s">
        <v>59</v>
      </c>
      <c r="G858">
        <v>3</v>
      </c>
      <c r="H858">
        <v>292</v>
      </c>
      <c r="I858" t="s">
        <v>20</v>
      </c>
      <c r="J858">
        <v>2</v>
      </c>
      <c r="K858" s="1">
        <f t="shared" si="104"/>
        <v>46151</v>
      </c>
      <c r="L858" s="3">
        <f t="shared" si="105"/>
        <v>4.8666666666666663</v>
      </c>
      <c r="M858" s="3">
        <f t="shared" si="106"/>
        <v>0.05</v>
      </c>
      <c r="N858" t="str">
        <f t="shared" si="107"/>
        <v>Within SLA</v>
      </c>
      <c r="O858" t="str">
        <f t="shared" si="111"/>
        <v>Dissatisfied</v>
      </c>
      <c r="P858" t="str">
        <f t="shared" si="108"/>
        <v>Resolved</v>
      </c>
      <c r="Q858" s="2" t="str">
        <f t="shared" si="109"/>
        <v>May-2026</v>
      </c>
      <c r="R858" s="2">
        <f t="shared" si="110"/>
        <v>46143</v>
      </c>
    </row>
    <row r="859" spans="1:18">
      <c r="A859" t="s">
        <v>1746</v>
      </c>
      <c r="B859" s="2" t="s">
        <v>1747</v>
      </c>
      <c r="C859">
        <v>1256</v>
      </c>
      <c r="D859" t="s">
        <v>26</v>
      </c>
      <c r="E859" t="s">
        <v>27</v>
      </c>
      <c r="F859" t="s">
        <v>34</v>
      </c>
      <c r="G859">
        <v>108</v>
      </c>
      <c r="H859">
        <v>3438</v>
      </c>
      <c r="I859" t="s">
        <v>15</v>
      </c>
      <c r="J859">
        <v>5</v>
      </c>
      <c r="K859" s="1">
        <f t="shared" si="104"/>
        <v>46151</v>
      </c>
      <c r="L859" s="3">
        <f t="shared" si="105"/>
        <v>57.3</v>
      </c>
      <c r="M859" s="3">
        <f t="shared" si="106"/>
        <v>1.8</v>
      </c>
      <c r="N859" t="str">
        <f t="shared" si="107"/>
        <v>Breached</v>
      </c>
      <c r="O859" t="str">
        <f t="shared" si="111"/>
        <v>Satisfied</v>
      </c>
      <c r="P859" t="str">
        <f t="shared" si="108"/>
        <v>Resolved</v>
      </c>
      <c r="Q859" s="2" t="str">
        <f t="shared" si="109"/>
        <v>May-2026</v>
      </c>
      <c r="R859" s="2">
        <f t="shared" si="110"/>
        <v>46143</v>
      </c>
    </row>
    <row r="860" spans="1:18">
      <c r="A860" t="s">
        <v>1748</v>
      </c>
      <c r="B860" s="2" t="s">
        <v>1749</v>
      </c>
      <c r="C860">
        <v>1702</v>
      </c>
      <c r="D860" t="s">
        <v>47</v>
      </c>
      <c r="E860" t="s">
        <v>13</v>
      </c>
      <c r="F860" t="s">
        <v>64</v>
      </c>
      <c r="G860">
        <v>10</v>
      </c>
      <c r="H860">
        <v>311</v>
      </c>
      <c r="I860" t="s">
        <v>20</v>
      </c>
      <c r="J860">
        <v>2</v>
      </c>
      <c r="K860" s="1">
        <f t="shared" si="104"/>
        <v>46152</v>
      </c>
      <c r="L860" s="3">
        <f t="shared" si="105"/>
        <v>5.1833333333333336</v>
      </c>
      <c r="M860" s="3">
        <f t="shared" si="106"/>
        <v>0.16666666666666666</v>
      </c>
      <c r="N860" t="str">
        <f t="shared" si="107"/>
        <v>Within SLA</v>
      </c>
      <c r="O860" t="str">
        <f t="shared" si="111"/>
        <v>Dissatisfied</v>
      </c>
      <c r="P860" t="str">
        <f t="shared" si="108"/>
        <v>Resolved</v>
      </c>
      <c r="Q860" s="2" t="str">
        <f t="shared" si="109"/>
        <v>May-2026</v>
      </c>
      <c r="R860" s="2">
        <f t="shared" si="110"/>
        <v>46143</v>
      </c>
    </row>
    <row r="861" spans="1:18">
      <c r="A861" t="s">
        <v>1750</v>
      </c>
      <c r="B861" s="2" t="s">
        <v>1751</v>
      </c>
      <c r="C861">
        <v>1832</v>
      </c>
      <c r="D861" t="s">
        <v>18</v>
      </c>
      <c r="E861" t="s">
        <v>27</v>
      </c>
      <c r="F861" t="s">
        <v>34</v>
      </c>
      <c r="G861">
        <v>111</v>
      </c>
      <c r="H861">
        <v>1020</v>
      </c>
      <c r="I861" t="s">
        <v>20</v>
      </c>
      <c r="J861">
        <v>5</v>
      </c>
      <c r="K861" s="1">
        <f t="shared" si="104"/>
        <v>46152</v>
      </c>
      <c r="L861" s="3">
        <f t="shared" si="105"/>
        <v>17</v>
      </c>
      <c r="M861" s="3">
        <f t="shared" si="106"/>
        <v>1.85</v>
      </c>
      <c r="N861" t="str">
        <f t="shared" si="107"/>
        <v>Within SLA</v>
      </c>
      <c r="O861" t="str">
        <f t="shared" si="111"/>
        <v>Satisfied</v>
      </c>
      <c r="P861" t="str">
        <f t="shared" si="108"/>
        <v>Resolved</v>
      </c>
      <c r="Q861" s="2" t="str">
        <f t="shared" si="109"/>
        <v>May-2026</v>
      </c>
      <c r="R861" s="2">
        <f t="shared" si="110"/>
        <v>46143</v>
      </c>
    </row>
    <row r="862" spans="1:18">
      <c r="A862" t="s">
        <v>1752</v>
      </c>
      <c r="B862" s="2" t="s">
        <v>1753</v>
      </c>
      <c r="C862">
        <v>1106</v>
      </c>
      <c r="D862" t="s">
        <v>26</v>
      </c>
      <c r="E862" t="s">
        <v>27</v>
      </c>
      <c r="F862" t="s">
        <v>43</v>
      </c>
      <c r="G862">
        <v>65</v>
      </c>
      <c r="H862">
        <v>2942</v>
      </c>
      <c r="I862" t="s">
        <v>15</v>
      </c>
      <c r="J862">
        <v>3</v>
      </c>
      <c r="K862" s="1">
        <f t="shared" si="104"/>
        <v>46152</v>
      </c>
      <c r="L862" s="3">
        <f t="shared" si="105"/>
        <v>49.033333333333331</v>
      </c>
      <c r="M862" s="3">
        <f t="shared" si="106"/>
        <v>1.0833333333333333</v>
      </c>
      <c r="N862" t="str">
        <f t="shared" si="107"/>
        <v>Breached</v>
      </c>
      <c r="O862" t="str">
        <f t="shared" si="111"/>
        <v>Neutral</v>
      </c>
      <c r="P862" t="str">
        <f t="shared" si="108"/>
        <v>Resolved</v>
      </c>
      <c r="Q862" s="2" t="str">
        <f t="shared" si="109"/>
        <v>May-2026</v>
      </c>
      <c r="R862" s="2">
        <f t="shared" si="110"/>
        <v>46143</v>
      </c>
    </row>
    <row r="863" spans="1:18">
      <c r="A863" t="s">
        <v>1754</v>
      </c>
      <c r="B863" s="2" t="s">
        <v>1755</v>
      </c>
      <c r="C863">
        <v>1387</v>
      </c>
      <c r="D863" t="s">
        <v>32</v>
      </c>
      <c r="E863" t="s">
        <v>19</v>
      </c>
      <c r="F863" t="s">
        <v>34</v>
      </c>
      <c r="G863">
        <v>46</v>
      </c>
      <c r="H863">
        <v>623</v>
      </c>
      <c r="I863" t="s">
        <v>20</v>
      </c>
      <c r="J863">
        <v>2</v>
      </c>
      <c r="K863" s="1">
        <f t="shared" si="104"/>
        <v>46153</v>
      </c>
      <c r="L863" s="3">
        <f t="shared" si="105"/>
        <v>10.383333333333333</v>
      </c>
      <c r="M863" s="3">
        <f t="shared" si="106"/>
        <v>0.76666666666666672</v>
      </c>
      <c r="N863" t="str">
        <f t="shared" si="107"/>
        <v>Within SLA</v>
      </c>
      <c r="O863" t="str">
        <f t="shared" si="111"/>
        <v>Dissatisfied</v>
      </c>
      <c r="P863" t="str">
        <f t="shared" si="108"/>
        <v>Resolved</v>
      </c>
      <c r="Q863" s="2" t="str">
        <f t="shared" si="109"/>
        <v>May-2026</v>
      </c>
      <c r="R863" s="2">
        <f t="shared" si="110"/>
        <v>46143</v>
      </c>
    </row>
    <row r="864" spans="1:18">
      <c r="A864" t="s">
        <v>1756</v>
      </c>
      <c r="B864" s="2" t="s">
        <v>1757</v>
      </c>
      <c r="C864">
        <v>1296</v>
      </c>
      <c r="D864" t="s">
        <v>12</v>
      </c>
      <c r="E864" t="s">
        <v>33</v>
      </c>
      <c r="F864" t="s">
        <v>28</v>
      </c>
      <c r="G864">
        <v>285</v>
      </c>
      <c r="I864" t="s">
        <v>29</v>
      </c>
      <c r="K864" s="1">
        <f t="shared" si="104"/>
        <v>46153</v>
      </c>
      <c r="L864" s="3" t="str">
        <f t="shared" si="105"/>
        <v/>
      </c>
      <c r="M864" s="3">
        <f t="shared" si="106"/>
        <v>4.75</v>
      </c>
      <c r="N864" t="str">
        <f t="shared" si="107"/>
        <v>Open</v>
      </c>
      <c r="O864" t="str">
        <f t="shared" si="111"/>
        <v>No Rating</v>
      </c>
      <c r="P864" t="str">
        <f t="shared" si="108"/>
        <v>Unresolved</v>
      </c>
      <c r="Q864" s="2" t="str">
        <f t="shared" si="109"/>
        <v>May-2026</v>
      </c>
      <c r="R864" s="2">
        <f t="shared" si="110"/>
        <v>46143</v>
      </c>
    </row>
    <row r="865" spans="1:18">
      <c r="A865" t="s">
        <v>1758</v>
      </c>
      <c r="B865" s="2" t="s">
        <v>1759</v>
      </c>
      <c r="C865">
        <v>1292</v>
      </c>
      <c r="D865" t="s">
        <v>12</v>
      </c>
      <c r="E865" t="s">
        <v>33</v>
      </c>
      <c r="F865" t="s">
        <v>59</v>
      </c>
      <c r="G865">
        <v>324</v>
      </c>
      <c r="H865">
        <v>3500</v>
      </c>
      <c r="I865" t="s">
        <v>15</v>
      </c>
      <c r="K865" s="1">
        <f t="shared" si="104"/>
        <v>46153</v>
      </c>
      <c r="L865" s="3">
        <f t="shared" si="105"/>
        <v>58.333333333333336</v>
      </c>
      <c r="M865" s="3">
        <f t="shared" si="106"/>
        <v>5.4</v>
      </c>
      <c r="N865" t="str">
        <f t="shared" si="107"/>
        <v>Within SLA</v>
      </c>
      <c r="O865" t="str">
        <f t="shared" si="111"/>
        <v>No Rating</v>
      </c>
      <c r="P865" t="str">
        <f t="shared" si="108"/>
        <v>Resolved</v>
      </c>
      <c r="Q865" s="2" t="str">
        <f t="shared" si="109"/>
        <v>May-2026</v>
      </c>
      <c r="R865" s="2">
        <f t="shared" si="110"/>
        <v>46143</v>
      </c>
    </row>
    <row r="866" spans="1:18">
      <c r="A866" t="s">
        <v>1760</v>
      </c>
      <c r="B866" s="2" t="s">
        <v>1761</v>
      </c>
      <c r="C866">
        <v>1925</v>
      </c>
      <c r="D866" t="s">
        <v>32</v>
      </c>
      <c r="E866" t="s">
        <v>27</v>
      </c>
      <c r="F866" t="s">
        <v>43</v>
      </c>
      <c r="G866">
        <v>163</v>
      </c>
      <c r="H866">
        <v>1707</v>
      </c>
      <c r="I866" t="s">
        <v>15</v>
      </c>
      <c r="J866">
        <v>1</v>
      </c>
      <c r="K866" s="1">
        <f t="shared" si="104"/>
        <v>46154</v>
      </c>
      <c r="L866" s="3">
        <f t="shared" si="105"/>
        <v>28.45</v>
      </c>
      <c r="M866" s="3">
        <f t="shared" si="106"/>
        <v>2.7166666666666668</v>
      </c>
      <c r="N866" t="str">
        <f t="shared" si="107"/>
        <v>Within SLA</v>
      </c>
      <c r="O866" t="str">
        <f t="shared" si="111"/>
        <v>Dissatisfied</v>
      </c>
      <c r="P866" t="str">
        <f t="shared" si="108"/>
        <v>Resolved</v>
      </c>
      <c r="Q866" s="2" t="str">
        <f t="shared" si="109"/>
        <v>May-2026</v>
      </c>
      <c r="R866" s="2">
        <f t="shared" si="110"/>
        <v>46143</v>
      </c>
    </row>
    <row r="867" spans="1:18">
      <c r="A867" t="s">
        <v>1762</v>
      </c>
      <c r="B867" s="2" t="s">
        <v>1763</v>
      </c>
      <c r="C867">
        <v>1926</v>
      </c>
      <c r="D867" t="s">
        <v>47</v>
      </c>
      <c r="E867" t="s">
        <v>33</v>
      </c>
      <c r="F867" t="s">
        <v>71</v>
      </c>
      <c r="G867">
        <v>168</v>
      </c>
      <c r="H867">
        <v>2223</v>
      </c>
      <c r="I867" t="s">
        <v>20</v>
      </c>
      <c r="K867" s="1">
        <f t="shared" si="104"/>
        <v>46154</v>
      </c>
      <c r="L867" s="3">
        <f t="shared" si="105"/>
        <v>37.049999999999997</v>
      </c>
      <c r="M867" s="3">
        <f t="shared" si="106"/>
        <v>2.8</v>
      </c>
      <c r="N867" t="str">
        <f t="shared" si="107"/>
        <v>Within SLA</v>
      </c>
      <c r="O867" t="str">
        <f t="shared" si="111"/>
        <v>No Rating</v>
      </c>
      <c r="P867" t="str">
        <f t="shared" si="108"/>
        <v>Resolved</v>
      </c>
      <c r="Q867" s="2" t="str">
        <f t="shared" si="109"/>
        <v>May-2026</v>
      </c>
      <c r="R867" s="2">
        <f t="shared" si="110"/>
        <v>46143</v>
      </c>
    </row>
    <row r="868" spans="1:18">
      <c r="A868" t="s">
        <v>1764</v>
      </c>
      <c r="B868" s="2" t="s">
        <v>1765</v>
      </c>
      <c r="C868">
        <v>1121</v>
      </c>
      <c r="D868" t="s">
        <v>12</v>
      </c>
      <c r="E868" t="s">
        <v>27</v>
      </c>
      <c r="F868" t="s">
        <v>71</v>
      </c>
      <c r="G868">
        <v>79</v>
      </c>
      <c r="H868">
        <v>2410</v>
      </c>
      <c r="I868" t="s">
        <v>15</v>
      </c>
      <c r="K868" s="1">
        <f t="shared" si="104"/>
        <v>46155</v>
      </c>
      <c r="L868" s="3">
        <f t="shared" si="105"/>
        <v>40.166666666666664</v>
      </c>
      <c r="M868" s="3">
        <f t="shared" si="106"/>
        <v>1.3166666666666667</v>
      </c>
      <c r="N868" t="str">
        <f t="shared" si="107"/>
        <v>Within SLA</v>
      </c>
      <c r="O868" t="str">
        <f t="shared" si="111"/>
        <v>No Rating</v>
      </c>
      <c r="P868" t="str">
        <f t="shared" si="108"/>
        <v>Resolved</v>
      </c>
      <c r="Q868" s="2" t="str">
        <f t="shared" si="109"/>
        <v>May-2026</v>
      </c>
      <c r="R868" s="2">
        <f t="shared" si="110"/>
        <v>46143</v>
      </c>
    </row>
    <row r="869" spans="1:18">
      <c r="A869" t="s">
        <v>1766</v>
      </c>
      <c r="B869" s="2" t="s">
        <v>1767</v>
      </c>
      <c r="C869">
        <v>1066</v>
      </c>
      <c r="D869" t="s">
        <v>26</v>
      </c>
      <c r="E869" t="s">
        <v>19</v>
      </c>
      <c r="F869" t="s">
        <v>34</v>
      </c>
      <c r="G869">
        <v>20</v>
      </c>
      <c r="H869">
        <v>1169</v>
      </c>
      <c r="I869" t="s">
        <v>15</v>
      </c>
      <c r="J869">
        <v>2</v>
      </c>
      <c r="K869" s="1">
        <f t="shared" si="104"/>
        <v>46155</v>
      </c>
      <c r="L869" s="3">
        <f t="shared" si="105"/>
        <v>19.483333333333334</v>
      </c>
      <c r="M869" s="3">
        <f t="shared" si="106"/>
        <v>0.33333333333333331</v>
      </c>
      <c r="N869" t="str">
        <f t="shared" si="107"/>
        <v>Within SLA</v>
      </c>
      <c r="O869" t="str">
        <f t="shared" si="111"/>
        <v>Dissatisfied</v>
      </c>
      <c r="P869" t="str">
        <f t="shared" si="108"/>
        <v>Resolved</v>
      </c>
      <c r="Q869" s="2" t="str">
        <f t="shared" si="109"/>
        <v>May-2026</v>
      </c>
      <c r="R869" s="2">
        <f t="shared" si="110"/>
        <v>46143</v>
      </c>
    </row>
    <row r="870" spans="1:18">
      <c r="A870" t="s">
        <v>1768</v>
      </c>
      <c r="B870" s="2" t="s">
        <v>1769</v>
      </c>
      <c r="C870">
        <v>1379</v>
      </c>
      <c r="D870" t="s">
        <v>47</v>
      </c>
      <c r="E870" t="s">
        <v>33</v>
      </c>
      <c r="F870" t="s">
        <v>28</v>
      </c>
      <c r="G870">
        <v>244</v>
      </c>
      <c r="H870">
        <v>8810</v>
      </c>
      <c r="I870" t="s">
        <v>15</v>
      </c>
      <c r="K870" s="1">
        <f t="shared" si="104"/>
        <v>46155</v>
      </c>
      <c r="L870" s="3">
        <f t="shared" si="105"/>
        <v>146.83333333333334</v>
      </c>
      <c r="M870" s="3">
        <f t="shared" si="106"/>
        <v>4.0666666666666664</v>
      </c>
      <c r="N870" t="str">
        <f t="shared" si="107"/>
        <v>Breached</v>
      </c>
      <c r="O870" t="str">
        <f t="shared" si="111"/>
        <v>No Rating</v>
      </c>
      <c r="P870" t="str">
        <f t="shared" si="108"/>
        <v>Resolved</v>
      </c>
      <c r="Q870" s="2" t="str">
        <f t="shared" si="109"/>
        <v>May-2026</v>
      </c>
      <c r="R870" s="2">
        <f t="shared" si="110"/>
        <v>46143</v>
      </c>
    </row>
    <row r="871" spans="1:18">
      <c r="A871" t="s">
        <v>1770</v>
      </c>
      <c r="B871" s="2" t="s">
        <v>1771</v>
      </c>
      <c r="C871">
        <v>1852</v>
      </c>
      <c r="D871" t="s">
        <v>26</v>
      </c>
      <c r="E871" t="s">
        <v>33</v>
      </c>
      <c r="F871" t="s">
        <v>34</v>
      </c>
      <c r="G871">
        <v>190</v>
      </c>
      <c r="H871">
        <v>6578</v>
      </c>
      <c r="I871" t="s">
        <v>15</v>
      </c>
      <c r="J871">
        <v>3</v>
      </c>
      <c r="K871" s="1">
        <f t="shared" si="104"/>
        <v>46156</v>
      </c>
      <c r="L871" s="3">
        <f t="shared" si="105"/>
        <v>109.63333333333334</v>
      </c>
      <c r="M871" s="3">
        <f t="shared" si="106"/>
        <v>3.1666666666666665</v>
      </c>
      <c r="N871" t="str">
        <f t="shared" si="107"/>
        <v>Breached</v>
      </c>
      <c r="O871" t="str">
        <f t="shared" si="111"/>
        <v>Neutral</v>
      </c>
      <c r="P871" t="str">
        <f t="shared" si="108"/>
        <v>Resolved</v>
      </c>
      <c r="Q871" s="2" t="str">
        <f t="shared" si="109"/>
        <v>May-2026</v>
      </c>
      <c r="R871" s="2">
        <f t="shared" si="110"/>
        <v>46143</v>
      </c>
    </row>
    <row r="872" spans="1:18">
      <c r="A872" t="s">
        <v>1772</v>
      </c>
      <c r="B872" s="2" t="s">
        <v>1773</v>
      </c>
      <c r="C872">
        <v>1569</v>
      </c>
      <c r="D872" t="s">
        <v>26</v>
      </c>
      <c r="E872" t="s">
        <v>19</v>
      </c>
      <c r="F872" t="s">
        <v>64</v>
      </c>
      <c r="G872">
        <v>39</v>
      </c>
      <c r="H872">
        <v>1190</v>
      </c>
      <c r="I872" t="s">
        <v>15</v>
      </c>
      <c r="J872">
        <v>1</v>
      </c>
      <c r="K872" s="1">
        <f t="shared" si="104"/>
        <v>46156</v>
      </c>
      <c r="L872" s="3">
        <f t="shared" si="105"/>
        <v>19.833333333333332</v>
      </c>
      <c r="M872" s="3">
        <f t="shared" si="106"/>
        <v>0.65</v>
      </c>
      <c r="N872" t="str">
        <f t="shared" si="107"/>
        <v>Within SLA</v>
      </c>
      <c r="O872" t="str">
        <f t="shared" si="111"/>
        <v>Dissatisfied</v>
      </c>
      <c r="P872" t="str">
        <f t="shared" si="108"/>
        <v>Resolved</v>
      </c>
      <c r="Q872" s="2" t="str">
        <f t="shared" si="109"/>
        <v>May-2026</v>
      </c>
      <c r="R872" s="2">
        <f t="shared" si="110"/>
        <v>46143</v>
      </c>
    </row>
    <row r="873" spans="1:18">
      <c r="A873" t="s">
        <v>1774</v>
      </c>
      <c r="B873" s="2" t="s">
        <v>1775</v>
      </c>
      <c r="C873">
        <v>1854</v>
      </c>
      <c r="D873" t="s">
        <v>12</v>
      </c>
      <c r="E873" t="s">
        <v>33</v>
      </c>
      <c r="F873" t="s">
        <v>23</v>
      </c>
      <c r="G873">
        <v>301</v>
      </c>
      <c r="H873">
        <v>5323</v>
      </c>
      <c r="I873" t="s">
        <v>15</v>
      </c>
      <c r="J873">
        <v>1</v>
      </c>
      <c r="K873" s="1">
        <f t="shared" si="104"/>
        <v>46156</v>
      </c>
      <c r="L873" s="3">
        <f t="shared" si="105"/>
        <v>88.716666666666669</v>
      </c>
      <c r="M873" s="3">
        <f t="shared" si="106"/>
        <v>5.0166666666666666</v>
      </c>
      <c r="N873" t="str">
        <f t="shared" si="107"/>
        <v>Breached</v>
      </c>
      <c r="O873" t="str">
        <f t="shared" si="111"/>
        <v>Dissatisfied</v>
      </c>
      <c r="P873" t="str">
        <f t="shared" si="108"/>
        <v>Resolved</v>
      </c>
      <c r="Q873" s="2" t="str">
        <f t="shared" si="109"/>
        <v>May-2026</v>
      </c>
      <c r="R873" s="2">
        <f t="shared" si="110"/>
        <v>46143</v>
      </c>
    </row>
    <row r="874" spans="1:18">
      <c r="A874" t="s">
        <v>1776</v>
      </c>
      <c r="B874" s="2" t="s">
        <v>1777</v>
      </c>
      <c r="C874">
        <v>1665</v>
      </c>
      <c r="D874" t="s">
        <v>12</v>
      </c>
      <c r="E874" t="s">
        <v>27</v>
      </c>
      <c r="F874" t="s">
        <v>59</v>
      </c>
      <c r="G874">
        <v>102</v>
      </c>
      <c r="H874">
        <v>985</v>
      </c>
      <c r="I874" t="s">
        <v>15</v>
      </c>
      <c r="J874">
        <v>1</v>
      </c>
      <c r="K874" s="1">
        <f t="shared" si="104"/>
        <v>46157</v>
      </c>
      <c r="L874" s="3">
        <f t="shared" si="105"/>
        <v>16.416666666666668</v>
      </c>
      <c r="M874" s="3">
        <f t="shared" si="106"/>
        <v>1.7</v>
      </c>
      <c r="N874" t="str">
        <f t="shared" si="107"/>
        <v>Within SLA</v>
      </c>
      <c r="O874" t="str">
        <f t="shared" si="111"/>
        <v>Dissatisfied</v>
      </c>
      <c r="P874" t="str">
        <f t="shared" si="108"/>
        <v>Resolved</v>
      </c>
      <c r="Q874" s="2" t="str">
        <f t="shared" si="109"/>
        <v>May-2026</v>
      </c>
      <c r="R874" s="2">
        <f t="shared" si="110"/>
        <v>46143</v>
      </c>
    </row>
    <row r="875" spans="1:18">
      <c r="A875" t="s">
        <v>1778</v>
      </c>
      <c r="B875" s="2" t="s">
        <v>1779</v>
      </c>
      <c r="C875">
        <v>1326</v>
      </c>
      <c r="D875" t="s">
        <v>12</v>
      </c>
      <c r="E875" t="s">
        <v>33</v>
      </c>
      <c r="F875" t="s">
        <v>71</v>
      </c>
      <c r="G875">
        <v>416</v>
      </c>
      <c r="H875">
        <v>6158</v>
      </c>
      <c r="I875" t="s">
        <v>15</v>
      </c>
      <c r="J875">
        <v>4</v>
      </c>
      <c r="K875" s="1">
        <f t="shared" si="104"/>
        <v>46157</v>
      </c>
      <c r="L875" s="3">
        <f t="shared" si="105"/>
        <v>102.63333333333334</v>
      </c>
      <c r="M875" s="3">
        <f t="shared" si="106"/>
        <v>6.9333333333333336</v>
      </c>
      <c r="N875" t="str">
        <f t="shared" si="107"/>
        <v>Breached</v>
      </c>
      <c r="O875" t="str">
        <f t="shared" si="111"/>
        <v>Satisfied</v>
      </c>
      <c r="P875" t="str">
        <f t="shared" si="108"/>
        <v>Resolved</v>
      </c>
      <c r="Q875" s="2" t="str">
        <f t="shared" si="109"/>
        <v>May-2026</v>
      </c>
      <c r="R875" s="2">
        <f t="shared" si="110"/>
        <v>46143</v>
      </c>
    </row>
    <row r="876" spans="1:18">
      <c r="A876" t="s">
        <v>1780</v>
      </c>
      <c r="B876" s="2" t="s">
        <v>1781</v>
      </c>
      <c r="C876">
        <v>1401</v>
      </c>
      <c r="D876" t="s">
        <v>18</v>
      </c>
      <c r="E876" t="s">
        <v>13</v>
      </c>
      <c r="F876" t="s">
        <v>54</v>
      </c>
      <c r="G876">
        <v>3</v>
      </c>
      <c r="H876">
        <v>305</v>
      </c>
      <c r="I876" t="s">
        <v>15</v>
      </c>
      <c r="K876" s="1">
        <f t="shared" si="104"/>
        <v>46158</v>
      </c>
      <c r="L876" s="3">
        <f t="shared" si="105"/>
        <v>5.083333333333333</v>
      </c>
      <c r="M876" s="3">
        <f t="shared" si="106"/>
        <v>0.05</v>
      </c>
      <c r="N876" t="str">
        <f t="shared" si="107"/>
        <v>Within SLA</v>
      </c>
      <c r="O876" t="str">
        <f t="shared" si="111"/>
        <v>No Rating</v>
      </c>
      <c r="P876" t="str">
        <f t="shared" si="108"/>
        <v>Resolved</v>
      </c>
      <c r="Q876" s="2" t="str">
        <f t="shared" si="109"/>
        <v>May-2026</v>
      </c>
      <c r="R876" s="2">
        <f t="shared" si="110"/>
        <v>46143</v>
      </c>
    </row>
    <row r="877" spans="1:18">
      <c r="A877" t="s">
        <v>1782</v>
      </c>
      <c r="B877" s="2" t="s">
        <v>1783</v>
      </c>
      <c r="C877">
        <v>1587</v>
      </c>
      <c r="D877" t="s">
        <v>18</v>
      </c>
      <c r="E877" t="s">
        <v>33</v>
      </c>
      <c r="F877" t="s">
        <v>23</v>
      </c>
      <c r="G877">
        <v>388</v>
      </c>
      <c r="I877" t="s">
        <v>29</v>
      </c>
      <c r="K877" s="1">
        <f t="shared" si="104"/>
        <v>46158</v>
      </c>
      <c r="L877" s="3" t="str">
        <f t="shared" si="105"/>
        <v/>
      </c>
      <c r="M877" s="3">
        <f t="shared" si="106"/>
        <v>6.4666666666666668</v>
      </c>
      <c r="N877" t="str">
        <f t="shared" si="107"/>
        <v>Open</v>
      </c>
      <c r="O877" t="str">
        <f t="shared" si="111"/>
        <v>No Rating</v>
      </c>
      <c r="P877" t="str">
        <f t="shared" si="108"/>
        <v>Unresolved</v>
      </c>
      <c r="Q877" s="2" t="str">
        <f t="shared" si="109"/>
        <v>May-2026</v>
      </c>
      <c r="R877" s="2">
        <f t="shared" si="110"/>
        <v>46143</v>
      </c>
    </row>
    <row r="878" spans="1:18">
      <c r="A878" t="s">
        <v>1784</v>
      </c>
      <c r="B878" s="2" t="s">
        <v>1785</v>
      </c>
      <c r="C878">
        <v>1663</v>
      </c>
      <c r="D878" t="s">
        <v>12</v>
      </c>
      <c r="E878" t="s">
        <v>27</v>
      </c>
      <c r="F878" t="s">
        <v>64</v>
      </c>
      <c r="G878">
        <v>33</v>
      </c>
      <c r="H878">
        <v>2291</v>
      </c>
      <c r="I878" t="s">
        <v>20</v>
      </c>
      <c r="J878">
        <v>4</v>
      </c>
      <c r="K878" s="1">
        <f t="shared" si="104"/>
        <v>46158</v>
      </c>
      <c r="L878" s="3">
        <f t="shared" si="105"/>
        <v>38.18333333333333</v>
      </c>
      <c r="M878" s="3">
        <f t="shared" si="106"/>
        <v>0.55000000000000004</v>
      </c>
      <c r="N878" t="str">
        <f t="shared" si="107"/>
        <v>Within SLA</v>
      </c>
      <c r="O878" t="str">
        <f t="shared" si="111"/>
        <v>Satisfied</v>
      </c>
      <c r="P878" t="str">
        <f t="shared" si="108"/>
        <v>Resolved</v>
      </c>
      <c r="Q878" s="2" t="str">
        <f t="shared" si="109"/>
        <v>May-2026</v>
      </c>
      <c r="R878" s="2">
        <f t="shared" si="110"/>
        <v>46143</v>
      </c>
    </row>
    <row r="879" spans="1:18">
      <c r="A879" t="s">
        <v>1786</v>
      </c>
      <c r="B879" s="2" t="s">
        <v>1787</v>
      </c>
      <c r="C879">
        <v>1965</v>
      </c>
      <c r="D879" t="s">
        <v>18</v>
      </c>
      <c r="E879" t="s">
        <v>13</v>
      </c>
      <c r="F879" t="s">
        <v>14</v>
      </c>
      <c r="G879">
        <v>12</v>
      </c>
      <c r="H879">
        <v>316</v>
      </c>
      <c r="I879" t="s">
        <v>20</v>
      </c>
      <c r="K879" s="1">
        <f t="shared" si="104"/>
        <v>46159</v>
      </c>
      <c r="L879" s="3">
        <f t="shared" si="105"/>
        <v>5.2666666666666666</v>
      </c>
      <c r="M879" s="3">
        <f t="shared" si="106"/>
        <v>0.2</v>
      </c>
      <c r="N879" t="str">
        <f t="shared" si="107"/>
        <v>Within SLA</v>
      </c>
      <c r="O879" t="str">
        <f t="shared" si="111"/>
        <v>No Rating</v>
      </c>
      <c r="P879" t="str">
        <f t="shared" si="108"/>
        <v>Resolved</v>
      </c>
      <c r="Q879" s="2" t="str">
        <f t="shared" si="109"/>
        <v>May-2026</v>
      </c>
      <c r="R879" s="2">
        <f t="shared" si="110"/>
        <v>46143</v>
      </c>
    </row>
    <row r="880" spans="1:18">
      <c r="A880" t="s">
        <v>1788</v>
      </c>
      <c r="B880" s="2" t="s">
        <v>1789</v>
      </c>
      <c r="C880">
        <v>1915</v>
      </c>
      <c r="D880" t="s">
        <v>47</v>
      </c>
      <c r="E880" t="s">
        <v>33</v>
      </c>
      <c r="F880" t="s">
        <v>14</v>
      </c>
      <c r="G880">
        <v>371</v>
      </c>
      <c r="H880">
        <v>6026</v>
      </c>
      <c r="I880" t="s">
        <v>20</v>
      </c>
      <c r="J880">
        <v>4</v>
      </c>
      <c r="K880" s="1">
        <f t="shared" si="104"/>
        <v>46159</v>
      </c>
      <c r="L880" s="3">
        <f t="shared" si="105"/>
        <v>100.43333333333334</v>
      </c>
      <c r="M880" s="3">
        <f t="shared" si="106"/>
        <v>6.1833333333333336</v>
      </c>
      <c r="N880" t="str">
        <f t="shared" si="107"/>
        <v>Breached</v>
      </c>
      <c r="O880" t="str">
        <f t="shared" si="111"/>
        <v>Satisfied</v>
      </c>
      <c r="P880" t="str">
        <f t="shared" si="108"/>
        <v>Resolved</v>
      </c>
      <c r="Q880" s="2" t="str">
        <f t="shared" si="109"/>
        <v>May-2026</v>
      </c>
      <c r="R880" s="2">
        <f t="shared" si="110"/>
        <v>46143</v>
      </c>
    </row>
    <row r="881" spans="1:18">
      <c r="A881" t="s">
        <v>1790</v>
      </c>
      <c r="B881" s="2" t="s">
        <v>1791</v>
      </c>
      <c r="C881">
        <v>1414</v>
      </c>
      <c r="D881" t="s">
        <v>18</v>
      </c>
      <c r="E881" t="s">
        <v>27</v>
      </c>
      <c r="F881" t="s">
        <v>23</v>
      </c>
      <c r="G881">
        <v>134</v>
      </c>
      <c r="I881" t="s">
        <v>44</v>
      </c>
      <c r="K881" s="1">
        <f t="shared" si="104"/>
        <v>46159</v>
      </c>
      <c r="L881" s="3" t="str">
        <f t="shared" si="105"/>
        <v/>
      </c>
      <c r="M881" s="3">
        <f t="shared" si="106"/>
        <v>2.2333333333333334</v>
      </c>
      <c r="N881" t="str">
        <f t="shared" si="107"/>
        <v>Open</v>
      </c>
      <c r="O881" t="str">
        <f t="shared" si="111"/>
        <v>No Rating</v>
      </c>
      <c r="P881" t="str">
        <f t="shared" si="108"/>
        <v>Unresolved</v>
      </c>
      <c r="Q881" s="2" t="str">
        <f t="shared" si="109"/>
        <v>May-2026</v>
      </c>
      <c r="R881" s="2">
        <f t="shared" si="110"/>
        <v>46143</v>
      </c>
    </row>
    <row r="882" spans="1:18">
      <c r="A882" t="s">
        <v>1792</v>
      </c>
      <c r="B882" s="2" t="s">
        <v>1793</v>
      </c>
      <c r="C882">
        <v>1113</v>
      </c>
      <c r="D882" t="s">
        <v>47</v>
      </c>
      <c r="E882" t="s">
        <v>19</v>
      </c>
      <c r="F882" t="s">
        <v>14</v>
      </c>
      <c r="G882">
        <v>18</v>
      </c>
      <c r="H882">
        <v>1069</v>
      </c>
      <c r="I882" t="s">
        <v>15</v>
      </c>
      <c r="K882" s="1">
        <f t="shared" si="104"/>
        <v>46160</v>
      </c>
      <c r="L882" s="3">
        <f t="shared" si="105"/>
        <v>17.816666666666666</v>
      </c>
      <c r="M882" s="3">
        <f t="shared" si="106"/>
        <v>0.3</v>
      </c>
      <c r="N882" t="str">
        <f t="shared" si="107"/>
        <v>Within SLA</v>
      </c>
      <c r="O882" t="str">
        <f t="shared" si="111"/>
        <v>No Rating</v>
      </c>
      <c r="P882" t="str">
        <f t="shared" si="108"/>
        <v>Resolved</v>
      </c>
      <c r="Q882" s="2" t="str">
        <f t="shared" si="109"/>
        <v>May-2026</v>
      </c>
      <c r="R882" s="2">
        <f t="shared" si="110"/>
        <v>46143</v>
      </c>
    </row>
    <row r="883" spans="1:18">
      <c r="A883" t="s">
        <v>1794</v>
      </c>
      <c r="B883" s="2" t="s">
        <v>1795</v>
      </c>
      <c r="C883">
        <v>1001</v>
      </c>
      <c r="D883" t="s">
        <v>12</v>
      </c>
      <c r="E883" t="s">
        <v>33</v>
      </c>
      <c r="F883" t="s">
        <v>28</v>
      </c>
      <c r="G883">
        <v>97</v>
      </c>
      <c r="H883">
        <v>1694</v>
      </c>
      <c r="I883" t="s">
        <v>15</v>
      </c>
      <c r="J883">
        <v>3</v>
      </c>
      <c r="K883" s="1">
        <f t="shared" si="104"/>
        <v>46160</v>
      </c>
      <c r="L883" s="3">
        <f t="shared" si="105"/>
        <v>28.233333333333334</v>
      </c>
      <c r="M883" s="3">
        <f t="shared" si="106"/>
        <v>1.6166666666666667</v>
      </c>
      <c r="N883" t="str">
        <f t="shared" si="107"/>
        <v>Within SLA</v>
      </c>
      <c r="O883" t="str">
        <f t="shared" si="111"/>
        <v>Neutral</v>
      </c>
      <c r="P883" t="str">
        <f t="shared" si="108"/>
        <v>Resolved</v>
      </c>
      <c r="Q883" s="2" t="str">
        <f t="shared" si="109"/>
        <v>May-2026</v>
      </c>
      <c r="R883" s="2">
        <f t="shared" si="110"/>
        <v>46143</v>
      </c>
    </row>
    <row r="884" spans="1:18">
      <c r="A884" t="s">
        <v>1796</v>
      </c>
      <c r="B884" s="2" t="s">
        <v>1797</v>
      </c>
      <c r="C884">
        <v>1112</v>
      </c>
      <c r="D884" t="s">
        <v>32</v>
      </c>
      <c r="E884" t="s">
        <v>27</v>
      </c>
      <c r="F884" t="s">
        <v>34</v>
      </c>
      <c r="G884">
        <v>129</v>
      </c>
      <c r="H884">
        <v>3227</v>
      </c>
      <c r="I884" t="s">
        <v>15</v>
      </c>
      <c r="J884">
        <v>4</v>
      </c>
      <c r="K884" s="1">
        <f t="shared" si="104"/>
        <v>46160</v>
      </c>
      <c r="L884" s="3">
        <f t="shared" si="105"/>
        <v>53.783333333333331</v>
      </c>
      <c r="M884" s="3">
        <f t="shared" si="106"/>
        <v>2.15</v>
      </c>
      <c r="N884" t="str">
        <f t="shared" si="107"/>
        <v>Breached</v>
      </c>
      <c r="O884" t="str">
        <f t="shared" si="111"/>
        <v>Satisfied</v>
      </c>
      <c r="P884" t="str">
        <f t="shared" si="108"/>
        <v>Resolved</v>
      </c>
      <c r="Q884" s="2" t="str">
        <f t="shared" si="109"/>
        <v>May-2026</v>
      </c>
      <c r="R884" s="2">
        <f t="shared" si="110"/>
        <v>46143</v>
      </c>
    </row>
    <row r="885" spans="1:18">
      <c r="A885" t="s">
        <v>1798</v>
      </c>
      <c r="B885" s="2" t="s">
        <v>1799</v>
      </c>
      <c r="C885">
        <v>1586</v>
      </c>
      <c r="D885" t="s">
        <v>32</v>
      </c>
      <c r="E885" t="s">
        <v>27</v>
      </c>
      <c r="F885" t="s">
        <v>71</v>
      </c>
      <c r="G885">
        <v>147</v>
      </c>
      <c r="H885">
        <v>771</v>
      </c>
      <c r="I885" t="s">
        <v>15</v>
      </c>
      <c r="J885">
        <v>3</v>
      </c>
      <c r="K885" s="1">
        <f t="shared" si="104"/>
        <v>46161</v>
      </c>
      <c r="L885" s="3">
        <f t="shared" si="105"/>
        <v>12.85</v>
      </c>
      <c r="M885" s="3">
        <f t="shared" si="106"/>
        <v>2.4500000000000002</v>
      </c>
      <c r="N885" t="str">
        <f t="shared" si="107"/>
        <v>Within SLA</v>
      </c>
      <c r="O885" t="str">
        <f t="shared" si="111"/>
        <v>Neutral</v>
      </c>
      <c r="P885" t="str">
        <f t="shared" si="108"/>
        <v>Resolved</v>
      </c>
      <c r="Q885" s="2" t="str">
        <f t="shared" si="109"/>
        <v>May-2026</v>
      </c>
      <c r="R885" s="2">
        <f t="shared" si="110"/>
        <v>46143</v>
      </c>
    </row>
    <row r="886" spans="1:18">
      <c r="A886" t="s">
        <v>1800</v>
      </c>
      <c r="B886" s="2" t="s">
        <v>1801</v>
      </c>
      <c r="C886">
        <v>1956</v>
      </c>
      <c r="D886" t="s">
        <v>26</v>
      </c>
      <c r="E886" t="s">
        <v>27</v>
      </c>
      <c r="F886" t="s">
        <v>64</v>
      </c>
      <c r="G886">
        <v>134</v>
      </c>
      <c r="H886">
        <v>1367</v>
      </c>
      <c r="I886" t="s">
        <v>15</v>
      </c>
      <c r="J886">
        <v>1</v>
      </c>
      <c r="K886" s="1">
        <f t="shared" si="104"/>
        <v>46161</v>
      </c>
      <c r="L886" s="3">
        <f t="shared" si="105"/>
        <v>22.783333333333335</v>
      </c>
      <c r="M886" s="3">
        <f t="shared" si="106"/>
        <v>2.2333333333333334</v>
      </c>
      <c r="N886" t="str">
        <f t="shared" si="107"/>
        <v>Within SLA</v>
      </c>
      <c r="O886" t="str">
        <f t="shared" si="111"/>
        <v>Dissatisfied</v>
      </c>
      <c r="P886" t="str">
        <f t="shared" si="108"/>
        <v>Resolved</v>
      </c>
      <c r="Q886" s="2" t="str">
        <f t="shared" si="109"/>
        <v>May-2026</v>
      </c>
      <c r="R886" s="2">
        <f t="shared" si="110"/>
        <v>46143</v>
      </c>
    </row>
    <row r="887" spans="1:18">
      <c r="A887" t="s">
        <v>1802</v>
      </c>
      <c r="B887" s="2" t="s">
        <v>1803</v>
      </c>
      <c r="C887">
        <v>1416</v>
      </c>
      <c r="D887" t="s">
        <v>18</v>
      </c>
      <c r="E887" t="s">
        <v>19</v>
      </c>
      <c r="F887" t="s">
        <v>64</v>
      </c>
      <c r="G887">
        <v>34</v>
      </c>
      <c r="H887">
        <v>994</v>
      </c>
      <c r="I887" t="s">
        <v>15</v>
      </c>
      <c r="K887" s="1">
        <f t="shared" si="104"/>
        <v>46162</v>
      </c>
      <c r="L887" s="3">
        <f t="shared" si="105"/>
        <v>16.566666666666666</v>
      </c>
      <c r="M887" s="3">
        <f t="shared" si="106"/>
        <v>0.56666666666666665</v>
      </c>
      <c r="N887" t="str">
        <f t="shared" si="107"/>
        <v>Within SLA</v>
      </c>
      <c r="O887" t="str">
        <f t="shared" si="111"/>
        <v>No Rating</v>
      </c>
      <c r="P887" t="str">
        <f t="shared" si="108"/>
        <v>Resolved</v>
      </c>
      <c r="Q887" s="2" t="str">
        <f t="shared" si="109"/>
        <v>May-2026</v>
      </c>
      <c r="R887" s="2">
        <f t="shared" si="110"/>
        <v>46143</v>
      </c>
    </row>
    <row r="888" spans="1:18">
      <c r="A888" t="s">
        <v>1804</v>
      </c>
      <c r="B888" s="2" t="s">
        <v>1805</v>
      </c>
      <c r="C888">
        <v>1493</v>
      </c>
      <c r="D888" t="s">
        <v>18</v>
      </c>
      <c r="E888" t="s">
        <v>13</v>
      </c>
      <c r="F888" t="s">
        <v>71</v>
      </c>
      <c r="G888">
        <v>10</v>
      </c>
      <c r="H888">
        <v>326</v>
      </c>
      <c r="I888" t="s">
        <v>15</v>
      </c>
      <c r="K888" s="1">
        <f t="shared" si="104"/>
        <v>46162</v>
      </c>
      <c r="L888" s="3">
        <f t="shared" si="105"/>
        <v>5.4333333333333336</v>
      </c>
      <c r="M888" s="3">
        <f t="shared" si="106"/>
        <v>0.16666666666666666</v>
      </c>
      <c r="N888" t="str">
        <f t="shared" si="107"/>
        <v>Within SLA</v>
      </c>
      <c r="O888" t="str">
        <f t="shared" si="111"/>
        <v>No Rating</v>
      </c>
      <c r="P888" t="str">
        <f t="shared" si="108"/>
        <v>Resolved</v>
      </c>
      <c r="Q888" s="2" t="str">
        <f t="shared" si="109"/>
        <v>May-2026</v>
      </c>
      <c r="R888" s="2">
        <f t="shared" si="110"/>
        <v>46143</v>
      </c>
    </row>
    <row r="889" spans="1:18">
      <c r="A889" t="s">
        <v>1806</v>
      </c>
      <c r="B889" s="2" t="s">
        <v>1807</v>
      </c>
      <c r="C889">
        <v>1557</v>
      </c>
      <c r="D889" t="s">
        <v>18</v>
      </c>
      <c r="E889" t="s">
        <v>13</v>
      </c>
      <c r="F889" t="s">
        <v>28</v>
      </c>
      <c r="G889">
        <v>9</v>
      </c>
      <c r="I889" t="s">
        <v>29</v>
      </c>
      <c r="K889" s="1">
        <f t="shared" si="104"/>
        <v>46162</v>
      </c>
      <c r="L889" s="3" t="str">
        <f t="shared" si="105"/>
        <v/>
      </c>
      <c r="M889" s="3">
        <f t="shared" si="106"/>
        <v>0.15</v>
      </c>
      <c r="N889" t="str">
        <f t="shared" si="107"/>
        <v>Open</v>
      </c>
      <c r="O889" t="str">
        <f t="shared" si="111"/>
        <v>No Rating</v>
      </c>
      <c r="P889" t="str">
        <f t="shared" si="108"/>
        <v>Unresolved</v>
      </c>
      <c r="Q889" s="2" t="str">
        <f t="shared" si="109"/>
        <v>May-2026</v>
      </c>
      <c r="R889" s="2">
        <f t="shared" si="110"/>
        <v>46143</v>
      </c>
    </row>
    <row r="890" spans="1:18">
      <c r="A890" t="s">
        <v>1808</v>
      </c>
      <c r="B890" s="2" t="s">
        <v>1809</v>
      </c>
      <c r="C890">
        <v>1548</v>
      </c>
      <c r="D890" t="s">
        <v>12</v>
      </c>
      <c r="E890" t="s">
        <v>19</v>
      </c>
      <c r="F890" t="s">
        <v>34</v>
      </c>
      <c r="G890">
        <v>12</v>
      </c>
      <c r="I890" t="s">
        <v>29</v>
      </c>
      <c r="K890" s="1">
        <f t="shared" si="104"/>
        <v>46163</v>
      </c>
      <c r="L890" s="3" t="str">
        <f t="shared" si="105"/>
        <v/>
      </c>
      <c r="M890" s="3">
        <f t="shared" si="106"/>
        <v>0.2</v>
      </c>
      <c r="N890" t="str">
        <f t="shared" si="107"/>
        <v>Open</v>
      </c>
      <c r="O890" t="str">
        <f t="shared" si="111"/>
        <v>No Rating</v>
      </c>
      <c r="P890" t="str">
        <f t="shared" si="108"/>
        <v>Unresolved</v>
      </c>
      <c r="Q890" s="2" t="str">
        <f t="shared" si="109"/>
        <v>May-2026</v>
      </c>
      <c r="R890" s="2">
        <f t="shared" si="110"/>
        <v>46143</v>
      </c>
    </row>
    <row r="891" spans="1:18">
      <c r="A891" t="s">
        <v>1810</v>
      </c>
      <c r="B891" s="2" t="s">
        <v>1811</v>
      </c>
      <c r="C891">
        <v>1746</v>
      </c>
      <c r="D891" t="s">
        <v>18</v>
      </c>
      <c r="E891" t="s">
        <v>33</v>
      </c>
      <c r="F891" t="s">
        <v>28</v>
      </c>
      <c r="G891">
        <v>441</v>
      </c>
      <c r="H891">
        <v>7228</v>
      </c>
      <c r="I891" t="s">
        <v>20</v>
      </c>
      <c r="J891">
        <v>4</v>
      </c>
      <c r="K891" s="1">
        <f t="shared" si="104"/>
        <v>46163</v>
      </c>
      <c r="L891" s="3">
        <f t="shared" si="105"/>
        <v>120.46666666666667</v>
      </c>
      <c r="M891" s="3">
        <f t="shared" si="106"/>
        <v>7.35</v>
      </c>
      <c r="N891" t="str">
        <f t="shared" si="107"/>
        <v>Breached</v>
      </c>
      <c r="O891" t="str">
        <f t="shared" si="111"/>
        <v>Satisfied</v>
      </c>
      <c r="P891" t="str">
        <f t="shared" si="108"/>
        <v>Resolved</v>
      </c>
      <c r="Q891" s="2" t="str">
        <f t="shared" si="109"/>
        <v>May-2026</v>
      </c>
      <c r="R891" s="2">
        <f t="shared" si="110"/>
        <v>46143</v>
      </c>
    </row>
    <row r="892" spans="1:18">
      <c r="A892" t="s">
        <v>1812</v>
      </c>
      <c r="B892" s="2" t="s">
        <v>1813</v>
      </c>
      <c r="C892">
        <v>1640</v>
      </c>
      <c r="D892" t="s">
        <v>26</v>
      </c>
      <c r="E892" t="s">
        <v>33</v>
      </c>
      <c r="F892" t="s">
        <v>64</v>
      </c>
      <c r="G892">
        <v>187</v>
      </c>
      <c r="H892">
        <v>7741</v>
      </c>
      <c r="I892" t="s">
        <v>20</v>
      </c>
      <c r="J892">
        <v>2</v>
      </c>
      <c r="K892" s="1">
        <f t="shared" si="104"/>
        <v>46163</v>
      </c>
      <c r="L892" s="3">
        <f t="shared" si="105"/>
        <v>129.01666666666668</v>
      </c>
      <c r="M892" s="3">
        <f t="shared" si="106"/>
        <v>3.1166666666666667</v>
      </c>
      <c r="N892" t="str">
        <f t="shared" si="107"/>
        <v>Breached</v>
      </c>
      <c r="O892" t="str">
        <f t="shared" si="111"/>
        <v>Dissatisfied</v>
      </c>
      <c r="P892" t="str">
        <f t="shared" si="108"/>
        <v>Resolved</v>
      </c>
      <c r="Q892" s="2" t="str">
        <f t="shared" si="109"/>
        <v>May-2026</v>
      </c>
      <c r="R892" s="2">
        <f t="shared" si="110"/>
        <v>46143</v>
      </c>
    </row>
    <row r="893" spans="1:18">
      <c r="A893" t="s">
        <v>1814</v>
      </c>
      <c r="B893" s="2" t="s">
        <v>1815</v>
      </c>
      <c r="C893">
        <v>1919</v>
      </c>
      <c r="D893" t="s">
        <v>32</v>
      </c>
      <c r="E893" t="s">
        <v>27</v>
      </c>
      <c r="F893" t="s">
        <v>71</v>
      </c>
      <c r="G893">
        <v>119</v>
      </c>
      <c r="H893">
        <v>2380</v>
      </c>
      <c r="I893" t="s">
        <v>15</v>
      </c>
      <c r="J893">
        <v>3</v>
      </c>
      <c r="K893" s="1">
        <f t="shared" si="104"/>
        <v>46164</v>
      </c>
      <c r="L893" s="3">
        <f t="shared" si="105"/>
        <v>39.666666666666664</v>
      </c>
      <c r="M893" s="3">
        <f t="shared" si="106"/>
        <v>1.9833333333333334</v>
      </c>
      <c r="N893" t="str">
        <f t="shared" si="107"/>
        <v>Within SLA</v>
      </c>
      <c r="O893" t="str">
        <f t="shared" si="111"/>
        <v>Neutral</v>
      </c>
      <c r="P893" t="str">
        <f t="shared" si="108"/>
        <v>Resolved</v>
      </c>
      <c r="Q893" s="2" t="str">
        <f t="shared" si="109"/>
        <v>May-2026</v>
      </c>
      <c r="R893" s="2">
        <f t="shared" si="110"/>
        <v>46143</v>
      </c>
    </row>
    <row r="894" spans="1:18">
      <c r="A894" t="s">
        <v>1816</v>
      </c>
      <c r="B894" s="2" t="s">
        <v>1817</v>
      </c>
      <c r="C894">
        <v>1580</v>
      </c>
      <c r="D894" t="s">
        <v>26</v>
      </c>
      <c r="E894" t="s">
        <v>19</v>
      </c>
      <c r="F894" t="s">
        <v>23</v>
      </c>
      <c r="G894">
        <v>20</v>
      </c>
      <c r="H894">
        <v>609</v>
      </c>
      <c r="I894" t="s">
        <v>15</v>
      </c>
      <c r="J894">
        <v>2</v>
      </c>
      <c r="K894" s="1">
        <f t="shared" si="104"/>
        <v>46164</v>
      </c>
      <c r="L894" s="3">
        <f t="shared" si="105"/>
        <v>10.15</v>
      </c>
      <c r="M894" s="3">
        <f t="shared" si="106"/>
        <v>0.33333333333333331</v>
      </c>
      <c r="N894" t="str">
        <f t="shared" si="107"/>
        <v>Within SLA</v>
      </c>
      <c r="O894" t="str">
        <f t="shared" si="111"/>
        <v>Dissatisfied</v>
      </c>
      <c r="P894" t="str">
        <f t="shared" si="108"/>
        <v>Resolved</v>
      </c>
      <c r="Q894" s="2" t="str">
        <f t="shared" si="109"/>
        <v>May-2026</v>
      </c>
      <c r="R894" s="2">
        <f t="shared" si="110"/>
        <v>46143</v>
      </c>
    </row>
    <row r="895" spans="1:18">
      <c r="A895" t="s">
        <v>1818</v>
      </c>
      <c r="B895" s="2" t="s">
        <v>1819</v>
      </c>
      <c r="C895">
        <v>1573</v>
      </c>
      <c r="D895" t="s">
        <v>32</v>
      </c>
      <c r="E895" t="s">
        <v>13</v>
      </c>
      <c r="F895" t="s">
        <v>43</v>
      </c>
      <c r="G895">
        <v>2</v>
      </c>
      <c r="I895" t="s">
        <v>29</v>
      </c>
      <c r="K895" s="1">
        <f t="shared" si="104"/>
        <v>46164</v>
      </c>
      <c r="L895" s="3" t="str">
        <f t="shared" si="105"/>
        <v/>
      </c>
      <c r="M895" s="3">
        <f t="shared" si="106"/>
        <v>3.3333333333333333E-2</v>
      </c>
      <c r="N895" t="str">
        <f t="shared" si="107"/>
        <v>Open</v>
      </c>
      <c r="O895" t="str">
        <f t="shared" si="111"/>
        <v>No Rating</v>
      </c>
      <c r="P895" t="str">
        <f t="shared" si="108"/>
        <v>Unresolved</v>
      </c>
      <c r="Q895" s="2" t="str">
        <f t="shared" si="109"/>
        <v>May-2026</v>
      </c>
      <c r="R895" s="2">
        <f t="shared" si="110"/>
        <v>46143</v>
      </c>
    </row>
    <row r="896" spans="1:18">
      <c r="A896" t="s">
        <v>1820</v>
      </c>
      <c r="B896" s="2" t="s">
        <v>1821</v>
      </c>
      <c r="C896">
        <v>1027</v>
      </c>
      <c r="D896" t="s">
        <v>47</v>
      </c>
      <c r="E896" t="s">
        <v>13</v>
      </c>
      <c r="F896" t="s">
        <v>43</v>
      </c>
      <c r="G896">
        <v>10</v>
      </c>
      <c r="H896">
        <v>406</v>
      </c>
      <c r="I896" t="s">
        <v>15</v>
      </c>
      <c r="J896">
        <v>3</v>
      </c>
      <c r="K896" s="1">
        <f t="shared" si="104"/>
        <v>46165</v>
      </c>
      <c r="L896" s="3">
        <f t="shared" si="105"/>
        <v>6.7666666666666666</v>
      </c>
      <c r="M896" s="3">
        <f t="shared" si="106"/>
        <v>0.16666666666666666</v>
      </c>
      <c r="N896" t="str">
        <f t="shared" si="107"/>
        <v>Within SLA</v>
      </c>
      <c r="O896" t="str">
        <f t="shared" si="111"/>
        <v>Neutral</v>
      </c>
      <c r="P896" t="str">
        <f t="shared" si="108"/>
        <v>Resolved</v>
      </c>
      <c r="Q896" s="2" t="str">
        <f t="shared" si="109"/>
        <v>May-2026</v>
      </c>
      <c r="R896" s="2">
        <f t="shared" si="110"/>
        <v>46143</v>
      </c>
    </row>
    <row r="897" spans="1:18">
      <c r="A897" t="s">
        <v>1822</v>
      </c>
      <c r="B897" s="2" t="s">
        <v>1823</v>
      </c>
      <c r="C897">
        <v>1059</v>
      </c>
      <c r="D897" t="s">
        <v>32</v>
      </c>
      <c r="E897" t="s">
        <v>13</v>
      </c>
      <c r="F897" t="s">
        <v>23</v>
      </c>
      <c r="G897">
        <v>8</v>
      </c>
      <c r="H897">
        <v>137</v>
      </c>
      <c r="I897" t="s">
        <v>15</v>
      </c>
      <c r="J897">
        <v>4</v>
      </c>
      <c r="K897" s="1">
        <f t="shared" si="104"/>
        <v>46165</v>
      </c>
      <c r="L897" s="3">
        <f t="shared" si="105"/>
        <v>2.2833333333333332</v>
      </c>
      <c r="M897" s="3">
        <f t="shared" si="106"/>
        <v>0.13333333333333333</v>
      </c>
      <c r="N897" t="str">
        <f t="shared" si="107"/>
        <v>Within SLA</v>
      </c>
      <c r="O897" t="str">
        <f t="shared" si="111"/>
        <v>Satisfied</v>
      </c>
      <c r="P897" t="str">
        <f t="shared" si="108"/>
        <v>Resolved</v>
      </c>
      <c r="Q897" s="2" t="str">
        <f t="shared" si="109"/>
        <v>May-2026</v>
      </c>
      <c r="R897" s="2">
        <f t="shared" si="110"/>
        <v>46143</v>
      </c>
    </row>
    <row r="898" spans="1:18">
      <c r="A898" t="s">
        <v>1824</v>
      </c>
      <c r="B898" s="2" t="s">
        <v>1825</v>
      </c>
      <c r="C898">
        <v>1516</v>
      </c>
      <c r="D898" t="s">
        <v>47</v>
      </c>
      <c r="E898" t="s">
        <v>13</v>
      </c>
      <c r="F898" t="s">
        <v>54</v>
      </c>
      <c r="G898">
        <v>2</v>
      </c>
      <c r="H898">
        <v>394</v>
      </c>
      <c r="I898" t="s">
        <v>15</v>
      </c>
      <c r="J898">
        <v>1</v>
      </c>
      <c r="K898" s="1">
        <f t="shared" si="104"/>
        <v>46166</v>
      </c>
      <c r="L898" s="3">
        <f t="shared" si="105"/>
        <v>6.5666666666666664</v>
      </c>
      <c r="M898" s="3">
        <f t="shared" si="106"/>
        <v>3.3333333333333333E-2</v>
      </c>
      <c r="N898" t="str">
        <f t="shared" si="107"/>
        <v>Within SLA</v>
      </c>
      <c r="O898" t="str">
        <f t="shared" si="111"/>
        <v>Dissatisfied</v>
      </c>
      <c r="P898" t="str">
        <f t="shared" si="108"/>
        <v>Resolved</v>
      </c>
      <c r="Q898" s="2" t="str">
        <f t="shared" si="109"/>
        <v>May-2026</v>
      </c>
      <c r="R898" s="2">
        <f t="shared" si="110"/>
        <v>46143</v>
      </c>
    </row>
    <row r="899" spans="1:18">
      <c r="A899" t="s">
        <v>1826</v>
      </c>
      <c r="B899" s="2" t="s">
        <v>1827</v>
      </c>
      <c r="C899">
        <v>1123</v>
      </c>
      <c r="D899" t="s">
        <v>47</v>
      </c>
      <c r="E899" t="s">
        <v>27</v>
      </c>
      <c r="F899" t="s">
        <v>23</v>
      </c>
      <c r="G899">
        <v>136</v>
      </c>
      <c r="H899">
        <v>1724</v>
      </c>
      <c r="I899" t="s">
        <v>15</v>
      </c>
      <c r="J899">
        <v>3</v>
      </c>
      <c r="K899" s="1">
        <f t="shared" ref="K899:K962" si="112">IF(B899="","",DATEVALUE(LEFT(B899,10)))</f>
        <v>46166</v>
      </c>
      <c r="L899" s="3">
        <f t="shared" ref="L899:L962" si="113">IF(H899="","",H899/60)</f>
        <v>28.733333333333334</v>
      </c>
      <c r="M899" s="3">
        <f t="shared" ref="M899:M962" si="114">IF(G899="","",G899/60)</f>
        <v>2.2666666666666666</v>
      </c>
      <c r="N899" t="str">
        <f t="shared" ref="N899:N962" si="115">IF(L899="","Open",IF(L899&lt;=IF(E899="Urgent",8,IF(E899="High",24,IF(E899="Normal",48,72))),"Within SLA","Breached"))</f>
        <v>Within SLA</v>
      </c>
      <c r="O899" t="str">
        <f t="shared" si="111"/>
        <v>Neutral</v>
      </c>
      <c r="P899" t="str">
        <f t="shared" ref="P899:P962" si="116">IF(I899="Closed","Resolved",IF(I899="Resolved","Resolved","Unresolved"))</f>
        <v>Resolved</v>
      </c>
      <c r="Q899" s="2" t="str">
        <f t="shared" ref="Q899:Q962" si="117">IF(K899="","",TEXT(K899,"mmm-yyyy"))</f>
        <v>May-2026</v>
      </c>
      <c r="R899" s="2">
        <f t="shared" ref="R899:R962" si="118">IF(K899="","",DATE(YEAR(K899),MONTH(K899),1))</f>
        <v>46143</v>
      </c>
    </row>
    <row r="900" spans="1:18">
      <c r="A900" t="s">
        <v>1828</v>
      </c>
      <c r="B900" s="2" t="s">
        <v>1829</v>
      </c>
      <c r="C900">
        <v>1881</v>
      </c>
      <c r="D900" t="s">
        <v>26</v>
      </c>
      <c r="E900" t="s">
        <v>27</v>
      </c>
      <c r="F900" t="s">
        <v>43</v>
      </c>
      <c r="G900">
        <v>171</v>
      </c>
      <c r="H900">
        <v>3049</v>
      </c>
      <c r="I900" t="s">
        <v>15</v>
      </c>
      <c r="J900">
        <v>1</v>
      </c>
      <c r="K900" s="1">
        <f t="shared" si="112"/>
        <v>46166</v>
      </c>
      <c r="L900" s="3">
        <f t="shared" si="113"/>
        <v>50.81666666666667</v>
      </c>
      <c r="M900" s="3">
        <f t="shared" si="114"/>
        <v>2.85</v>
      </c>
      <c r="N900" t="str">
        <f t="shared" si="115"/>
        <v>Breached</v>
      </c>
      <c r="O900" t="str">
        <f t="shared" ref="O900:O963" si="119">IF(J900="","No Rating",IF(J900&gt;=4,"Satisfied",IF(J900=3,"Neutral","Dissatisfied")))</f>
        <v>Dissatisfied</v>
      </c>
      <c r="P900" t="str">
        <f t="shared" si="116"/>
        <v>Resolved</v>
      </c>
      <c r="Q900" s="2" t="str">
        <f t="shared" si="117"/>
        <v>May-2026</v>
      </c>
      <c r="R900" s="2">
        <f t="shared" si="118"/>
        <v>46143</v>
      </c>
    </row>
    <row r="901" spans="1:18">
      <c r="A901" t="s">
        <v>1830</v>
      </c>
      <c r="B901" s="2" t="s">
        <v>1831</v>
      </c>
      <c r="C901">
        <v>1575</v>
      </c>
      <c r="D901" t="s">
        <v>26</v>
      </c>
      <c r="E901" t="s">
        <v>33</v>
      </c>
      <c r="F901" t="s">
        <v>54</v>
      </c>
      <c r="G901">
        <v>416</v>
      </c>
      <c r="H901">
        <v>1357</v>
      </c>
      <c r="I901" t="s">
        <v>20</v>
      </c>
      <c r="K901" s="1">
        <f t="shared" si="112"/>
        <v>46167</v>
      </c>
      <c r="L901" s="3">
        <f t="shared" si="113"/>
        <v>22.616666666666667</v>
      </c>
      <c r="M901" s="3">
        <f t="shared" si="114"/>
        <v>6.9333333333333336</v>
      </c>
      <c r="N901" t="str">
        <f t="shared" si="115"/>
        <v>Within SLA</v>
      </c>
      <c r="O901" t="str">
        <f t="shared" si="119"/>
        <v>No Rating</v>
      </c>
      <c r="P901" t="str">
        <f t="shared" si="116"/>
        <v>Resolved</v>
      </c>
      <c r="Q901" s="2" t="str">
        <f t="shared" si="117"/>
        <v>May-2026</v>
      </c>
      <c r="R901" s="2">
        <f t="shared" si="118"/>
        <v>46143</v>
      </c>
    </row>
    <row r="902" spans="1:18">
      <c r="A902" t="s">
        <v>1832</v>
      </c>
      <c r="B902" s="2" t="s">
        <v>1833</v>
      </c>
      <c r="C902">
        <v>1445</v>
      </c>
      <c r="D902" t="s">
        <v>12</v>
      </c>
      <c r="E902" t="s">
        <v>33</v>
      </c>
      <c r="F902" t="s">
        <v>54</v>
      </c>
      <c r="G902">
        <v>416</v>
      </c>
      <c r="H902">
        <v>1828</v>
      </c>
      <c r="I902" t="s">
        <v>15</v>
      </c>
      <c r="J902">
        <v>2</v>
      </c>
      <c r="K902" s="1">
        <f t="shared" si="112"/>
        <v>46167</v>
      </c>
      <c r="L902" s="3">
        <f t="shared" si="113"/>
        <v>30.466666666666665</v>
      </c>
      <c r="M902" s="3">
        <f t="shared" si="114"/>
        <v>6.9333333333333336</v>
      </c>
      <c r="N902" t="str">
        <f t="shared" si="115"/>
        <v>Within SLA</v>
      </c>
      <c r="O902" t="str">
        <f t="shared" si="119"/>
        <v>Dissatisfied</v>
      </c>
      <c r="P902" t="str">
        <f t="shared" si="116"/>
        <v>Resolved</v>
      </c>
      <c r="Q902" s="2" t="str">
        <f t="shared" si="117"/>
        <v>May-2026</v>
      </c>
      <c r="R902" s="2">
        <f t="shared" si="118"/>
        <v>46143</v>
      </c>
    </row>
    <row r="903" spans="1:18">
      <c r="A903" t="s">
        <v>1834</v>
      </c>
      <c r="B903" s="2" t="s">
        <v>1835</v>
      </c>
      <c r="C903">
        <v>1625</v>
      </c>
      <c r="D903" t="s">
        <v>32</v>
      </c>
      <c r="E903" t="s">
        <v>13</v>
      </c>
      <c r="F903" t="s">
        <v>64</v>
      </c>
      <c r="G903">
        <v>3</v>
      </c>
      <c r="H903">
        <v>239</v>
      </c>
      <c r="I903" t="s">
        <v>15</v>
      </c>
      <c r="K903" s="1">
        <f t="shared" si="112"/>
        <v>46167</v>
      </c>
      <c r="L903" s="3">
        <f t="shared" si="113"/>
        <v>3.9833333333333334</v>
      </c>
      <c r="M903" s="3">
        <f t="shared" si="114"/>
        <v>0.05</v>
      </c>
      <c r="N903" t="str">
        <f t="shared" si="115"/>
        <v>Within SLA</v>
      </c>
      <c r="O903" t="str">
        <f t="shared" si="119"/>
        <v>No Rating</v>
      </c>
      <c r="P903" t="str">
        <f t="shared" si="116"/>
        <v>Resolved</v>
      </c>
      <c r="Q903" s="2" t="str">
        <f t="shared" si="117"/>
        <v>May-2026</v>
      </c>
      <c r="R903" s="2">
        <f t="shared" si="118"/>
        <v>46143</v>
      </c>
    </row>
    <row r="904" spans="1:18">
      <c r="A904" t="s">
        <v>1836</v>
      </c>
      <c r="B904" s="2" t="s">
        <v>1837</v>
      </c>
      <c r="C904">
        <v>1036</v>
      </c>
      <c r="D904" t="s">
        <v>26</v>
      </c>
      <c r="E904" t="s">
        <v>27</v>
      </c>
      <c r="F904" t="s">
        <v>14</v>
      </c>
      <c r="G904">
        <v>119</v>
      </c>
      <c r="H904">
        <v>776</v>
      </c>
      <c r="I904" t="s">
        <v>15</v>
      </c>
      <c r="J904">
        <v>1</v>
      </c>
      <c r="K904" s="1">
        <f t="shared" si="112"/>
        <v>46168</v>
      </c>
      <c r="L904" s="3">
        <f t="shared" si="113"/>
        <v>12.933333333333334</v>
      </c>
      <c r="M904" s="3">
        <f t="shared" si="114"/>
        <v>1.9833333333333334</v>
      </c>
      <c r="N904" t="str">
        <f t="shared" si="115"/>
        <v>Within SLA</v>
      </c>
      <c r="O904" t="str">
        <f t="shared" si="119"/>
        <v>Dissatisfied</v>
      </c>
      <c r="P904" t="str">
        <f t="shared" si="116"/>
        <v>Resolved</v>
      </c>
      <c r="Q904" s="2" t="str">
        <f t="shared" si="117"/>
        <v>May-2026</v>
      </c>
      <c r="R904" s="2">
        <f t="shared" si="118"/>
        <v>46143</v>
      </c>
    </row>
    <row r="905" spans="1:18">
      <c r="A905" t="s">
        <v>1838</v>
      </c>
      <c r="B905" s="2" t="s">
        <v>1839</v>
      </c>
      <c r="C905">
        <v>1019</v>
      </c>
      <c r="D905" t="s">
        <v>47</v>
      </c>
      <c r="E905" t="s">
        <v>33</v>
      </c>
      <c r="F905" t="s">
        <v>14</v>
      </c>
      <c r="G905">
        <v>459</v>
      </c>
      <c r="I905" t="s">
        <v>44</v>
      </c>
      <c r="K905" s="1">
        <f t="shared" si="112"/>
        <v>46168</v>
      </c>
      <c r="L905" s="3" t="str">
        <f t="shared" si="113"/>
        <v/>
      </c>
      <c r="M905" s="3">
        <f t="shared" si="114"/>
        <v>7.65</v>
      </c>
      <c r="N905" t="str">
        <f t="shared" si="115"/>
        <v>Open</v>
      </c>
      <c r="O905" t="str">
        <f t="shared" si="119"/>
        <v>No Rating</v>
      </c>
      <c r="P905" t="str">
        <f t="shared" si="116"/>
        <v>Unresolved</v>
      </c>
      <c r="Q905" s="2" t="str">
        <f t="shared" si="117"/>
        <v>May-2026</v>
      </c>
      <c r="R905" s="2">
        <f t="shared" si="118"/>
        <v>46143</v>
      </c>
    </row>
    <row r="906" spans="1:18">
      <c r="A906" t="s">
        <v>1840</v>
      </c>
      <c r="B906" s="2" t="s">
        <v>1841</v>
      </c>
      <c r="C906">
        <v>1263</v>
      </c>
      <c r="D906" t="s">
        <v>47</v>
      </c>
      <c r="E906" t="s">
        <v>19</v>
      </c>
      <c r="F906" t="s">
        <v>28</v>
      </c>
      <c r="G906">
        <v>28</v>
      </c>
      <c r="H906">
        <v>514</v>
      </c>
      <c r="I906" t="s">
        <v>15</v>
      </c>
      <c r="K906" s="1">
        <f t="shared" si="112"/>
        <v>46168</v>
      </c>
      <c r="L906" s="3">
        <f t="shared" si="113"/>
        <v>8.5666666666666664</v>
      </c>
      <c r="M906" s="3">
        <f t="shared" si="114"/>
        <v>0.46666666666666667</v>
      </c>
      <c r="N906" t="str">
        <f t="shared" si="115"/>
        <v>Within SLA</v>
      </c>
      <c r="O906" t="str">
        <f t="shared" si="119"/>
        <v>No Rating</v>
      </c>
      <c r="P906" t="str">
        <f t="shared" si="116"/>
        <v>Resolved</v>
      </c>
      <c r="Q906" s="2" t="str">
        <f t="shared" si="117"/>
        <v>May-2026</v>
      </c>
      <c r="R906" s="2">
        <f t="shared" si="118"/>
        <v>46143</v>
      </c>
    </row>
    <row r="907" spans="1:18">
      <c r="A907" t="s">
        <v>1842</v>
      </c>
      <c r="B907" s="2" t="s">
        <v>1843</v>
      </c>
      <c r="C907">
        <v>1750</v>
      </c>
      <c r="D907" t="s">
        <v>12</v>
      </c>
      <c r="E907" t="s">
        <v>33</v>
      </c>
      <c r="F907" t="s">
        <v>23</v>
      </c>
      <c r="G907">
        <v>205</v>
      </c>
      <c r="I907" t="s">
        <v>44</v>
      </c>
      <c r="K907" s="1">
        <f t="shared" si="112"/>
        <v>46169</v>
      </c>
      <c r="L907" s="3" t="str">
        <f t="shared" si="113"/>
        <v/>
      </c>
      <c r="M907" s="3">
        <f t="shared" si="114"/>
        <v>3.4166666666666665</v>
      </c>
      <c r="N907" t="str">
        <f t="shared" si="115"/>
        <v>Open</v>
      </c>
      <c r="O907" t="str">
        <f t="shared" si="119"/>
        <v>No Rating</v>
      </c>
      <c r="P907" t="str">
        <f t="shared" si="116"/>
        <v>Unresolved</v>
      </c>
      <c r="Q907" s="2" t="str">
        <f t="shared" si="117"/>
        <v>May-2026</v>
      </c>
      <c r="R907" s="2">
        <f t="shared" si="118"/>
        <v>46143</v>
      </c>
    </row>
    <row r="908" spans="1:18">
      <c r="A908" t="s">
        <v>1844</v>
      </c>
      <c r="B908" s="2" t="s">
        <v>1845</v>
      </c>
      <c r="C908">
        <v>1937</v>
      </c>
      <c r="D908" t="s">
        <v>32</v>
      </c>
      <c r="E908" t="s">
        <v>13</v>
      </c>
      <c r="F908" t="s">
        <v>23</v>
      </c>
      <c r="G908">
        <v>7</v>
      </c>
      <c r="I908" t="s">
        <v>44</v>
      </c>
      <c r="K908" s="1">
        <f t="shared" si="112"/>
        <v>46169</v>
      </c>
      <c r="L908" s="3" t="str">
        <f t="shared" si="113"/>
        <v/>
      </c>
      <c r="M908" s="3">
        <f t="shared" si="114"/>
        <v>0.11666666666666667</v>
      </c>
      <c r="N908" t="str">
        <f t="shared" si="115"/>
        <v>Open</v>
      </c>
      <c r="O908" t="str">
        <f t="shared" si="119"/>
        <v>No Rating</v>
      </c>
      <c r="P908" t="str">
        <f t="shared" si="116"/>
        <v>Unresolved</v>
      </c>
      <c r="Q908" s="2" t="str">
        <f t="shared" si="117"/>
        <v>May-2026</v>
      </c>
      <c r="R908" s="2">
        <f t="shared" si="118"/>
        <v>46143</v>
      </c>
    </row>
    <row r="909" spans="1:18">
      <c r="A909" t="s">
        <v>1846</v>
      </c>
      <c r="B909" s="2" t="s">
        <v>1847</v>
      </c>
      <c r="C909">
        <v>1647</v>
      </c>
      <c r="D909" t="s">
        <v>32</v>
      </c>
      <c r="E909" t="s">
        <v>27</v>
      </c>
      <c r="F909" t="s">
        <v>64</v>
      </c>
      <c r="G909">
        <v>147</v>
      </c>
      <c r="H909">
        <v>1450</v>
      </c>
      <c r="I909" t="s">
        <v>15</v>
      </c>
      <c r="K909" s="1">
        <f t="shared" si="112"/>
        <v>46170</v>
      </c>
      <c r="L909" s="3">
        <f t="shared" si="113"/>
        <v>24.166666666666668</v>
      </c>
      <c r="M909" s="3">
        <f t="shared" si="114"/>
        <v>2.4500000000000002</v>
      </c>
      <c r="N909" t="str">
        <f t="shared" si="115"/>
        <v>Within SLA</v>
      </c>
      <c r="O909" t="str">
        <f t="shared" si="119"/>
        <v>No Rating</v>
      </c>
      <c r="P909" t="str">
        <f t="shared" si="116"/>
        <v>Resolved</v>
      </c>
      <c r="Q909" s="2" t="str">
        <f t="shared" si="117"/>
        <v>May-2026</v>
      </c>
      <c r="R909" s="2">
        <f t="shared" si="118"/>
        <v>46143</v>
      </c>
    </row>
    <row r="910" spans="1:18">
      <c r="A910" t="s">
        <v>1848</v>
      </c>
      <c r="B910" s="2" t="s">
        <v>1849</v>
      </c>
      <c r="C910">
        <v>1540</v>
      </c>
      <c r="D910" t="s">
        <v>47</v>
      </c>
      <c r="E910" t="s">
        <v>33</v>
      </c>
      <c r="F910" t="s">
        <v>64</v>
      </c>
      <c r="G910">
        <v>278</v>
      </c>
      <c r="H910">
        <v>7542</v>
      </c>
      <c r="I910" t="s">
        <v>15</v>
      </c>
      <c r="K910" s="1">
        <f t="shared" si="112"/>
        <v>46170</v>
      </c>
      <c r="L910" s="3">
        <f t="shared" si="113"/>
        <v>125.7</v>
      </c>
      <c r="M910" s="3">
        <f t="shared" si="114"/>
        <v>4.6333333333333337</v>
      </c>
      <c r="N910" t="str">
        <f t="shared" si="115"/>
        <v>Breached</v>
      </c>
      <c r="O910" t="str">
        <f t="shared" si="119"/>
        <v>No Rating</v>
      </c>
      <c r="P910" t="str">
        <f t="shared" si="116"/>
        <v>Resolved</v>
      </c>
      <c r="Q910" s="2" t="str">
        <f t="shared" si="117"/>
        <v>May-2026</v>
      </c>
      <c r="R910" s="2">
        <f t="shared" si="118"/>
        <v>46143</v>
      </c>
    </row>
    <row r="911" spans="1:18">
      <c r="A911" t="s">
        <v>1850</v>
      </c>
      <c r="B911" s="2" t="s">
        <v>1851</v>
      </c>
      <c r="C911">
        <v>1154</v>
      </c>
      <c r="D911" t="s">
        <v>47</v>
      </c>
      <c r="E911" t="s">
        <v>27</v>
      </c>
      <c r="F911" t="s">
        <v>59</v>
      </c>
      <c r="G911">
        <v>136</v>
      </c>
      <c r="H911">
        <v>2987</v>
      </c>
      <c r="I911" t="s">
        <v>20</v>
      </c>
      <c r="K911" s="1">
        <f t="shared" si="112"/>
        <v>46170</v>
      </c>
      <c r="L911" s="3">
        <f t="shared" si="113"/>
        <v>49.783333333333331</v>
      </c>
      <c r="M911" s="3">
        <f t="shared" si="114"/>
        <v>2.2666666666666666</v>
      </c>
      <c r="N911" t="str">
        <f t="shared" si="115"/>
        <v>Breached</v>
      </c>
      <c r="O911" t="str">
        <f t="shared" si="119"/>
        <v>No Rating</v>
      </c>
      <c r="P911" t="str">
        <f t="shared" si="116"/>
        <v>Resolved</v>
      </c>
      <c r="Q911" s="2" t="str">
        <f t="shared" si="117"/>
        <v>May-2026</v>
      </c>
      <c r="R911" s="2">
        <f t="shared" si="118"/>
        <v>46143</v>
      </c>
    </row>
    <row r="912" spans="1:18">
      <c r="A912" t="s">
        <v>1852</v>
      </c>
      <c r="B912" s="2" t="s">
        <v>1853</v>
      </c>
      <c r="C912">
        <v>1784</v>
      </c>
      <c r="D912" t="s">
        <v>32</v>
      </c>
      <c r="E912" t="s">
        <v>27</v>
      </c>
      <c r="F912" t="s">
        <v>23</v>
      </c>
      <c r="G912">
        <v>123</v>
      </c>
      <c r="I912" t="s">
        <v>29</v>
      </c>
      <c r="K912" s="1">
        <f t="shared" si="112"/>
        <v>46171</v>
      </c>
      <c r="L912" s="3" t="str">
        <f t="shared" si="113"/>
        <v/>
      </c>
      <c r="M912" s="3">
        <f t="shared" si="114"/>
        <v>2.0499999999999998</v>
      </c>
      <c r="N912" t="str">
        <f t="shared" si="115"/>
        <v>Open</v>
      </c>
      <c r="O912" t="str">
        <f t="shared" si="119"/>
        <v>No Rating</v>
      </c>
      <c r="P912" t="str">
        <f t="shared" si="116"/>
        <v>Unresolved</v>
      </c>
      <c r="Q912" s="2" t="str">
        <f t="shared" si="117"/>
        <v>May-2026</v>
      </c>
      <c r="R912" s="2">
        <f t="shared" si="118"/>
        <v>46143</v>
      </c>
    </row>
    <row r="913" spans="1:18">
      <c r="A913" t="s">
        <v>1854</v>
      </c>
      <c r="B913" s="2" t="s">
        <v>1855</v>
      </c>
      <c r="C913">
        <v>1962</v>
      </c>
      <c r="D913" t="s">
        <v>32</v>
      </c>
      <c r="E913" t="s">
        <v>27</v>
      </c>
      <c r="F913" t="s">
        <v>43</v>
      </c>
      <c r="G913">
        <v>85</v>
      </c>
      <c r="H913">
        <v>1789</v>
      </c>
      <c r="I913" t="s">
        <v>15</v>
      </c>
      <c r="J913">
        <v>2</v>
      </c>
      <c r="K913" s="1">
        <f t="shared" si="112"/>
        <v>46171</v>
      </c>
      <c r="L913" s="3">
        <f t="shared" si="113"/>
        <v>29.816666666666666</v>
      </c>
      <c r="M913" s="3">
        <f t="shared" si="114"/>
        <v>1.4166666666666667</v>
      </c>
      <c r="N913" t="str">
        <f t="shared" si="115"/>
        <v>Within SLA</v>
      </c>
      <c r="O913" t="str">
        <f t="shared" si="119"/>
        <v>Dissatisfied</v>
      </c>
      <c r="P913" t="str">
        <f t="shared" si="116"/>
        <v>Resolved</v>
      </c>
      <c r="Q913" s="2" t="str">
        <f t="shared" si="117"/>
        <v>May-2026</v>
      </c>
      <c r="R913" s="2">
        <f t="shared" si="118"/>
        <v>46143</v>
      </c>
    </row>
    <row r="914" spans="1:18">
      <c r="A914" t="s">
        <v>1856</v>
      </c>
      <c r="B914" s="2" t="s">
        <v>1857</v>
      </c>
      <c r="C914">
        <v>1904</v>
      </c>
      <c r="D914" t="s">
        <v>26</v>
      </c>
      <c r="E914" t="s">
        <v>19</v>
      </c>
      <c r="F914" t="s">
        <v>14</v>
      </c>
      <c r="G914">
        <v>34</v>
      </c>
      <c r="H914">
        <v>500</v>
      </c>
      <c r="I914" t="s">
        <v>20</v>
      </c>
      <c r="K914" s="1">
        <f t="shared" si="112"/>
        <v>46171</v>
      </c>
      <c r="L914" s="3">
        <f t="shared" si="113"/>
        <v>8.3333333333333339</v>
      </c>
      <c r="M914" s="3">
        <f t="shared" si="114"/>
        <v>0.56666666666666665</v>
      </c>
      <c r="N914" t="str">
        <f t="shared" si="115"/>
        <v>Within SLA</v>
      </c>
      <c r="O914" t="str">
        <f t="shared" si="119"/>
        <v>No Rating</v>
      </c>
      <c r="P914" t="str">
        <f t="shared" si="116"/>
        <v>Resolved</v>
      </c>
      <c r="Q914" s="2" t="str">
        <f t="shared" si="117"/>
        <v>May-2026</v>
      </c>
      <c r="R914" s="2">
        <f t="shared" si="118"/>
        <v>46143</v>
      </c>
    </row>
    <row r="915" spans="1:18">
      <c r="A915" t="s">
        <v>1858</v>
      </c>
      <c r="B915" s="2" t="s">
        <v>1859</v>
      </c>
      <c r="C915">
        <v>1618</v>
      </c>
      <c r="D915" t="s">
        <v>32</v>
      </c>
      <c r="E915" t="s">
        <v>13</v>
      </c>
      <c r="F915" t="s">
        <v>34</v>
      </c>
      <c r="G915">
        <v>3</v>
      </c>
      <c r="H915">
        <v>327</v>
      </c>
      <c r="I915" t="s">
        <v>15</v>
      </c>
      <c r="J915">
        <v>1</v>
      </c>
      <c r="K915" s="1">
        <f t="shared" si="112"/>
        <v>46172</v>
      </c>
      <c r="L915" s="3">
        <f t="shared" si="113"/>
        <v>5.45</v>
      </c>
      <c r="M915" s="3">
        <f t="shared" si="114"/>
        <v>0.05</v>
      </c>
      <c r="N915" t="str">
        <f t="shared" si="115"/>
        <v>Within SLA</v>
      </c>
      <c r="O915" t="str">
        <f t="shared" si="119"/>
        <v>Dissatisfied</v>
      </c>
      <c r="P915" t="str">
        <f t="shared" si="116"/>
        <v>Resolved</v>
      </c>
      <c r="Q915" s="2" t="str">
        <f t="shared" si="117"/>
        <v>May-2026</v>
      </c>
      <c r="R915" s="2">
        <f t="shared" si="118"/>
        <v>46143</v>
      </c>
    </row>
    <row r="916" spans="1:18">
      <c r="A916" t="s">
        <v>1860</v>
      </c>
      <c r="B916" s="2" t="s">
        <v>1861</v>
      </c>
      <c r="C916">
        <v>1090</v>
      </c>
      <c r="D916" t="s">
        <v>47</v>
      </c>
      <c r="E916" t="s">
        <v>27</v>
      </c>
      <c r="F916" t="s">
        <v>34</v>
      </c>
      <c r="G916">
        <v>153</v>
      </c>
      <c r="I916" t="s">
        <v>44</v>
      </c>
      <c r="K916" s="1">
        <f t="shared" si="112"/>
        <v>46172</v>
      </c>
      <c r="L916" s="3" t="str">
        <f t="shared" si="113"/>
        <v/>
      </c>
      <c r="M916" s="3">
        <f t="shared" si="114"/>
        <v>2.5499999999999998</v>
      </c>
      <c r="N916" t="str">
        <f t="shared" si="115"/>
        <v>Open</v>
      </c>
      <c r="O916" t="str">
        <f t="shared" si="119"/>
        <v>No Rating</v>
      </c>
      <c r="P916" t="str">
        <f t="shared" si="116"/>
        <v>Unresolved</v>
      </c>
      <c r="Q916" s="2" t="str">
        <f t="shared" si="117"/>
        <v>May-2026</v>
      </c>
      <c r="R916" s="2">
        <f t="shared" si="118"/>
        <v>46143</v>
      </c>
    </row>
    <row r="917" spans="1:18">
      <c r="A917" t="s">
        <v>1862</v>
      </c>
      <c r="B917" s="2" t="s">
        <v>1863</v>
      </c>
      <c r="C917">
        <v>1810</v>
      </c>
      <c r="D917" t="s">
        <v>26</v>
      </c>
      <c r="E917" t="s">
        <v>13</v>
      </c>
      <c r="F917" t="s">
        <v>54</v>
      </c>
      <c r="G917">
        <v>10</v>
      </c>
      <c r="H917">
        <v>123</v>
      </c>
      <c r="I917" t="s">
        <v>15</v>
      </c>
      <c r="K917" s="1">
        <f t="shared" si="112"/>
        <v>46172</v>
      </c>
      <c r="L917" s="3">
        <f t="shared" si="113"/>
        <v>2.0499999999999998</v>
      </c>
      <c r="M917" s="3">
        <f t="shared" si="114"/>
        <v>0.16666666666666666</v>
      </c>
      <c r="N917" t="str">
        <f t="shared" si="115"/>
        <v>Within SLA</v>
      </c>
      <c r="O917" t="str">
        <f t="shared" si="119"/>
        <v>No Rating</v>
      </c>
      <c r="P917" t="str">
        <f t="shared" si="116"/>
        <v>Resolved</v>
      </c>
      <c r="Q917" s="2" t="str">
        <f t="shared" si="117"/>
        <v>May-2026</v>
      </c>
      <c r="R917" s="2">
        <f t="shared" si="118"/>
        <v>46143</v>
      </c>
    </row>
    <row r="918" spans="1:18">
      <c r="A918" t="s">
        <v>1864</v>
      </c>
      <c r="B918" s="2" t="s">
        <v>1865</v>
      </c>
      <c r="C918">
        <v>1448</v>
      </c>
      <c r="D918" t="s">
        <v>18</v>
      </c>
      <c r="E918" t="s">
        <v>13</v>
      </c>
      <c r="F918" t="s">
        <v>23</v>
      </c>
      <c r="G918">
        <v>4</v>
      </c>
      <c r="I918" t="s">
        <v>29</v>
      </c>
      <c r="K918" s="1">
        <f t="shared" si="112"/>
        <v>46173</v>
      </c>
      <c r="L918" s="3" t="str">
        <f t="shared" si="113"/>
        <v/>
      </c>
      <c r="M918" s="3">
        <f t="shared" si="114"/>
        <v>6.6666666666666666E-2</v>
      </c>
      <c r="N918" t="str">
        <f t="shared" si="115"/>
        <v>Open</v>
      </c>
      <c r="O918" t="str">
        <f t="shared" si="119"/>
        <v>No Rating</v>
      </c>
      <c r="P918" t="str">
        <f t="shared" si="116"/>
        <v>Unresolved</v>
      </c>
      <c r="Q918" s="2" t="str">
        <f t="shared" si="117"/>
        <v>May-2026</v>
      </c>
      <c r="R918" s="2">
        <f t="shared" si="118"/>
        <v>46143</v>
      </c>
    </row>
    <row r="919" spans="1:18">
      <c r="A919" t="s">
        <v>1866</v>
      </c>
      <c r="B919" s="2" t="s">
        <v>1867</v>
      </c>
      <c r="C919">
        <v>1308</v>
      </c>
      <c r="D919" t="s">
        <v>26</v>
      </c>
      <c r="E919" t="s">
        <v>27</v>
      </c>
      <c r="F919" t="s">
        <v>43</v>
      </c>
      <c r="G919">
        <v>91</v>
      </c>
      <c r="H919">
        <v>3001</v>
      </c>
      <c r="I919" t="s">
        <v>15</v>
      </c>
      <c r="J919">
        <v>4</v>
      </c>
      <c r="K919" s="1">
        <f t="shared" si="112"/>
        <v>46173</v>
      </c>
      <c r="L919" s="3">
        <f t="shared" si="113"/>
        <v>50.016666666666666</v>
      </c>
      <c r="M919" s="3">
        <f t="shared" si="114"/>
        <v>1.5166666666666666</v>
      </c>
      <c r="N919" t="str">
        <f t="shared" si="115"/>
        <v>Breached</v>
      </c>
      <c r="O919" t="str">
        <f t="shared" si="119"/>
        <v>Satisfied</v>
      </c>
      <c r="P919" t="str">
        <f t="shared" si="116"/>
        <v>Resolved</v>
      </c>
      <c r="Q919" s="2" t="str">
        <f t="shared" si="117"/>
        <v>May-2026</v>
      </c>
      <c r="R919" s="2">
        <f t="shared" si="118"/>
        <v>46143</v>
      </c>
    </row>
    <row r="920" spans="1:18">
      <c r="A920" t="s">
        <v>1868</v>
      </c>
      <c r="B920" s="2" t="s">
        <v>1869</v>
      </c>
      <c r="C920">
        <v>1289</v>
      </c>
      <c r="D920" t="s">
        <v>26</v>
      </c>
      <c r="E920" t="s">
        <v>19</v>
      </c>
      <c r="F920" t="s">
        <v>64</v>
      </c>
      <c r="G920">
        <v>32</v>
      </c>
      <c r="H920">
        <v>1024</v>
      </c>
      <c r="I920" t="s">
        <v>15</v>
      </c>
      <c r="K920" s="1">
        <f t="shared" si="112"/>
        <v>46174</v>
      </c>
      <c r="L920" s="3">
        <f t="shared" si="113"/>
        <v>17.066666666666666</v>
      </c>
      <c r="M920" s="3">
        <f t="shared" si="114"/>
        <v>0.53333333333333333</v>
      </c>
      <c r="N920" t="str">
        <f t="shared" si="115"/>
        <v>Within SLA</v>
      </c>
      <c r="O920" t="str">
        <f t="shared" si="119"/>
        <v>No Rating</v>
      </c>
      <c r="P920" t="str">
        <f t="shared" si="116"/>
        <v>Resolved</v>
      </c>
      <c r="Q920" s="2" t="str">
        <f t="shared" si="117"/>
        <v>Jun-2026</v>
      </c>
      <c r="R920" s="2">
        <f t="shared" si="118"/>
        <v>46174</v>
      </c>
    </row>
    <row r="921" spans="1:18">
      <c r="A921" t="s">
        <v>1870</v>
      </c>
      <c r="B921" s="2" t="s">
        <v>1871</v>
      </c>
      <c r="C921">
        <v>1909</v>
      </c>
      <c r="D921" t="s">
        <v>18</v>
      </c>
      <c r="E921" t="s">
        <v>19</v>
      </c>
      <c r="F921" t="s">
        <v>71</v>
      </c>
      <c r="G921">
        <v>12</v>
      </c>
      <c r="H921">
        <v>763</v>
      </c>
      <c r="I921" t="s">
        <v>15</v>
      </c>
      <c r="J921">
        <v>5</v>
      </c>
      <c r="K921" s="1">
        <f t="shared" si="112"/>
        <v>46174</v>
      </c>
      <c r="L921" s="3">
        <f t="shared" si="113"/>
        <v>12.716666666666667</v>
      </c>
      <c r="M921" s="3">
        <f t="shared" si="114"/>
        <v>0.2</v>
      </c>
      <c r="N921" t="str">
        <f t="shared" si="115"/>
        <v>Within SLA</v>
      </c>
      <c r="O921" t="str">
        <f t="shared" si="119"/>
        <v>Satisfied</v>
      </c>
      <c r="P921" t="str">
        <f t="shared" si="116"/>
        <v>Resolved</v>
      </c>
      <c r="Q921" s="2" t="str">
        <f t="shared" si="117"/>
        <v>Jun-2026</v>
      </c>
      <c r="R921" s="2">
        <f t="shared" si="118"/>
        <v>46174</v>
      </c>
    </row>
    <row r="922" spans="1:18">
      <c r="A922" t="s">
        <v>1872</v>
      </c>
      <c r="B922" s="2" t="s">
        <v>1873</v>
      </c>
      <c r="C922">
        <v>1009</v>
      </c>
      <c r="D922" t="s">
        <v>32</v>
      </c>
      <c r="E922" t="s">
        <v>13</v>
      </c>
      <c r="F922" t="s">
        <v>43</v>
      </c>
      <c r="G922">
        <v>4</v>
      </c>
      <c r="H922">
        <v>143</v>
      </c>
      <c r="I922" t="s">
        <v>15</v>
      </c>
      <c r="J922">
        <v>3</v>
      </c>
      <c r="K922" s="1">
        <f t="shared" si="112"/>
        <v>46174</v>
      </c>
      <c r="L922" s="3">
        <f t="shared" si="113"/>
        <v>2.3833333333333333</v>
      </c>
      <c r="M922" s="3">
        <f t="shared" si="114"/>
        <v>6.6666666666666666E-2</v>
      </c>
      <c r="N922" t="str">
        <f t="shared" si="115"/>
        <v>Within SLA</v>
      </c>
      <c r="O922" t="str">
        <f t="shared" si="119"/>
        <v>Neutral</v>
      </c>
      <c r="P922" t="str">
        <f t="shared" si="116"/>
        <v>Resolved</v>
      </c>
      <c r="Q922" s="2" t="str">
        <f t="shared" si="117"/>
        <v>Jun-2026</v>
      </c>
      <c r="R922" s="2">
        <f t="shared" si="118"/>
        <v>46174</v>
      </c>
    </row>
    <row r="923" spans="1:18">
      <c r="A923" t="s">
        <v>1874</v>
      </c>
      <c r="B923" s="2" t="s">
        <v>1875</v>
      </c>
      <c r="C923">
        <v>1712</v>
      </c>
      <c r="D923" t="s">
        <v>12</v>
      </c>
      <c r="E923" t="s">
        <v>13</v>
      </c>
      <c r="F923" t="s">
        <v>34</v>
      </c>
      <c r="G923">
        <v>10</v>
      </c>
      <c r="H923">
        <v>299</v>
      </c>
      <c r="I923" t="s">
        <v>15</v>
      </c>
      <c r="K923" s="1">
        <f t="shared" si="112"/>
        <v>46175</v>
      </c>
      <c r="L923" s="3">
        <f t="shared" si="113"/>
        <v>4.9833333333333334</v>
      </c>
      <c r="M923" s="3">
        <f t="shared" si="114"/>
        <v>0.16666666666666666</v>
      </c>
      <c r="N923" t="str">
        <f t="shared" si="115"/>
        <v>Within SLA</v>
      </c>
      <c r="O923" t="str">
        <f t="shared" si="119"/>
        <v>No Rating</v>
      </c>
      <c r="P923" t="str">
        <f t="shared" si="116"/>
        <v>Resolved</v>
      </c>
      <c r="Q923" s="2" t="str">
        <f t="shared" si="117"/>
        <v>Jun-2026</v>
      </c>
      <c r="R923" s="2">
        <f t="shared" si="118"/>
        <v>46174</v>
      </c>
    </row>
    <row r="924" spans="1:18">
      <c r="A924" t="s">
        <v>1876</v>
      </c>
      <c r="B924" s="2" t="s">
        <v>1877</v>
      </c>
      <c r="C924">
        <v>1795</v>
      </c>
      <c r="D924" t="s">
        <v>26</v>
      </c>
      <c r="E924" t="s">
        <v>27</v>
      </c>
      <c r="F924" t="s">
        <v>23</v>
      </c>
      <c r="G924">
        <v>101</v>
      </c>
      <c r="I924" t="s">
        <v>44</v>
      </c>
      <c r="K924" s="1">
        <f t="shared" si="112"/>
        <v>46175</v>
      </c>
      <c r="L924" s="3" t="str">
        <f t="shared" si="113"/>
        <v/>
      </c>
      <c r="M924" s="3">
        <f t="shared" si="114"/>
        <v>1.6833333333333333</v>
      </c>
      <c r="N924" t="str">
        <f t="shared" si="115"/>
        <v>Open</v>
      </c>
      <c r="O924" t="str">
        <f t="shared" si="119"/>
        <v>No Rating</v>
      </c>
      <c r="P924" t="str">
        <f t="shared" si="116"/>
        <v>Unresolved</v>
      </c>
      <c r="Q924" s="2" t="str">
        <f t="shared" si="117"/>
        <v>Jun-2026</v>
      </c>
      <c r="R924" s="2">
        <f t="shared" si="118"/>
        <v>46174</v>
      </c>
    </row>
    <row r="925" spans="1:18">
      <c r="A925" t="s">
        <v>1878</v>
      </c>
      <c r="B925" s="2" t="s">
        <v>1879</v>
      </c>
      <c r="C925">
        <v>1590</v>
      </c>
      <c r="D925" t="s">
        <v>32</v>
      </c>
      <c r="E925" t="s">
        <v>27</v>
      </c>
      <c r="F925" t="s">
        <v>59</v>
      </c>
      <c r="G925">
        <v>90</v>
      </c>
      <c r="I925" t="s">
        <v>29</v>
      </c>
      <c r="K925" s="1">
        <f t="shared" si="112"/>
        <v>46175</v>
      </c>
      <c r="L925" s="3" t="str">
        <f t="shared" si="113"/>
        <v/>
      </c>
      <c r="M925" s="3">
        <f t="shared" si="114"/>
        <v>1.5</v>
      </c>
      <c r="N925" t="str">
        <f t="shared" si="115"/>
        <v>Open</v>
      </c>
      <c r="O925" t="str">
        <f t="shared" si="119"/>
        <v>No Rating</v>
      </c>
      <c r="P925" t="str">
        <f t="shared" si="116"/>
        <v>Unresolved</v>
      </c>
      <c r="Q925" s="2" t="str">
        <f t="shared" si="117"/>
        <v>Jun-2026</v>
      </c>
      <c r="R925" s="2">
        <f t="shared" si="118"/>
        <v>46174</v>
      </c>
    </row>
    <row r="926" spans="1:18">
      <c r="A926" t="s">
        <v>1880</v>
      </c>
      <c r="B926" s="2" t="s">
        <v>1881</v>
      </c>
      <c r="C926">
        <v>1860</v>
      </c>
      <c r="D926" t="s">
        <v>18</v>
      </c>
      <c r="E926" t="s">
        <v>33</v>
      </c>
      <c r="F926" t="s">
        <v>59</v>
      </c>
      <c r="G926">
        <v>251</v>
      </c>
      <c r="H926">
        <v>7702</v>
      </c>
      <c r="I926" t="s">
        <v>20</v>
      </c>
      <c r="K926" s="1">
        <f t="shared" si="112"/>
        <v>46176</v>
      </c>
      <c r="L926" s="3">
        <f t="shared" si="113"/>
        <v>128.36666666666667</v>
      </c>
      <c r="M926" s="3">
        <f t="shared" si="114"/>
        <v>4.1833333333333336</v>
      </c>
      <c r="N926" t="str">
        <f t="shared" si="115"/>
        <v>Breached</v>
      </c>
      <c r="O926" t="str">
        <f t="shared" si="119"/>
        <v>No Rating</v>
      </c>
      <c r="P926" t="str">
        <f t="shared" si="116"/>
        <v>Resolved</v>
      </c>
      <c r="Q926" s="2" t="str">
        <f t="shared" si="117"/>
        <v>Jun-2026</v>
      </c>
      <c r="R926" s="2">
        <f t="shared" si="118"/>
        <v>46174</v>
      </c>
    </row>
    <row r="927" spans="1:18">
      <c r="A927" t="s">
        <v>1882</v>
      </c>
      <c r="B927" s="2" t="s">
        <v>1883</v>
      </c>
      <c r="C927">
        <v>1529</v>
      </c>
      <c r="D927" t="s">
        <v>47</v>
      </c>
      <c r="E927" t="s">
        <v>19</v>
      </c>
      <c r="F927" t="s">
        <v>34</v>
      </c>
      <c r="G927">
        <v>32</v>
      </c>
      <c r="H927">
        <v>1041</v>
      </c>
      <c r="I927" t="s">
        <v>15</v>
      </c>
      <c r="J927">
        <v>4</v>
      </c>
      <c r="K927" s="1">
        <f t="shared" si="112"/>
        <v>46176</v>
      </c>
      <c r="L927" s="3">
        <f t="shared" si="113"/>
        <v>17.350000000000001</v>
      </c>
      <c r="M927" s="3">
        <f t="shared" si="114"/>
        <v>0.53333333333333333</v>
      </c>
      <c r="N927" t="str">
        <f t="shared" si="115"/>
        <v>Within SLA</v>
      </c>
      <c r="O927" t="str">
        <f t="shared" si="119"/>
        <v>Satisfied</v>
      </c>
      <c r="P927" t="str">
        <f t="shared" si="116"/>
        <v>Resolved</v>
      </c>
      <c r="Q927" s="2" t="str">
        <f t="shared" si="117"/>
        <v>Jun-2026</v>
      </c>
      <c r="R927" s="2">
        <f t="shared" si="118"/>
        <v>46174</v>
      </c>
    </row>
    <row r="928" spans="1:18">
      <c r="A928" t="s">
        <v>1884</v>
      </c>
      <c r="B928" s="2" t="s">
        <v>1885</v>
      </c>
      <c r="C928">
        <v>1112</v>
      </c>
      <c r="D928" t="s">
        <v>32</v>
      </c>
      <c r="E928" t="s">
        <v>19</v>
      </c>
      <c r="F928" t="s">
        <v>28</v>
      </c>
      <c r="G928">
        <v>10</v>
      </c>
      <c r="I928" t="s">
        <v>44</v>
      </c>
      <c r="K928" s="1">
        <f t="shared" si="112"/>
        <v>46176</v>
      </c>
      <c r="L928" s="3" t="str">
        <f t="shared" si="113"/>
        <v/>
      </c>
      <c r="M928" s="3">
        <f t="shared" si="114"/>
        <v>0.16666666666666666</v>
      </c>
      <c r="N928" t="str">
        <f t="shared" si="115"/>
        <v>Open</v>
      </c>
      <c r="O928" t="str">
        <f t="shared" si="119"/>
        <v>No Rating</v>
      </c>
      <c r="P928" t="str">
        <f t="shared" si="116"/>
        <v>Unresolved</v>
      </c>
      <c r="Q928" s="2" t="str">
        <f t="shared" si="117"/>
        <v>Jun-2026</v>
      </c>
      <c r="R928" s="2">
        <f t="shared" si="118"/>
        <v>46174</v>
      </c>
    </row>
    <row r="929" spans="1:18">
      <c r="A929" t="s">
        <v>1886</v>
      </c>
      <c r="B929" s="2" t="s">
        <v>1887</v>
      </c>
      <c r="C929">
        <v>1316</v>
      </c>
      <c r="D929" t="s">
        <v>18</v>
      </c>
      <c r="E929" t="s">
        <v>27</v>
      </c>
      <c r="F929" t="s">
        <v>43</v>
      </c>
      <c r="G929">
        <v>116</v>
      </c>
      <c r="H929">
        <v>2210</v>
      </c>
      <c r="I929" t="s">
        <v>15</v>
      </c>
      <c r="K929" s="1">
        <f t="shared" si="112"/>
        <v>46177</v>
      </c>
      <c r="L929" s="3">
        <f t="shared" si="113"/>
        <v>36.833333333333336</v>
      </c>
      <c r="M929" s="3">
        <f t="shared" si="114"/>
        <v>1.9333333333333333</v>
      </c>
      <c r="N929" t="str">
        <f t="shared" si="115"/>
        <v>Within SLA</v>
      </c>
      <c r="O929" t="str">
        <f t="shared" si="119"/>
        <v>No Rating</v>
      </c>
      <c r="P929" t="str">
        <f t="shared" si="116"/>
        <v>Resolved</v>
      </c>
      <c r="Q929" s="2" t="str">
        <f t="shared" si="117"/>
        <v>Jun-2026</v>
      </c>
      <c r="R929" s="2">
        <f t="shared" si="118"/>
        <v>46174</v>
      </c>
    </row>
    <row r="930" spans="1:18">
      <c r="A930" t="s">
        <v>1888</v>
      </c>
      <c r="B930" s="2" t="s">
        <v>1889</v>
      </c>
      <c r="C930">
        <v>1983</v>
      </c>
      <c r="D930" t="s">
        <v>47</v>
      </c>
      <c r="E930" t="s">
        <v>13</v>
      </c>
      <c r="F930" t="s">
        <v>64</v>
      </c>
      <c r="G930">
        <v>7</v>
      </c>
      <c r="H930">
        <v>182</v>
      </c>
      <c r="I930" t="s">
        <v>20</v>
      </c>
      <c r="K930" s="1">
        <f t="shared" si="112"/>
        <v>46177</v>
      </c>
      <c r="L930" s="3">
        <f t="shared" si="113"/>
        <v>3.0333333333333332</v>
      </c>
      <c r="M930" s="3">
        <f t="shared" si="114"/>
        <v>0.11666666666666667</v>
      </c>
      <c r="N930" t="str">
        <f t="shared" si="115"/>
        <v>Within SLA</v>
      </c>
      <c r="O930" t="str">
        <f t="shared" si="119"/>
        <v>No Rating</v>
      </c>
      <c r="P930" t="str">
        <f t="shared" si="116"/>
        <v>Resolved</v>
      </c>
      <c r="Q930" s="2" t="str">
        <f t="shared" si="117"/>
        <v>Jun-2026</v>
      </c>
      <c r="R930" s="2">
        <f t="shared" si="118"/>
        <v>46174</v>
      </c>
    </row>
    <row r="931" spans="1:18">
      <c r="A931" t="s">
        <v>1890</v>
      </c>
      <c r="B931" s="2" t="s">
        <v>1891</v>
      </c>
      <c r="C931">
        <v>1625</v>
      </c>
      <c r="D931" t="s">
        <v>32</v>
      </c>
      <c r="E931" t="s">
        <v>27</v>
      </c>
      <c r="F931" t="s">
        <v>23</v>
      </c>
      <c r="G931">
        <v>37</v>
      </c>
      <c r="I931" t="s">
        <v>29</v>
      </c>
      <c r="K931" s="1">
        <f t="shared" si="112"/>
        <v>46178</v>
      </c>
      <c r="L931" s="3" t="str">
        <f t="shared" si="113"/>
        <v/>
      </c>
      <c r="M931" s="3">
        <f t="shared" si="114"/>
        <v>0.6166666666666667</v>
      </c>
      <c r="N931" t="str">
        <f t="shared" si="115"/>
        <v>Open</v>
      </c>
      <c r="O931" t="str">
        <f t="shared" si="119"/>
        <v>No Rating</v>
      </c>
      <c r="P931" t="str">
        <f t="shared" si="116"/>
        <v>Unresolved</v>
      </c>
      <c r="Q931" s="2" t="str">
        <f t="shared" si="117"/>
        <v>Jun-2026</v>
      </c>
      <c r="R931" s="2">
        <f t="shared" si="118"/>
        <v>46174</v>
      </c>
    </row>
    <row r="932" spans="1:18">
      <c r="A932" t="s">
        <v>1892</v>
      </c>
      <c r="B932" s="2" t="s">
        <v>1893</v>
      </c>
      <c r="C932">
        <v>1625</v>
      </c>
      <c r="D932" t="s">
        <v>32</v>
      </c>
      <c r="E932" t="s">
        <v>13</v>
      </c>
      <c r="F932" t="s">
        <v>28</v>
      </c>
      <c r="G932">
        <v>7</v>
      </c>
      <c r="H932">
        <v>140</v>
      </c>
      <c r="I932" t="s">
        <v>15</v>
      </c>
      <c r="J932">
        <v>3</v>
      </c>
      <c r="K932" s="1">
        <f t="shared" si="112"/>
        <v>46178</v>
      </c>
      <c r="L932" s="3">
        <f t="shared" si="113"/>
        <v>2.3333333333333335</v>
      </c>
      <c r="M932" s="3">
        <f t="shared" si="114"/>
        <v>0.11666666666666667</v>
      </c>
      <c r="N932" t="str">
        <f t="shared" si="115"/>
        <v>Within SLA</v>
      </c>
      <c r="O932" t="str">
        <f t="shared" si="119"/>
        <v>Neutral</v>
      </c>
      <c r="P932" t="str">
        <f t="shared" si="116"/>
        <v>Resolved</v>
      </c>
      <c r="Q932" s="2" t="str">
        <f t="shared" si="117"/>
        <v>Jun-2026</v>
      </c>
      <c r="R932" s="2">
        <f t="shared" si="118"/>
        <v>46174</v>
      </c>
    </row>
    <row r="933" spans="1:18">
      <c r="A933" t="s">
        <v>1894</v>
      </c>
      <c r="B933" s="2" t="s">
        <v>1895</v>
      </c>
      <c r="C933">
        <v>1149</v>
      </c>
      <c r="D933" t="s">
        <v>18</v>
      </c>
      <c r="E933" t="s">
        <v>33</v>
      </c>
      <c r="F933" t="s">
        <v>28</v>
      </c>
      <c r="G933">
        <v>238</v>
      </c>
      <c r="H933">
        <v>1619</v>
      </c>
      <c r="I933" t="s">
        <v>20</v>
      </c>
      <c r="J933">
        <v>4</v>
      </c>
      <c r="K933" s="1">
        <f t="shared" si="112"/>
        <v>46178</v>
      </c>
      <c r="L933" s="3">
        <f t="shared" si="113"/>
        <v>26.983333333333334</v>
      </c>
      <c r="M933" s="3">
        <f t="shared" si="114"/>
        <v>3.9666666666666668</v>
      </c>
      <c r="N933" t="str">
        <f t="shared" si="115"/>
        <v>Within SLA</v>
      </c>
      <c r="O933" t="str">
        <f t="shared" si="119"/>
        <v>Satisfied</v>
      </c>
      <c r="P933" t="str">
        <f t="shared" si="116"/>
        <v>Resolved</v>
      </c>
      <c r="Q933" s="2" t="str">
        <f t="shared" si="117"/>
        <v>Jun-2026</v>
      </c>
      <c r="R933" s="2">
        <f t="shared" si="118"/>
        <v>46174</v>
      </c>
    </row>
    <row r="934" spans="1:18">
      <c r="A934" t="s">
        <v>1896</v>
      </c>
      <c r="B934" s="2" t="s">
        <v>1897</v>
      </c>
      <c r="C934">
        <v>1792</v>
      </c>
      <c r="D934" t="s">
        <v>32</v>
      </c>
      <c r="E934" t="s">
        <v>27</v>
      </c>
      <c r="F934" t="s">
        <v>59</v>
      </c>
      <c r="G934">
        <v>84</v>
      </c>
      <c r="H934">
        <v>3021</v>
      </c>
      <c r="I934" t="s">
        <v>15</v>
      </c>
      <c r="J934">
        <v>4</v>
      </c>
      <c r="K934" s="1">
        <f t="shared" si="112"/>
        <v>46179</v>
      </c>
      <c r="L934" s="3">
        <f t="shared" si="113"/>
        <v>50.35</v>
      </c>
      <c r="M934" s="3">
        <f t="shared" si="114"/>
        <v>1.4</v>
      </c>
      <c r="N934" t="str">
        <f t="shared" si="115"/>
        <v>Breached</v>
      </c>
      <c r="O934" t="str">
        <f t="shared" si="119"/>
        <v>Satisfied</v>
      </c>
      <c r="P934" t="str">
        <f t="shared" si="116"/>
        <v>Resolved</v>
      </c>
      <c r="Q934" s="2" t="str">
        <f t="shared" si="117"/>
        <v>Jun-2026</v>
      </c>
      <c r="R934" s="2">
        <f t="shared" si="118"/>
        <v>46174</v>
      </c>
    </row>
    <row r="935" spans="1:18">
      <c r="A935" t="s">
        <v>1898</v>
      </c>
      <c r="B935" s="2" t="s">
        <v>1899</v>
      </c>
      <c r="C935">
        <v>1523</v>
      </c>
      <c r="D935" t="s">
        <v>12</v>
      </c>
      <c r="E935" t="s">
        <v>19</v>
      </c>
      <c r="F935" t="s">
        <v>14</v>
      </c>
      <c r="G935">
        <v>19</v>
      </c>
      <c r="H935">
        <v>472</v>
      </c>
      <c r="I935" t="s">
        <v>15</v>
      </c>
      <c r="J935">
        <v>5</v>
      </c>
      <c r="K935" s="1">
        <f t="shared" si="112"/>
        <v>46179</v>
      </c>
      <c r="L935" s="3">
        <f t="shared" si="113"/>
        <v>7.8666666666666663</v>
      </c>
      <c r="M935" s="3">
        <f t="shared" si="114"/>
        <v>0.31666666666666665</v>
      </c>
      <c r="N935" t="str">
        <f t="shared" si="115"/>
        <v>Within SLA</v>
      </c>
      <c r="O935" t="str">
        <f t="shared" si="119"/>
        <v>Satisfied</v>
      </c>
      <c r="P935" t="str">
        <f t="shared" si="116"/>
        <v>Resolved</v>
      </c>
      <c r="Q935" s="2" t="str">
        <f t="shared" si="117"/>
        <v>Jun-2026</v>
      </c>
      <c r="R935" s="2">
        <f t="shared" si="118"/>
        <v>46174</v>
      </c>
    </row>
    <row r="936" spans="1:18">
      <c r="A936" t="s">
        <v>1900</v>
      </c>
      <c r="B936" s="2" t="s">
        <v>1901</v>
      </c>
      <c r="C936">
        <v>1211</v>
      </c>
      <c r="D936" t="s">
        <v>47</v>
      </c>
      <c r="E936" t="s">
        <v>27</v>
      </c>
      <c r="F936" t="s">
        <v>14</v>
      </c>
      <c r="G936">
        <v>105</v>
      </c>
      <c r="H936">
        <v>3434</v>
      </c>
      <c r="I936" t="s">
        <v>15</v>
      </c>
      <c r="J936">
        <v>1</v>
      </c>
      <c r="K936" s="1">
        <f t="shared" si="112"/>
        <v>46179</v>
      </c>
      <c r="L936" s="3">
        <f t="shared" si="113"/>
        <v>57.233333333333334</v>
      </c>
      <c r="M936" s="3">
        <f t="shared" si="114"/>
        <v>1.75</v>
      </c>
      <c r="N936" t="str">
        <f t="shared" si="115"/>
        <v>Breached</v>
      </c>
      <c r="O936" t="str">
        <f t="shared" si="119"/>
        <v>Dissatisfied</v>
      </c>
      <c r="P936" t="str">
        <f t="shared" si="116"/>
        <v>Resolved</v>
      </c>
      <c r="Q936" s="2" t="str">
        <f t="shared" si="117"/>
        <v>Jun-2026</v>
      </c>
      <c r="R936" s="2">
        <f t="shared" si="118"/>
        <v>46174</v>
      </c>
    </row>
    <row r="937" spans="1:18">
      <c r="A937" t="s">
        <v>1902</v>
      </c>
      <c r="B937" s="2" t="s">
        <v>1903</v>
      </c>
      <c r="C937">
        <v>1964</v>
      </c>
      <c r="D937" t="s">
        <v>26</v>
      </c>
      <c r="E937" t="s">
        <v>27</v>
      </c>
      <c r="F937" t="s">
        <v>59</v>
      </c>
      <c r="G937">
        <v>133</v>
      </c>
      <c r="H937">
        <v>3498</v>
      </c>
      <c r="I937" t="s">
        <v>20</v>
      </c>
      <c r="J937">
        <v>5</v>
      </c>
      <c r="K937" s="1">
        <f t="shared" si="112"/>
        <v>46180</v>
      </c>
      <c r="L937" s="3">
        <f t="shared" si="113"/>
        <v>58.3</v>
      </c>
      <c r="M937" s="3">
        <f t="shared" si="114"/>
        <v>2.2166666666666668</v>
      </c>
      <c r="N937" t="str">
        <f t="shared" si="115"/>
        <v>Breached</v>
      </c>
      <c r="O937" t="str">
        <f t="shared" si="119"/>
        <v>Satisfied</v>
      </c>
      <c r="P937" t="str">
        <f t="shared" si="116"/>
        <v>Resolved</v>
      </c>
      <c r="Q937" s="2" t="str">
        <f t="shared" si="117"/>
        <v>Jun-2026</v>
      </c>
      <c r="R937" s="2">
        <f t="shared" si="118"/>
        <v>46174</v>
      </c>
    </row>
    <row r="938" spans="1:18">
      <c r="A938" t="s">
        <v>1904</v>
      </c>
      <c r="B938" s="2" t="s">
        <v>1905</v>
      </c>
      <c r="C938">
        <v>1996</v>
      </c>
      <c r="D938" t="s">
        <v>47</v>
      </c>
      <c r="E938" t="s">
        <v>27</v>
      </c>
      <c r="F938" t="s">
        <v>64</v>
      </c>
      <c r="G938">
        <v>175</v>
      </c>
      <c r="H938">
        <v>904</v>
      </c>
      <c r="I938" t="s">
        <v>20</v>
      </c>
      <c r="J938">
        <v>3</v>
      </c>
      <c r="K938" s="1">
        <f t="shared" si="112"/>
        <v>46180</v>
      </c>
      <c r="L938" s="3">
        <f t="shared" si="113"/>
        <v>15.066666666666666</v>
      </c>
      <c r="M938" s="3">
        <f t="shared" si="114"/>
        <v>2.9166666666666665</v>
      </c>
      <c r="N938" t="str">
        <f t="shared" si="115"/>
        <v>Within SLA</v>
      </c>
      <c r="O938" t="str">
        <f t="shared" si="119"/>
        <v>Neutral</v>
      </c>
      <c r="P938" t="str">
        <f t="shared" si="116"/>
        <v>Resolved</v>
      </c>
      <c r="Q938" s="2" t="str">
        <f t="shared" si="117"/>
        <v>Jun-2026</v>
      </c>
      <c r="R938" s="2">
        <f t="shared" si="118"/>
        <v>46174</v>
      </c>
    </row>
    <row r="939" spans="1:18">
      <c r="A939" t="s">
        <v>1906</v>
      </c>
      <c r="B939" s="2" t="s">
        <v>1907</v>
      </c>
      <c r="C939">
        <v>1919</v>
      </c>
      <c r="D939" t="s">
        <v>26</v>
      </c>
      <c r="E939" t="s">
        <v>13</v>
      </c>
      <c r="F939" t="s">
        <v>43</v>
      </c>
      <c r="G939">
        <v>6</v>
      </c>
      <c r="I939" t="s">
        <v>29</v>
      </c>
      <c r="K939" s="1">
        <f t="shared" si="112"/>
        <v>46181</v>
      </c>
      <c r="L939" s="3" t="str">
        <f t="shared" si="113"/>
        <v/>
      </c>
      <c r="M939" s="3">
        <f t="shared" si="114"/>
        <v>0.1</v>
      </c>
      <c r="N939" t="str">
        <f t="shared" si="115"/>
        <v>Open</v>
      </c>
      <c r="O939" t="str">
        <f t="shared" si="119"/>
        <v>No Rating</v>
      </c>
      <c r="P939" t="str">
        <f t="shared" si="116"/>
        <v>Unresolved</v>
      </c>
      <c r="Q939" s="2" t="str">
        <f t="shared" si="117"/>
        <v>Jun-2026</v>
      </c>
      <c r="R939" s="2">
        <f t="shared" si="118"/>
        <v>46174</v>
      </c>
    </row>
    <row r="940" spans="1:18">
      <c r="A940" t="s">
        <v>1908</v>
      </c>
      <c r="B940" s="2" t="s">
        <v>1909</v>
      </c>
      <c r="C940">
        <v>1116</v>
      </c>
      <c r="D940" t="s">
        <v>32</v>
      </c>
      <c r="E940" t="s">
        <v>27</v>
      </c>
      <c r="F940" t="s">
        <v>28</v>
      </c>
      <c r="G940">
        <v>75</v>
      </c>
      <c r="H940">
        <v>804</v>
      </c>
      <c r="I940" t="s">
        <v>15</v>
      </c>
      <c r="J940">
        <v>5</v>
      </c>
      <c r="K940" s="1">
        <f t="shared" si="112"/>
        <v>46181</v>
      </c>
      <c r="L940" s="3">
        <f t="shared" si="113"/>
        <v>13.4</v>
      </c>
      <c r="M940" s="3">
        <f t="shared" si="114"/>
        <v>1.25</v>
      </c>
      <c r="N940" t="str">
        <f t="shared" si="115"/>
        <v>Within SLA</v>
      </c>
      <c r="O940" t="str">
        <f t="shared" si="119"/>
        <v>Satisfied</v>
      </c>
      <c r="P940" t="str">
        <f t="shared" si="116"/>
        <v>Resolved</v>
      </c>
      <c r="Q940" s="2" t="str">
        <f t="shared" si="117"/>
        <v>Jun-2026</v>
      </c>
      <c r="R940" s="2">
        <f t="shared" si="118"/>
        <v>46174</v>
      </c>
    </row>
    <row r="941" spans="1:18">
      <c r="A941" t="s">
        <v>1910</v>
      </c>
      <c r="B941" s="2" t="s">
        <v>1911</v>
      </c>
      <c r="C941">
        <v>1079</v>
      </c>
      <c r="D941" t="s">
        <v>47</v>
      </c>
      <c r="E941" t="s">
        <v>19</v>
      </c>
      <c r="F941" t="s">
        <v>71</v>
      </c>
      <c r="G941">
        <v>10</v>
      </c>
      <c r="H941">
        <v>1076</v>
      </c>
      <c r="I941" t="s">
        <v>15</v>
      </c>
      <c r="J941">
        <v>5</v>
      </c>
      <c r="K941" s="1">
        <f t="shared" si="112"/>
        <v>46181</v>
      </c>
      <c r="L941" s="3">
        <f t="shared" si="113"/>
        <v>17.933333333333334</v>
      </c>
      <c r="M941" s="3">
        <f t="shared" si="114"/>
        <v>0.16666666666666666</v>
      </c>
      <c r="N941" t="str">
        <f t="shared" si="115"/>
        <v>Within SLA</v>
      </c>
      <c r="O941" t="str">
        <f t="shared" si="119"/>
        <v>Satisfied</v>
      </c>
      <c r="P941" t="str">
        <f t="shared" si="116"/>
        <v>Resolved</v>
      </c>
      <c r="Q941" s="2" t="str">
        <f t="shared" si="117"/>
        <v>Jun-2026</v>
      </c>
      <c r="R941" s="2">
        <f t="shared" si="118"/>
        <v>46174</v>
      </c>
    </row>
    <row r="942" spans="1:18">
      <c r="A942" t="s">
        <v>1912</v>
      </c>
      <c r="B942" s="2" t="s">
        <v>1913</v>
      </c>
      <c r="C942">
        <v>1131</v>
      </c>
      <c r="D942" t="s">
        <v>18</v>
      </c>
      <c r="E942" t="s">
        <v>27</v>
      </c>
      <c r="F942" t="s">
        <v>28</v>
      </c>
      <c r="G942">
        <v>32</v>
      </c>
      <c r="I942" t="s">
        <v>44</v>
      </c>
      <c r="K942" s="1">
        <f t="shared" si="112"/>
        <v>46182</v>
      </c>
      <c r="L942" s="3" t="str">
        <f t="shared" si="113"/>
        <v/>
      </c>
      <c r="M942" s="3">
        <f t="shared" si="114"/>
        <v>0.53333333333333333</v>
      </c>
      <c r="N942" t="str">
        <f t="shared" si="115"/>
        <v>Open</v>
      </c>
      <c r="O942" t="str">
        <f t="shared" si="119"/>
        <v>No Rating</v>
      </c>
      <c r="P942" t="str">
        <f t="shared" si="116"/>
        <v>Unresolved</v>
      </c>
      <c r="Q942" s="2" t="str">
        <f t="shared" si="117"/>
        <v>Jun-2026</v>
      </c>
      <c r="R942" s="2">
        <f t="shared" si="118"/>
        <v>46174</v>
      </c>
    </row>
    <row r="943" spans="1:18">
      <c r="A943" t="s">
        <v>1914</v>
      </c>
      <c r="B943" s="2" t="s">
        <v>1915</v>
      </c>
      <c r="C943">
        <v>1709</v>
      </c>
      <c r="D943" t="s">
        <v>32</v>
      </c>
      <c r="E943" t="s">
        <v>13</v>
      </c>
      <c r="F943" t="s">
        <v>28</v>
      </c>
      <c r="G943">
        <v>10</v>
      </c>
      <c r="H943">
        <v>394</v>
      </c>
      <c r="I943" t="s">
        <v>20</v>
      </c>
      <c r="J943">
        <v>5</v>
      </c>
      <c r="K943" s="1">
        <f t="shared" si="112"/>
        <v>46182</v>
      </c>
      <c r="L943" s="3">
        <f t="shared" si="113"/>
        <v>6.5666666666666664</v>
      </c>
      <c r="M943" s="3">
        <f t="shared" si="114"/>
        <v>0.16666666666666666</v>
      </c>
      <c r="N943" t="str">
        <f t="shared" si="115"/>
        <v>Within SLA</v>
      </c>
      <c r="O943" t="str">
        <f t="shared" si="119"/>
        <v>Satisfied</v>
      </c>
      <c r="P943" t="str">
        <f t="shared" si="116"/>
        <v>Resolved</v>
      </c>
      <c r="Q943" s="2" t="str">
        <f t="shared" si="117"/>
        <v>Jun-2026</v>
      </c>
      <c r="R943" s="2">
        <f t="shared" si="118"/>
        <v>46174</v>
      </c>
    </row>
    <row r="944" spans="1:18">
      <c r="A944" t="s">
        <v>1916</v>
      </c>
      <c r="B944" s="2" t="s">
        <v>1917</v>
      </c>
      <c r="C944">
        <v>1164</v>
      </c>
      <c r="D944" t="s">
        <v>32</v>
      </c>
      <c r="E944" t="s">
        <v>19</v>
      </c>
      <c r="F944" t="s">
        <v>71</v>
      </c>
      <c r="G944">
        <v>21</v>
      </c>
      <c r="H944">
        <v>1192</v>
      </c>
      <c r="I944" t="s">
        <v>15</v>
      </c>
      <c r="J944">
        <v>1</v>
      </c>
      <c r="K944" s="1">
        <f t="shared" si="112"/>
        <v>46182</v>
      </c>
      <c r="L944" s="3">
        <f t="shared" si="113"/>
        <v>19.866666666666667</v>
      </c>
      <c r="M944" s="3">
        <f t="shared" si="114"/>
        <v>0.35</v>
      </c>
      <c r="N944" t="str">
        <f t="shared" si="115"/>
        <v>Within SLA</v>
      </c>
      <c r="O944" t="str">
        <f t="shared" si="119"/>
        <v>Dissatisfied</v>
      </c>
      <c r="P944" t="str">
        <f t="shared" si="116"/>
        <v>Resolved</v>
      </c>
      <c r="Q944" s="2" t="str">
        <f t="shared" si="117"/>
        <v>Jun-2026</v>
      </c>
      <c r="R944" s="2">
        <f t="shared" si="118"/>
        <v>46174</v>
      </c>
    </row>
    <row r="945" spans="1:18">
      <c r="A945" t="s">
        <v>1918</v>
      </c>
      <c r="B945" s="2" t="s">
        <v>1919</v>
      </c>
      <c r="C945">
        <v>1483</v>
      </c>
      <c r="D945" t="s">
        <v>26</v>
      </c>
      <c r="E945" t="s">
        <v>13</v>
      </c>
      <c r="F945" t="s">
        <v>23</v>
      </c>
      <c r="G945">
        <v>2</v>
      </c>
      <c r="H945">
        <v>144</v>
      </c>
      <c r="I945" t="s">
        <v>20</v>
      </c>
      <c r="J945">
        <v>4</v>
      </c>
      <c r="K945" s="1">
        <f t="shared" si="112"/>
        <v>46183</v>
      </c>
      <c r="L945" s="3">
        <f t="shared" si="113"/>
        <v>2.4</v>
      </c>
      <c r="M945" s="3">
        <f t="shared" si="114"/>
        <v>3.3333333333333333E-2</v>
      </c>
      <c r="N945" t="str">
        <f t="shared" si="115"/>
        <v>Within SLA</v>
      </c>
      <c r="O945" t="str">
        <f t="shared" si="119"/>
        <v>Satisfied</v>
      </c>
      <c r="P945" t="str">
        <f t="shared" si="116"/>
        <v>Resolved</v>
      </c>
      <c r="Q945" s="2" t="str">
        <f t="shared" si="117"/>
        <v>Jun-2026</v>
      </c>
      <c r="R945" s="2">
        <f t="shared" si="118"/>
        <v>46174</v>
      </c>
    </row>
    <row r="946" spans="1:18">
      <c r="A946" t="s">
        <v>1920</v>
      </c>
      <c r="B946" s="2" t="s">
        <v>1921</v>
      </c>
      <c r="C946">
        <v>1298</v>
      </c>
      <c r="D946" t="s">
        <v>18</v>
      </c>
      <c r="E946" t="s">
        <v>27</v>
      </c>
      <c r="F946" t="s">
        <v>14</v>
      </c>
      <c r="G946">
        <v>157</v>
      </c>
      <c r="H946">
        <v>1055</v>
      </c>
      <c r="I946" t="s">
        <v>15</v>
      </c>
      <c r="J946">
        <v>1</v>
      </c>
      <c r="K946" s="1">
        <f t="shared" si="112"/>
        <v>46183</v>
      </c>
      <c r="L946" s="3">
        <f t="shared" si="113"/>
        <v>17.583333333333332</v>
      </c>
      <c r="M946" s="3">
        <f t="shared" si="114"/>
        <v>2.6166666666666667</v>
      </c>
      <c r="N946" t="str">
        <f t="shared" si="115"/>
        <v>Within SLA</v>
      </c>
      <c r="O946" t="str">
        <f t="shared" si="119"/>
        <v>Dissatisfied</v>
      </c>
      <c r="P946" t="str">
        <f t="shared" si="116"/>
        <v>Resolved</v>
      </c>
      <c r="Q946" s="2" t="str">
        <f t="shared" si="117"/>
        <v>Jun-2026</v>
      </c>
      <c r="R946" s="2">
        <f t="shared" si="118"/>
        <v>46174</v>
      </c>
    </row>
    <row r="947" spans="1:18">
      <c r="A947" t="s">
        <v>1922</v>
      </c>
      <c r="B947" s="2" t="s">
        <v>1923</v>
      </c>
      <c r="C947">
        <v>1253</v>
      </c>
      <c r="D947" t="s">
        <v>47</v>
      </c>
      <c r="E947" t="s">
        <v>33</v>
      </c>
      <c r="F947" t="s">
        <v>64</v>
      </c>
      <c r="G947">
        <v>76</v>
      </c>
      <c r="H947">
        <v>4957</v>
      </c>
      <c r="I947" t="s">
        <v>15</v>
      </c>
      <c r="K947" s="1">
        <f t="shared" si="112"/>
        <v>46183</v>
      </c>
      <c r="L947" s="3">
        <f t="shared" si="113"/>
        <v>82.61666666666666</v>
      </c>
      <c r="M947" s="3">
        <f t="shared" si="114"/>
        <v>1.2666666666666666</v>
      </c>
      <c r="N947" t="str">
        <f t="shared" si="115"/>
        <v>Breached</v>
      </c>
      <c r="O947" t="str">
        <f t="shared" si="119"/>
        <v>No Rating</v>
      </c>
      <c r="P947" t="str">
        <f t="shared" si="116"/>
        <v>Resolved</v>
      </c>
      <c r="Q947" s="2" t="str">
        <f t="shared" si="117"/>
        <v>Jun-2026</v>
      </c>
      <c r="R947" s="2">
        <f t="shared" si="118"/>
        <v>46174</v>
      </c>
    </row>
    <row r="948" spans="1:18">
      <c r="A948" t="s">
        <v>1924</v>
      </c>
      <c r="B948" s="2" t="s">
        <v>1925</v>
      </c>
      <c r="C948">
        <v>1623</v>
      </c>
      <c r="D948" t="s">
        <v>26</v>
      </c>
      <c r="E948" t="s">
        <v>13</v>
      </c>
      <c r="F948" t="s">
        <v>64</v>
      </c>
      <c r="G948">
        <v>2</v>
      </c>
      <c r="I948" t="s">
        <v>29</v>
      </c>
      <c r="K948" s="1">
        <f t="shared" si="112"/>
        <v>46184</v>
      </c>
      <c r="L948" s="3" t="str">
        <f t="shared" si="113"/>
        <v/>
      </c>
      <c r="M948" s="3">
        <f t="shared" si="114"/>
        <v>3.3333333333333333E-2</v>
      </c>
      <c r="N948" t="str">
        <f t="shared" si="115"/>
        <v>Open</v>
      </c>
      <c r="O948" t="str">
        <f t="shared" si="119"/>
        <v>No Rating</v>
      </c>
      <c r="P948" t="str">
        <f t="shared" si="116"/>
        <v>Unresolved</v>
      </c>
      <c r="Q948" s="2" t="str">
        <f t="shared" si="117"/>
        <v>Jun-2026</v>
      </c>
      <c r="R948" s="2">
        <f t="shared" si="118"/>
        <v>46174</v>
      </c>
    </row>
    <row r="949" spans="1:18">
      <c r="A949" t="s">
        <v>1926</v>
      </c>
      <c r="B949" s="2" t="s">
        <v>1927</v>
      </c>
      <c r="C949">
        <v>1918</v>
      </c>
      <c r="D949" t="s">
        <v>32</v>
      </c>
      <c r="E949" t="s">
        <v>33</v>
      </c>
      <c r="F949" t="s">
        <v>14</v>
      </c>
      <c r="G949">
        <v>264</v>
      </c>
      <c r="H949">
        <v>2466</v>
      </c>
      <c r="I949" t="s">
        <v>15</v>
      </c>
      <c r="J949">
        <v>5</v>
      </c>
      <c r="K949" s="1">
        <f t="shared" si="112"/>
        <v>46184</v>
      </c>
      <c r="L949" s="3">
        <f t="shared" si="113"/>
        <v>41.1</v>
      </c>
      <c r="M949" s="3">
        <f t="shared" si="114"/>
        <v>4.4000000000000004</v>
      </c>
      <c r="N949" t="str">
        <f t="shared" si="115"/>
        <v>Within SLA</v>
      </c>
      <c r="O949" t="str">
        <f t="shared" si="119"/>
        <v>Satisfied</v>
      </c>
      <c r="P949" t="str">
        <f t="shared" si="116"/>
        <v>Resolved</v>
      </c>
      <c r="Q949" s="2" t="str">
        <f t="shared" si="117"/>
        <v>Jun-2026</v>
      </c>
      <c r="R949" s="2">
        <f t="shared" si="118"/>
        <v>46174</v>
      </c>
    </row>
    <row r="950" spans="1:18">
      <c r="A950" t="s">
        <v>1928</v>
      </c>
      <c r="B950" s="2" t="s">
        <v>1929</v>
      </c>
      <c r="C950">
        <v>1543</v>
      </c>
      <c r="D950" t="s">
        <v>18</v>
      </c>
      <c r="E950" t="s">
        <v>33</v>
      </c>
      <c r="F950" t="s">
        <v>34</v>
      </c>
      <c r="G950">
        <v>292</v>
      </c>
      <c r="H950">
        <v>4062</v>
      </c>
      <c r="I950" t="s">
        <v>15</v>
      </c>
      <c r="K950" s="1">
        <f t="shared" si="112"/>
        <v>46185</v>
      </c>
      <c r="L950" s="3">
        <f t="shared" si="113"/>
        <v>67.7</v>
      </c>
      <c r="M950" s="3">
        <f t="shared" si="114"/>
        <v>4.8666666666666663</v>
      </c>
      <c r="N950" t="str">
        <f t="shared" si="115"/>
        <v>Within SLA</v>
      </c>
      <c r="O950" t="str">
        <f t="shared" si="119"/>
        <v>No Rating</v>
      </c>
      <c r="P950" t="str">
        <f t="shared" si="116"/>
        <v>Resolved</v>
      </c>
      <c r="Q950" s="2" t="str">
        <f t="shared" si="117"/>
        <v>Jun-2026</v>
      </c>
      <c r="R950" s="2">
        <f t="shared" si="118"/>
        <v>46174</v>
      </c>
    </row>
    <row r="951" spans="1:18">
      <c r="A951" t="s">
        <v>1930</v>
      </c>
      <c r="B951" s="2" t="s">
        <v>1931</v>
      </c>
      <c r="C951">
        <v>1400</v>
      </c>
      <c r="D951" t="s">
        <v>47</v>
      </c>
      <c r="E951" t="s">
        <v>27</v>
      </c>
      <c r="F951" t="s">
        <v>28</v>
      </c>
      <c r="G951">
        <v>91</v>
      </c>
      <c r="I951" t="s">
        <v>29</v>
      </c>
      <c r="K951" s="1">
        <f t="shared" si="112"/>
        <v>46185</v>
      </c>
      <c r="L951" s="3" t="str">
        <f t="shared" si="113"/>
        <v/>
      </c>
      <c r="M951" s="3">
        <f t="shared" si="114"/>
        <v>1.5166666666666666</v>
      </c>
      <c r="N951" t="str">
        <f t="shared" si="115"/>
        <v>Open</v>
      </c>
      <c r="O951" t="str">
        <f t="shared" si="119"/>
        <v>No Rating</v>
      </c>
      <c r="P951" t="str">
        <f t="shared" si="116"/>
        <v>Unresolved</v>
      </c>
      <c r="Q951" s="2" t="str">
        <f t="shared" si="117"/>
        <v>Jun-2026</v>
      </c>
      <c r="R951" s="2">
        <f t="shared" si="118"/>
        <v>46174</v>
      </c>
    </row>
    <row r="952" spans="1:18">
      <c r="A952" t="s">
        <v>1932</v>
      </c>
      <c r="B952" s="2" t="s">
        <v>1933</v>
      </c>
      <c r="C952">
        <v>1625</v>
      </c>
      <c r="D952" t="s">
        <v>12</v>
      </c>
      <c r="E952" t="s">
        <v>27</v>
      </c>
      <c r="F952" t="s">
        <v>34</v>
      </c>
      <c r="G952">
        <v>74</v>
      </c>
      <c r="I952" t="s">
        <v>29</v>
      </c>
      <c r="K952" s="1">
        <f t="shared" si="112"/>
        <v>46185</v>
      </c>
      <c r="L952" s="3" t="str">
        <f t="shared" si="113"/>
        <v/>
      </c>
      <c r="M952" s="3">
        <f t="shared" si="114"/>
        <v>1.2333333333333334</v>
      </c>
      <c r="N952" t="str">
        <f t="shared" si="115"/>
        <v>Open</v>
      </c>
      <c r="O952" t="str">
        <f t="shared" si="119"/>
        <v>No Rating</v>
      </c>
      <c r="P952" t="str">
        <f t="shared" si="116"/>
        <v>Unresolved</v>
      </c>
      <c r="Q952" s="2" t="str">
        <f t="shared" si="117"/>
        <v>Jun-2026</v>
      </c>
      <c r="R952" s="2">
        <f t="shared" si="118"/>
        <v>46174</v>
      </c>
    </row>
    <row r="953" spans="1:18">
      <c r="A953" t="s">
        <v>1934</v>
      </c>
      <c r="B953" s="2" t="s">
        <v>1935</v>
      </c>
      <c r="C953">
        <v>1609</v>
      </c>
      <c r="D953" t="s">
        <v>26</v>
      </c>
      <c r="E953" t="s">
        <v>27</v>
      </c>
      <c r="F953" t="s">
        <v>43</v>
      </c>
      <c r="G953">
        <v>91</v>
      </c>
      <c r="H953">
        <v>2358</v>
      </c>
      <c r="I953" t="s">
        <v>15</v>
      </c>
      <c r="J953">
        <v>2</v>
      </c>
      <c r="K953" s="1">
        <f t="shared" si="112"/>
        <v>46186</v>
      </c>
      <c r="L953" s="3">
        <f t="shared" si="113"/>
        <v>39.299999999999997</v>
      </c>
      <c r="M953" s="3">
        <f t="shared" si="114"/>
        <v>1.5166666666666666</v>
      </c>
      <c r="N953" t="str">
        <f t="shared" si="115"/>
        <v>Within SLA</v>
      </c>
      <c r="O953" t="str">
        <f t="shared" si="119"/>
        <v>Dissatisfied</v>
      </c>
      <c r="P953" t="str">
        <f t="shared" si="116"/>
        <v>Resolved</v>
      </c>
      <c r="Q953" s="2" t="str">
        <f t="shared" si="117"/>
        <v>Jun-2026</v>
      </c>
      <c r="R953" s="2">
        <f t="shared" si="118"/>
        <v>46174</v>
      </c>
    </row>
    <row r="954" spans="1:18">
      <c r="A954" t="s">
        <v>1936</v>
      </c>
      <c r="B954" s="2" t="s">
        <v>1937</v>
      </c>
      <c r="C954">
        <v>1493</v>
      </c>
      <c r="D954" t="s">
        <v>47</v>
      </c>
      <c r="E954" t="s">
        <v>19</v>
      </c>
      <c r="F954" t="s">
        <v>71</v>
      </c>
      <c r="G954">
        <v>14</v>
      </c>
      <c r="H954">
        <v>943</v>
      </c>
      <c r="I954" t="s">
        <v>15</v>
      </c>
      <c r="J954">
        <v>4</v>
      </c>
      <c r="K954" s="1">
        <f t="shared" si="112"/>
        <v>46186</v>
      </c>
      <c r="L954" s="3">
        <f t="shared" si="113"/>
        <v>15.716666666666667</v>
      </c>
      <c r="M954" s="3">
        <f t="shared" si="114"/>
        <v>0.23333333333333334</v>
      </c>
      <c r="N954" t="str">
        <f t="shared" si="115"/>
        <v>Within SLA</v>
      </c>
      <c r="O954" t="str">
        <f t="shared" si="119"/>
        <v>Satisfied</v>
      </c>
      <c r="P954" t="str">
        <f t="shared" si="116"/>
        <v>Resolved</v>
      </c>
      <c r="Q954" s="2" t="str">
        <f t="shared" si="117"/>
        <v>Jun-2026</v>
      </c>
      <c r="R954" s="2">
        <f t="shared" si="118"/>
        <v>46174</v>
      </c>
    </row>
    <row r="955" spans="1:18">
      <c r="A955" t="s">
        <v>1938</v>
      </c>
      <c r="B955" s="2" t="s">
        <v>1939</v>
      </c>
      <c r="C955">
        <v>1162</v>
      </c>
      <c r="D955" t="s">
        <v>32</v>
      </c>
      <c r="E955" t="s">
        <v>27</v>
      </c>
      <c r="F955" t="s">
        <v>23</v>
      </c>
      <c r="G955">
        <v>125</v>
      </c>
      <c r="H955">
        <v>2680</v>
      </c>
      <c r="I955" t="s">
        <v>15</v>
      </c>
      <c r="K955" s="1">
        <f t="shared" si="112"/>
        <v>46186</v>
      </c>
      <c r="L955" s="3">
        <f t="shared" si="113"/>
        <v>44.666666666666664</v>
      </c>
      <c r="M955" s="3">
        <f t="shared" si="114"/>
        <v>2.0833333333333335</v>
      </c>
      <c r="N955" t="str">
        <f t="shared" si="115"/>
        <v>Within SLA</v>
      </c>
      <c r="O955" t="str">
        <f t="shared" si="119"/>
        <v>No Rating</v>
      </c>
      <c r="P955" t="str">
        <f t="shared" si="116"/>
        <v>Resolved</v>
      </c>
      <c r="Q955" s="2" t="str">
        <f t="shared" si="117"/>
        <v>Jun-2026</v>
      </c>
      <c r="R955" s="2">
        <f t="shared" si="118"/>
        <v>46174</v>
      </c>
    </row>
    <row r="956" spans="1:18">
      <c r="A956" t="s">
        <v>1940</v>
      </c>
      <c r="B956" s="2" t="s">
        <v>1941</v>
      </c>
      <c r="C956">
        <v>1955</v>
      </c>
      <c r="D956" t="s">
        <v>18</v>
      </c>
      <c r="E956" t="s">
        <v>27</v>
      </c>
      <c r="F956" t="s">
        <v>28</v>
      </c>
      <c r="G956">
        <v>156</v>
      </c>
      <c r="H956">
        <v>3680</v>
      </c>
      <c r="I956" t="s">
        <v>15</v>
      </c>
      <c r="K956" s="1">
        <f t="shared" si="112"/>
        <v>46187</v>
      </c>
      <c r="L956" s="3">
        <f t="shared" si="113"/>
        <v>61.333333333333336</v>
      </c>
      <c r="M956" s="3">
        <f t="shared" si="114"/>
        <v>2.6</v>
      </c>
      <c r="N956" t="str">
        <f t="shared" si="115"/>
        <v>Breached</v>
      </c>
      <c r="O956" t="str">
        <f t="shared" si="119"/>
        <v>No Rating</v>
      </c>
      <c r="P956" t="str">
        <f t="shared" si="116"/>
        <v>Resolved</v>
      </c>
      <c r="Q956" s="2" t="str">
        <f t="shared" si="117"/>
        <v>Jun-2026</v>
      </c>
      <c r="R956" s="2">
        <f t="shared" si="118"/>
        <v>46174</v>
      </c>
    </row>
    <row r="957" spans="1:18">
      <c r="A957" t="s">
        <v>1942</v>
      </c>
      <c r="B957" s="2" t="s">
        <v>1943</v>
      </c>
      <c r="C957">
        <v>1506</v>
      </c>
      <c r="D957" t="s">
        <v>12</v>
      </c>
      <c r="E957" t="s">
        <v>27</v>
      </c>
      <c r="F957" t="s">
        <v>43</v>
      </c>
      <c r="G957">
        <v>59</v>
      </c>
      <c r="I957" t="s">
        <v>29</v>
      </c>
      <c r="K957" s="1">
        <f t="shared" si="112"/>
        <v>46187</v>
      </c>
      <c r="L957" s="3" t="str">
        <f t="shared" si="113"/>
        <v/>
      </c>
      <c r="M957" s="3">
        <f t="shared" si="114"/>
        <v>0.98333333333333328</v>
      </c>
      <c r="N957" t="str">
        <f t="shared" si="115"/>
        <v>Open</v>
      </c>
      <c r="O957" t="str">
        <f t="shared" si="119"/>
        <v>No Rating</v>
      </c>
      <c r="P957" t="str">
        <f t="shared" si="116"/>
        <v>Unresolved</v>
      </c>
      <c r="Q957" s="2" t="str">
        <f t="shared" si="117"/>
        <v>Jun-2026</v>
      </c>
      <c r="R957" s="2">
        <f t="shared" si="118"/>
        <v>46174</v>
      </c>
    </row>
    <row r="958" spans="1:18">
      <c r="A958" t="s">
        <v>1944</v>
      </c>
      <c r="B958" s="2" t="s">
        <v>1945</v>
      </c>
      <c r="C958">
        <v>1788</v>
      </c>
      <c r="D958" t="s">
        <v>32</v>
      </c>
      <c r="E958" t="s">
        <v>27</v>
      </c>
      <c r="F958" t="s">
        <v>34</v>
      </c>
      <c r="G958">
        <v>43</v>
      </c>
      <c r="H958">
        <v>2422</v>
      </c>
      <c r="I958" t="s">
        <v>15</v>
      </c>
      <c r="J958">
        <v>2</v>
      </c>
      <c r="K958" s="1">
        <f t="shared" si="112"/>
        <v>46187</v>
      </c>
      <c r="L958" s="3">
        <f t="shared" si="113"/>
        <v>40.366666666666667</v>
      </c>
      <c r="M958" s="3">
        <f t="shared" si="114"/>
        <v>0.71666666666666667</v>
      </c>
      <c r="N958" t="str">
        <f t="shared" si="115"/>
        <v>Within SLA</v>
      </c>
      <c r="O958" t="str">
        <f t="shared" si="119"/>
        <v>Dissatisfied</v>
      </c>
      <c r="P958" t="str">
        <f t="shared" si="116"/>
        <v>Resolved</v>
      </c>
      <c r="Q958" s="2" t="str">
        <f t="shared" si="117"/>
        <v>Jun-2026</v>
      </c>
      <c r="R958" s="2">
        <f t="shared" si="118"/>
        <v>46174</v>
      </c>
    </row>
    <row r="959" spans="1:18">
      <c r="A959" t="s">
        <v>1946</v>
      </c>
      <c r="B959" s="2" t="s">
        <v>1947</v>
      </c>
      <c r="C959">
        <v>1504</v>
      </c>
      <c r="D959" t="s">
        <v>32</v>
      </c>
      <c r="E959" t="s">
        <v>33</v>
      </c>
      <c r="F959" t="s">
        <v>54</v>
      </c>
      <c r="G959">
        <v>278</v>
      </c>
      <c r="H959">
        <v>2472</v>
      </c>
      <c r="I959" t="s">
        <v>15</v>
      </c>
      <c r="K959" s="1">
        <f t="shared" si="112"/>
        <v>46188</v>
      </c>
      <c r="L959" s="3">
        <f t="shared" si="113"/>
        <v>41.2</v>
      </c>
      <c r="M959" s="3">
        <f t="shared" si="114"/>
        <v>4.6333333333333337</v>
      </c>
      <c r="N959" t="str">
        <f t="shared" si="115"/>
        <v>Within SLA</v>
      </c>
      <c r="O959" t="str">
        <f t="shared" si="119"/>
        <v>No Rating</v>
      </c>
      <c r="P959" t="str">
        <f t="shared" si="116"/>
        <v>Resolved</v>
      </c>
      <c r="Q959" s="2" t="str">
        <f t="shared" si="117"/>
        <v>Jun-2026</v>
      </c>
      <c r="R959" s="2">
        <f t="shared" si="118"/>
        <v>46174</v>
      </c>
    </row>
    <row r="960" spans="1:18">
      <c r="A960" t="s">
        <v>1948</v>
      </c>
      <c r="B960" s="2" t="s">
        <v>1949</v>
      </c>
      <c r="C960">
        <v>1742</v>
      </c>
      <c r="D960" t="s">
        <v>47</v>
      </c>
      <c r="E960" t="s">
        <v>27</v>
      </c>
      <c r="F960" t="s">
        <v>43</v>
      </c>
      <c r="G960">
        <v>57</v>
      </c>
      <c r="H960">
        <v>2276</v>
      </c>
      <c r="I960" t="s">
        <v>15</v>
      </c>
      <c r="J960">
        <v>2</v>
      </c>
      <c r="K960" s="1">
        <f t="shared" si="112"/>
        <v>46188</v>
      </c>
      <c r="L960" s="3">
        <f t="shared" si="113"/>
        <v>37.93333333333333</v>
      </c>
      <c r="M960" s="3">
        <f t="shared" si="114"/>
        <v>0.95</v>
      </c>
      <c r="N960" t="str">
        <f t="shared" si="115"/>
        <v>Within SLA</v>
      </c>
      <c r="O960" t="str">
        <f t="shared" si="119"/>
        <v>Dissatisfied</v>
      </c>
      <c r="P960" t="str">
        <f t="shared" si="116"/>
        <v>Resolved</v>
      </c>
      <c r="Q960" s="2" t="str">
        <f t="shared" si="117"/>
        <v>Jun-2026</v>
      </c>
      <c r="R960" s="2">
        <f t="shared" si="118"/>
        <v>46174</v>
      </c>
    </row>
    <row r="961" spans="1:18">
      <c r="A961" t="s">
        <v>1950</v>
      </c>
      <c r="B961" s="2" t="s">
        <v>1951</v>
      </c>
      <c r="C961">
        <v>1265</v>
      </c>
      <c r="D961" t="s">
        <v>18</v>
      </c>
      <c r="E961" t="s">
        <v>33</v>
      </c>
      <c r="F961" t="s">
        <v>59</v>
      </c>
      <c r="G961">
        <v>458</v>
      </c>
      <c r="H961">
        <v>1838</v>
      </c>
      <c r="I961" t="s">
        <v>20</v>
      </c>
      <c r="J961">
        <v>1</v>
      </c>
      <c r="K961" s="1">
        <f t="shared" si="112"/>
        <v>46189</v>
      </c>
      <c r="L961" s="3">
        <f t="shared" si="113"/>
        <v>30.633333333333333</v>
      </c>
      <c r="M961" s="3">
        <f t="shared" si="114"/>
        <v>7.6333333333333337</v>
      </c>
      <c r="N961" t="str">
        <f t="shared" si="115"/>
        <v>Within SLA</v>
      </c>
      <c r="O961" t="str">
        <f t="shared" si="119"/>
        <v>Dissatisfied</v>
      </c>
      <c r="P961" t="str">
        <f t="shared" si="116"/>
        <v>Resolved</v>
      </c>
      <c r="Q961" s="2" t="str">
        <f t="shared" si="117"/>
        <v>Jun-2026</v>
      </c>
      <c r="R961" s="2">
        <f t="shared" si="118"/>
        <v>46174</v>
      </c>
    </row>
    <row r="962" spans="1:18">
      <c r="A962" t="s">
        <v>1952</v>
      </c>
      <c r="B962" s="2" t="s">
        <v>1953</v>
      </c>
      <c r="C962">
        <v>1174</v>
      </c>
      <c r="D962" t="s">
        <v>26</v>
      </c>
      <c r="E962" t="s">
        <v>27</v>
      </c>
      <c r="F962" t="s">
        <v>59</v>
      </c>
      <c r="G962">
        <v>136</v>
      </c>
      <c r="H962">
        <v>3678</v>
      </c>
      <c r="I962" t="s">
        <v>20</v>
      </c>
      <c r="K962" s="1">
        <f t="shared" si="112"/>
        <v>46189</v>
      </c>
      <c r="L962" s="3">
        <f t="shared" si="113"/>
        <v>61.3</v>
      </c>
      <c r="M962" s="3">
        <f t="shared" si="114"/>
        <v>2.2666666666666666</v>
      </c>
      <c r="N962" t="str">
        <f t="shared" si="115"/>
        <v>Breached</v>
      </c>
      <c r="O962" t="str">
        <f t="shared" si="119"/>
        <v>No Rating</v>
      </c>
      <c r="P962" t="str">
        <f t="shared" si="116"/>
        <v>Resolved</v>
      </c>
      <c r="Q962" s="2" t="str">
        <f t="shared" si="117"/>
        <v>Jun-2026</v>
      </c>
      <c r="R962" s="2">
        <f t="shared" si="118"/>
        <v>46174</v>
      </c>
    </row>
    <row r="963" spans="1:18">
      <c r="A963" t="s">
        <v>1954</v>
      </c>
      <c r="B963" s="2" t="s">
        <v>1955</v>
      </c>
      <c r="C963">
        <v>1526</v>
      </c>
      <c r="D963" t="s">
        <v>18</v>
      </c>
      <c r="E963" t="s">
        <v>27</v>
      </c>
      <c r="F963" t="s">
        <v>14</v>
      </c>
      <c r="G963">
        <v>114</v>
      </c>
      <c r="H963">
        <v>1805</v>
      </c>
      <c r="I963" t="s">
        <v>15</v>
      </c>
      <c r="K963" s="1">
        <f t="shared" ref="K963:K1001" si="120">IF(B963="","",DATEVALUE(LEFT(B963,10)))</f>
        <v>46189</v>
      </c>
      <c r="L963" s="3">
        <f t="shared" ref="L963:L1001" si="121">IF(H963="","",H963/60)</f>
        <v>30.083333333333332</v>
      </c>
      <c r="M963" s="3">
        <f t="shared" ref="M963:M1001" si="122">IF(G963="","",G963/60)</f>
        <v>1.9</v>
      </c>
      <c r="N963" t="str">
        <f t="shared" ref="N963:N1001" si="123">IF(L963="","Open",IF(L963&lt;=IF(E963="Urgent",8,IF(E963="High",24,IF(E963="Normal",48,72))),"Within SLA","Breached"))</f>
        <v>Within SLA</v>
      </c>
      <c r="O963" t="str">
        <f t="shared" si="119"/>
        <v>No Rating</v>
      </c>
      <c r="P963" t="str">
        <f t="shared" ref="P963:P1001" si="124">IF(I963="Closed","Resolved",IF(I963="Resolved","Resolved","Unresolved"))</f>
        <v>Resolved</v>
      </c>
      <c r="Q963" s="2" t="str">
        <f t="shared" ref="Q963:Q1001" si="125">IF(K963="","",TEXT(K963,"mmm-yyyy"))</f>
        <v>Jun-2026</v>
      </c>
      <c r="R963" s="2">
        <f t="shared" ref="R963:R1001" si="126">IF(K963="","",DATE(YEAR(K963),MONTH(K963),1))</f>
        <v>46174</v>
      </c>
    </row>
    <row r="964" spans="1:18">
      <c r="A964" t="s">
        <v>1956</v>
      </c>
      <c r="B964" s="2" t="s">
        <v>1957</v>
      </c>
      <c r="C964">
        <v>1958</v>
      </c>
      <c r="D964" t="s">
        <v>12</v>
      </c>
      <c r="E964" t="s">
        <v>13</v>
      </c>
      <c r="F964" t="s">
        <v>64</v>
      </c>
      <c r="G964">
        <v>11</v>
      </c>
      <c r="H964">
        <v>332</v>
      </c>
      <c r="I964" t="s">
        <v>15</v>
      </c>
      <c r="K964" s="1">
        <f t="shared" si="120"/>
        <v>46190</v>
      </c>
      <c r="L964" s="3">
        <f t="shared" si="121"/>
        <v>5.5333333333333332</v>
      </c>
      <c r="M964" s="3">
        <f t="shared" si="122"/>
        <v>0.18333333333333332</v>
      </c>
      <c r="N964" t="str">
        <f t="shared" si="123"/>
        <v>Within SLA</v>
      </c>
      <c r="O964" t="str">
        <f t="shared" ref="O964:O1001" si="127">IF(J964="","No Rating",IF(J964&gt;=4,"Satisfied",IF(J964=3,"Neutral","Dissatisfied")))</f>
        <v>No Rating</v>
      </c>
      <c r="P964" t="str">
        <f t="shared" si="124"/>
        <v>Resolved</v>
      </c>
      <c r="Q964" s="2" t="str">
        <f t="shared" si="125"/>
        <v>Jun-2026</v>
      </c>
      <c r="R964" s="2">
        <f t="shared" si="126"/>
        <v>46174</v>
      </c>
    </row>
    <row r="965" spans="1:18">
      <c r="A965" t="s">
        <v>1958</v>
      </c>
      <c r="B965" s="2" t="s">
        <v>1959</v>
      </c>
      <c r="C965">
        <v>1248</v>
      </c>
      <c r="D965" t="s">
        <v>18</v>
      </c>
      <c r="E965" t="s">
        <v>19</v>
      </c>
      <c r="F965" t="s">
        <v>34</v>
      </c>
      <c r="G965">
        <v>41</v>
      </c>
      <c r="H965">
        <v>994</v>
      </c>
      <c r="I965" t="s">
        <v>15</v>
      </c>
      <c r="J965">
        <v>2</v>
      </c>
      <c r="K965" s="1">
        <f t="shared" si="120"/>
        <v>46190</v>
      </c>
      <c r="L965" s="3">
        <f t="shared" si="121"/>
        <v>16.566666666666666</v>
      </c>
      <c r="M965" s="3">
        <f t="shared" si="122"/>
        <v>0.68333333333333335</v>
      </c>
      <c r="N965" t="str">
        <f t="shared" si="123"/>
        <v>Within SLA</v>
      </c>
      <c r="O965" t="str">
        <f t="shared" si="127"/>
        <v>Dissatisfied</v>
      </c>
      <c r="P965" t="str">
        <f t="shared" si="124"/>
        <v>Resolved</v>
      </c>
      <c r="Q965" s="2" t="str">
        <f t="shared" si="125"/>
        <v>Jun-2026</v>
      </c>
      <c r="R965" s="2">
        <f t="shared" si="126"/>
        <v>46174</v>
      </c>
    </row>
    <row r="966" spans="1:18">
      <c r="A966" t="s">
        <v>1960</v>
      </c>
      <c r="B966" s="2" t="s">
        <v>1961</v>
      </c>
      <c r="C966">
        <v>1260</v>
      </c>
      <c r="D966" t="s">
        <v>32</v>
      </c>
      <c r="E966" t="s">
        <v>33</v>
      </c>
      <c r="F966" t="s">
        <v>64</v>
      </c>
      <c r="G966">
        <v>335</v>
      </c>
      <c r="H966">
        <v>1608</v>
      </c>
      <c r="I966" t="s">
        <v>15</v>
      </c>
      <c r="K966" s="1">
        <f t="shared" si="120"/>
        <v>46190</v>
      </c>
      <c r="L966" s="3">
        <f t="shared" si="121"/>
        <v>26.8</v>
      </c>
      <c r="M966" s="3">
        <f t="shared" si="122"/>
        <v>5.583333333333333</v>
      </c>
      <c r="N966" t="str">
        <f t="shared" si="123"/>
        <v>Within SLA</v>
      </c>
      <c r="O966" t="str">
        <f t="shared" si="127"/>
        <v>No Rating</v>
      </c>
      <c r="P966" t="str">
        <f t="shared" si="124"/>
        <v>Resolved</v>
      </c>
      <c r="Q966" s="2" t="str">
        <f t="shared" si="125"/>
        <v>Jun-2026</v>
      </c>
      <c r="R966" s="2">
        <f t="shared" si="126"/>
        <v>46174</v>
      </c>
    </row>
    <row r="967" spans="1:18">
      <c r="A967" t="s">
        <v>1962</v>
      </c>
      <c r="B967" s="2" t="s">
        <v>1963</v>
      </c>
      <c r="C967">
        <v>1582</v>
      </c>
      <c r="D967" t="s">
        <v>32</v>
      </c>
      <c r="E967" t="s">
        <v>33</v>
      </c>
      <c r="F967" t="s">
        <v>14</v>
      </c>
      <c r="G967">
        <v>445</v>
      </c>
      <c r="H967">
        <v>7802</v>
      </c>
      <c r="I967" t="s">
        <v>15</v>
      </c>
      <c r="J967">
        <v>3</v>
      </c>
      <c r="K967" s="1">
        <f t="shared" si="120"/>
        <v>46191</v>
      </c>
      <c r="L967" s="3">
        <f t="shared" si="121"/>
        <v>130.03333333333333</v>
      </c>
      <c r="M967" s="3">
        <f t="shared" si="122"/>
        <v>7.416666666666667</v>
      </c>
      <c r="N967" t="str">
        <f t="shared" si="123"/>
        <v>Breached</v>
      </c>
      <c r="O967" t="str">
        <f t="shared" si="127"/>
        <v>Neutral</v>
      </c>
      <c r="P967" t="str">
        <f t="shared" si="124"/>
        <v>Resolved</v>
      </c>
      <c r="Q967" s="2" t="str">
        <f t="shared" si="125"/>
        <v>Jun-2026</v>
      </c>
      <c r="R967" s="2">
        <f t="shared" si="126"/>
        <v>46174</v>
      </c>
    </row>
    <row r="968" spans="1:18">
      <c r="A968" t="s">
        <v>1964</v>
      </c>
      <c r="B968" s="2" t="s">
        <v>1965</v>
      </c>
      <c r="C968">
        <v>1157</v>
      </c>
      <c r="D968" t="s">
        <v>47</v>
      </c>
      <c r="E968" t="s">
        <v>13</v>
      </c>
      <c r="F968" t="s">
        <v>43</v>
      </c>
      <c r="G968">
        <v>2</v>
      </c>
      <c r="I968" t="s">
        <v>29</v>
      </c>
      <c r="K968" s="1">
        <f t="shared" si="120"/>
        <v>46191</v>
      </c>
      <c r="L968" s="3" t="str">
        <f t="shared" si="121"/>
        <v/>
      </c>
      <c r="M968" s="3">
        <f t="shared" si="122"/>
        <v>3.3333333333333333E-2</v>
      </c>
      <c r="N968" t="str">
        <f t="shared" si="123"/>
        <v>Open</v>
      </c>
      <c r="O968" t="str">
        <f t="shared" si="127"/>
        <v>No Rating</v>
      </c>
      <c r="P968" t="str">
        <f t="shared" si="124"/>
        <v>Unresolved</v>
      </c>
      <c r="Q968" s="2" t="str">
        <f t="shared" si="125"/>
        <v>Jun-2026</v>
      </c>
      <c r="R968" s="2">
        <f t="shared" si="126"/>
        <v>46174</v>
      </c>
    </row>
    <row r="969" spans="1:18">
      <c r="A969" t="s">
        <v>1966</v>
      </c>
      <c r="B969" s="2" t="s">
        <v>1967</v>
      </c>
      <c r="C969">
        <v>1038</v>
      </c>
      <c r="D969" t="s">
        <v>26</v>
      </c>
      <c r="E969" t="s">
        <v>33</v>
      </c>
      <c r="F969" t="s">
        <v>64</v>
      </c>
      <c r="G969">
        <v>111</v>
      </c>
      <c r="I969" t="s">
        <v>44</v>
      </c>
      <c r="K969" s="1">
        <f t="shared" si="120"/>
        <v>46191</v>
      </c>
      <c r="L969" s="3" t="str">
        <f t="shared" si="121"/>
        <v/>
      </c>
      <c r="M969" s="3">
        <f t="shared" si="122"/>
        <v>1.85</v>
      </c>
      <c r="N969" t="str">
        <f t="shared" si="123"/>
        <v>Open</v>
      </c>
      <c r="O969" t="str">
        <f t="shared" si="127"/>
        <v>No Rating</v>
      </c>
      <c r="P969" t="str">
        <f t="shared" si="124"/>
        <v>Unresolved</v>
      </c>
      <c r="Q969" s="2" t="str">
        <f t="shared" si="125"/>
        <v>Jun-2026</v>
      </c>
      <c r="R969" s="2">
        <f t="shared" si="126"/>
        <v>46174</v>
      </c>
    </row>
    <row r="970" spans="1:18">
      <c r="A970" t="s">
        <v>1968</v>
      </c>
      <c r="B970" s="2" t="s">
        <v>1969</v>
      </c>
      <c r="C970">
        <v>1871</v>
      </c>
      <c r="D970" t="s">
        <v>18</v>
      </c>
      <c r="E970" t="s">
        <v>27</v>
      </c>
      <c r="F970" t="s">
        <v>71</v>
      </c>
      <c r="G970">
        <v>162</v>
      </c>
      <c r="H970">
        <v>2455</v>
      </c>
      <c r="I970" t="s">
        <v>20</v>
      </c>
      <c r="J970">
        <v>4</v>
      </c>
      <c r="K970" s="1">
        <f t="shared" si="120"/>
        <v>46192</v>
      </c>
      <c r="L970" s="3">
        <f t="shared" si="121"/>
        <v>40.916666666666664</v>
      </c>
      <c r="M970" s="3">
        <f t="shared" si="122"/>
        <v>2.7</v>
      </c>
      <c r="N970" t="str">
        <f t="shared" si="123"/>
        <v>Within SLA</v>
      </c>
      <c r="O970" t="str">
        <f t="shared" si="127"/>
        <v>Satisfied</v>
      </c>
      <c r="P970" t="str">
        <f t="shared" si="124"/>
        <v>Resolved</v>
      </c>
      <c r="Q970" s="2" t="str">
        <f t="shared" si="125"/>
        <v>Jun-2026</v>
      </c>
      <c r="R970" s="2">
        <f t="shared" si="126"/>
        <v>46174</v>
      </c>
    </row>
    <row r="971" spans="1:18">
      <c r="A971" t="s">
        <v>1970</v>
      </c>
      <c r="B971" s="2" t="s">
        <v>1971</v>
      </c>
      <c r="C971">
        <v>1565</v>
      </c>
      <c r="D971" t="s">
        <v>32</v>
      </c>
      <c r="E971" t="s">
        <v>27</v>
      </c>
      <c r="F971" t="s">
        <v>54</v>
      </c>
      <c r="G971">
        <v>45</v>
      </c>
      <c r="H971">
        <v>1216</v>
      </c>
      <c r="I971" t="s">
        <v>15</v>
      </c>
      <c r="K971" s="1">
        <f t="shared" si="120"/>
        <v>46192</v>
      </c>
      <c r="L971" s="3">
        <f t="shared" si="121"/>
        <v>20.266666666666666</v>
      </c>
      <c r="M971" s="3">
        <f t="shared" si="122"/>
        <v>0.75</v>
      </c>
      <c r="N971" t="str">
        <f t="shared" si="123"/>
        <v>Within SLA</v>
      </c>
      <c r="O971" t="str">
        <f t="shared" si="127"/>
        <v>No Rating</v>
      </c>
      <c r="P971" t="str">
        <f t="shared" si="124"/>
        <v>Resolved</v>
      </c>
      <c r="Q971" s="2" t="str">
        <f t="shared" si="125"/>
        <v>Jun-2026</v>
      </c>
      <c r="R971" s="2">
        <f t="shared" si="126"/>
        <v>46174</v>
      </c>
    </row>
    <row r="972" spans="1:18">
      <c r="A972" t="s">
        <v>1972</v>
      </c>
      <c r="B972" s="2" t="s">
        <v>1973</v>
      </c>
      <c r="C972">
        <v>1405</v>
      </c>
      <c r="D972" t="s">
        <v>12</v>
      </c>
      <c r="E972" t="s">
        <v>27</v>
      </c>
      <c r="F972" t="s">
        <v>23</v>
      </c>
      <c r="G972">
        <v>37</v>
      </c>
      <c r="H972">
        <v>3301</v>
      </c>
      <c r="I972" t="s">
        <v>15</v>
      </c>
      <c r="J972">
        <v>4</v>
      </c>
      <c r="K972" s="1">
        <f t="shared" si="120"/>
        <v>46193</v>
      </c>
      <c r="L972" s="3">
        <f t="shared" si="121"/>
        <v>55.016666666666666</v>
      </c>
      <c r="M972" s="3">
        <f t="shared" si="122"/>
        <v>0.6166666666666667</v>
      </c>
      <c r="N972" t="str">
        <f t="shared" si="123"/>
        <v>Breached</v>
      </c>
      <c r="O972" t="str">
        <f t="shared" si="127"/>
        <v>Satisfied</v>
      </c>
      <c r="P972" t="str">
        <f t="shared" si="124"/>
        <v>Resolved</v>
      </c>
      <c r="Q972" s="2" t="str">
        <f t="shared" si="125"/>
        <v>Jun-2026</v>
      </c>
      <c r="R972" s="2">
        <f t="shared" si="126"/>
        <v>46174</v>
      </c>
    </row>
    <row r="973" spans="1:18">
      <c r="A973" t="s">
        <v>1974</v>
      </c>
      <c r="B973" s="2" t="s">
        <v>1975</v>
      </c>
      <c r="C973">
        <v>1887</v>
      </c>
      <c r="D973" t="s">
        <v>12</v>
      </c>
      <c r="E973" t="s">
        <v>13</v>
      </c>
      <c r="F973" t="s">
        <v>28</v>
      </c>
      <c r="G973">
        <v>6</v>
      </c>
      <c r="H973">
        <v>275</v>
      </c>
      <c r="I973" t="s">
        <v>15</v>
      </c>
      <c r="J973">
        <v>2</v>
      </c>
      <c r="K973" s="1">
        <f t="shared" si="120"/>
        <v>46193</v>
      </c>
      <c r="L973" s="3">
        <f t="shared" si="121"/>
        <v>4.583333333333333</v>
      </c>
      <c r="M973" s="3">
        <f t="shared" si="122"/>
        <v>0.1</v>
      </c>
      <c r="N973" t="str">
        <f t="shared" si="123"/>
        <v>Within SLA</v>
      </c>
      <c r="O973" t="str">
        <f t="shared" si="127"/>
        <v>Dissatisfied</v>
      </c>
      <c r="P973" t="str">
        <f t="shared" si="124"/>
        <v>Resolved</v>
      </c>
      <c r="Q973" s="2" t="str">
        <f t="shared" si="125"/>
        <v>Jun-2026</v>
      </c>
      <c r="R973" s="2">
        <f t="shared" si="126"/>
        <v>46174</v>
      </c>
    </row>
    <row r="974" spans="1:18">
      <c r="A974" t="s">
        <v>1976</v>
      </c>
      <c r="B974" s="2" t="s">
        <v>1977</v>
      </c>
      <c r="C974">
        <v>1157</v>
      </c>
      <c r="D974" t="s">
        <v>12</v>
      </c>
      <c r="E974" t="s">
        <v>27</v>
      </c>
      <c r="F974" t="s">
        <v>43</v>
      </c>
      <c r="G974">
        <v>143</v>
      </c>
      <c r="H974">
        <v>1300</v>
      </c>
      <c r="I974" t="s">
        <v>15</v>
      </c>
      <c r="J974">
        <v>3</v>
      </c>
      <c r="K974" s="1">
        <f t="shared" si="120"/>
        <v>46193</v>
      </c>
      <c r="L974" s="3">
        <f t="shared" si="121"/>
        <v>21.666666666666668</v>
      </c>
      <c r="M974" s="3">
        <f t="shared" si="122"/>
        <v>2.3833333333333333</v>
      </c>
      <c r="N974" t="str">
        <f t="shared" si="123"/>
        <v>Within SLA</v>
      </c>
      <c r="O974" t="str">
        <f t="shared" si="127"/>
        <v>Neutral</v>
      </c>
      <c r="P974" t="str">
        <f t="shared" si="124"/>
        <v>Resolved</v>
      </c>
      <c r="Q974" s="2" t="str">
        <f t="shared" si="125"/>
        <v>Jun-2026</v>
      </c>
      <c r="R974" s="2">
        <f t="shared" si="126"/>
        <v>46174</v>
      </c>
    </row>
    <row r="975" spans="1:18">
      <c r="A975" t="s">
        <v>1978</v>
      </c>
      <c r="B975" s="2" t="s">
        <v>1979</v>
      </c>
      <c r="C975">
        <v>1132</v>
      </c>
      <c r="D975" t="s">
        <v>12</v>
      </c>
      <c r="E975" t="s">
        <v>27</v>
      </c>
      <c r="F975" t="s">
        <v>43</v>
      </c>
      <c r="G975">
        <v>127</v>
      </c>
      <c r="H975">
        <v>791</v>
      </c>
      <c r="I975" t="s">
        <v>15</v>
      </c>
      <c r="K975" s="1">
        <f t="shared" si="120"/>
        <v>46194</v>
      </c>
      <c r="L975" s="3">
        <f t="shared" si="121"/>
        <v>13.183333333333334</v>
      </c>
      <c r="M975" s="3">
        <f t="shared" si="122"/>
        <v>2.1166666666666667</v>
      </c>
      <c r="N975" t="str">
        <f t="shared" si="123"/>
        <v>Within SLA</v>
      </c>
      <c r="O975" t="str">
        <f t="shared" si="127"/>
        <v>No Rating</v>
      </c>
      <c r="P975" t="str">
        <f t="shared" si="124"/>
        <v>Resolved</v>
      </c>
      <c r="Q975" s="2" t="str">
        <f t="shared" si="125"/>
        <v>Jun-2026</v>
      </c>
      <c r="R975" s="2">
        <f t="shared" si="126"/>
        <v>46174</v>
      </c>
    </row>
    <row r="976" spans="1:18">
      <c r="A976" t="s">
        <v>1980</v>
      </c>
      <c r="B976" s="2" t="s">
        <v>1981</v>
      </c>
      <c r="C976">
        <v>1565</v>
      </c>
      <c r="D976" t="s">
        <v>47</v>
      </c>
      <c r="E976" t="s">
        <v>33</v>
      </c>
      <c r="F976" t="s">
        <v>43</v>
      </c>
      <c r="G976">
        <v>322</v>
      </c>
      <c r="H976">
        <v>4701</v>
      </c>
      <c r="I976" t="s">
        <v>20</v>
      </c>
      <c r="J976">
        <v>3</v>
      </c>
      <c r="K976" s="1">
        <f t="shared" si="120"/>
        <v>46194</v>
      </c>
      <c r="L976" s="3">
        <f t="shared" si="121"/>
        <v>78.349999999999994</v>
      </c>
      <c r="M976" s="3">
        <f t="shared" si="122"/>
        <v>5.3666666666666663</v>
      </c>
      <c r="N976" t="str">
        <f t="shared" si="123"/>
        <v>Breached</v>
      </c>
      <c r="O976" t="str">
        <f t="shared" si="127"/>
        <v>Neutral</v>
      </c>
      <c r="P976" t="str">
        <f t="shared" si="124"/>
        <v>Resolved</v>
      </c>
      <c r="Q976" s="2" t="str">
        <f t="shared" si="125"/>
        <v>Jun-2026</v>
      </c>
      <c r="R976" s="2">
        <f t="shared" si="126"/>
        <v>46174</v>
      </c>
    </row>
    <row r="977" spans="1:18">
      <c r="A977" t="s">
        <v>1982</v>
      </c>
      <c r="B977" s="2" t="s">
        <v>1983</v>
      </c>
      <c r="C977">
        <v>1808</v>
      </c>
      <c r="D977" t="s">
        <v>32</v>
      </c>
      <c r="E977" t="s">
        <v>27</v>
      </c>
      <c r="F977" t="s">
        <v>59</v>
      </c>
      <c r="G977">
        <v>146</v>
      </c>
      <c r="H977">
        <v>3158</v>
      </c>
      <c r="I977" t="s">
        <v>20</v>
      </c>
      <c r="J977">
        <v>2</v>
      </c>
      <c r="K977" s="1">
        <f t="shared" si="120"/>
        <v>46194</v>
      </c>
      <c r="L977" s="3">
        <f t="shared" si="121"/>
        <v>52.633333333333333</v>
      </c>
      <c r="M977" s="3">
        <f t="shared" si="122"/>
        <v>2.4333333333333331</v>
      </c>
      <c r="N977" t="str">
        <f t="shared" si="123"/>
        <v>Breached</v>
      </c>
      <c r="O977" t="str">
        <f t="shared" si="127"/>
        <v>Dissatisfied</v>
      </c>
      <c r="P977" t="str">
        <f t="shared" si="124"/>
        <v>Resolved</v>
      </c>
      <c r="Q977" s="2" t="str">
        <f t="shared" si="125"/>
        <v>Jun-2026</v>
      </c>
      <c r="R977" s="2">
        <f t="shared" si="126"/>
        <v>46174</v>
      </c>
    </row>
    <row r="978" spans="1:18">
      <c r="A978" t="s">
        <v>1984</v>
      </c>
      <c r="B978" s="2" t="s">
        <v>1985</v>
      </c>
      <c r="C978">
        <v>1882</v>
      </c>
      <c r="D978" t="s">
        <v>18</v>
      </c>
      <c r="E978" t="s">
        <v>27</v>
      </c>
      <c r="F978" t="s">
        <v>64</v>
      </c>
      <c r="G978">
        <v>111</v>
      </c>
      <c r="I978" t="s">
        <v>44</v>
      </c>
      <c r="K978" s="1">
        <f t="shared" si="120"/>
        <v>46195</v>
      </c>
      <c r="L978" s="3" t="str">
        <f t="shared" si="121"/>
        <v/>
      </c>
      <c r="M978" s="3">
        <f t="shared" si="122"/>
        <v>1.85</v>
      </c>
      <c r="N978" t="str">
        <f t="shared" si="123"/>
        <v>Open</v>
      </c>
      <c r="O978" t="str">
        <f t="shared" si="127"/>
        <v>No Rating</v>
      </c>
      <c r="P978" t="str">
        <f t="shared" si="124"/>
        <v>Unresolved</v>
      </c>
      <c r="Q978" s="2" t="str">
        <f t="shared" si="125"/>
        <v>Jun-2026</v>
      </c>
      <c r="R978" s="2">
        <f t="shared" si="126"/>
        <v>46174</v>
      </c>
    </row>
    <row r="979" spans="1:18">
      <c r="A979" t="s">
        <v>1986</v>
      </c>
      <c r="B979" s="2" t="s">
        <v>1987</v>
      </c>
      <c r="C979">
        <v>1027</v>
      </c>
      <c r="D979" t="s">
        <v>47</v>
      </c>
      <c r="E979" t="s">
        <v>33</v>
      </c>
      <c r="F979" t="s">
        <v>14</v>
      </c>
      <c r="G979">
        <v>186</v>
      </c>
      <c r="H979">
        <v>2418</v>
      </c>
      <c r="I979" t="s">
        <v>15</v>
      </c>
      <c r="K979" s="1">
        <f t="shared" si="120"/>
        <v>46195</v>
      </c>
      <c r="L979" s="3">
        <f t="shared" si="121"/>
        <v>40.299999999999997</v>
      </c>
      <c r="M979" s="3">
        <f t="shared" si="122"/>
        <v>3.1</v>
      </c>
      <c r="N979" t="str">
        <f t="shared" si="123"/>
        <v>Within SLA</v>
      </c>
      <c r="O979" t="str">
        <f t="shared" si="127"/>
        <v>No Rating</v>
      </c>
      <c r="P979" t="str">
        <f t="shared" si="124"/>
        <v>Resolved</v>
      </c>
      <c r="Q979" s="2" t="str">
        <f t="shared" si="125"/>
        <v>Jun-2026</v>
      </c>
      <c r="R979" s="2">
        <f t="shared" si="126"/>
        <v>46174</v>
      </c>
    </row>
    <row r="980" spans="1:18">
      <c r="A980" t="s">
        <v>1988</v>
      </c>
      <c r="B980" s="2" t="s">
        <v>1989</v>
      </c>
      <c r="C980">
        <v>1194</v>
      </c>
      <c r="D980" t="s">
        <v>12</v>
      </c>
      <c r="E980" t="s">
        <v>19</v>
      </c>
      <c r="F980" t="s">
        <v>71</v>
      </c>
      <c r="G980">
        <v>42</v>
      </c>
      <c r="H980">
        <v>286</v>
      </c>
      <c r="I980" t="s">
        <v>15</v>
      </c>
      <c r="J980">
        <v>1</v>
      </c>
      <c r="K980" s="1">
        <f t="shared" si="120"/>
        <v>46195</v>
      </c>
      <c r="L980" s="3">
        <f t="shared" si="121"/>
        <v>4.7666666666666666</v>
      </c>
      <c r="M980" s="3">
        <f t="shared" si="122"/>
        <v>0.7</v>
      </c>
      <c r="N980" t="str">
        <f t="shared" si="123"/>
        <v>Within SLA</v>
      </c>
      <c r="O980" t="str">
        <f t="shared" si="127"/>
        <v>Dissatisfied</v>
      </c>
      <c r="P980" t="str">
        <f t="shared" si="124"/>
        <v>Resolved</v>
      </c>
      <c r="Q980" s="2" t="str">
        <f t="shared" si="125"/>
        <v>Jun-2026</v>
      </c>
      <c r="R980" s="2">
        <f t="shared" si="126"/>
        <v>46174</v>
      </c>
    </row>
    <row r="981" spans="1:18">
      <c r="A981" t="s">
        <v>1990</v>
      </c>
      <c r="B981" s="2" t="s">
        <v>1991</v>
      </c>
      <c r="C981">
        <v>1543</v>
      </c>
      <c r="D981" t="s">
        <v>47</v>
      </c>
      <c r="E981" t="s">
        <v>19</v>
      </c>
      <c r="F981" t="s">
        <v>14</v>
      </c>
      <c r="G981">
        <v>43</v>
      </c>
      <c r="H981">
        <v>1081</v>
      </c>
      <c r="I981" t="s">
        <v>15</v>
      </c>
      <c r="J981">
        <v>1</v>
      </c>
      <c r="K981" s="1">
        <f t="shared" si="120"/>
        <v>46196</v>
      </c>
      <c r="L981" s="3">
        <f t="shared" si="121"/>
        <v>18.016666666666666</v>
      </c>
      <c r="M981" s="3">
        <f t="shared" si="122"/>
        <v>0.71666666666666667</v>
      </c>
      <c r="N981" t="str">
        <f t="shared" si="123"/>
        <v>Within SLA</v>
      </c>
      <c r="O981" t="str">
        <f t="shared" si="127"/>
        <v>Dissatisfied</v>
      </c>
      <c r="P981" t="str">
        <f t="shared" si="124"/>
        <v>Resolved</v>
      </c>
      <c r="Q981" s="2" t="str">
        <f t="shared" si="125"/>
        <v>Jun-2026</v>
      </c>
      <c r="R981" s="2">
        <f t="shared" si="126"/>
        <v>46174</v>
      </c>
    </row>
    <row r="982" spans="1:18">
      <c r="A982" t="s">
        <v>1992</v>
      </c>
      <c r="B982" s="2" t="s">
        <v>1993</v>
      </c>
      <c r="C982">
        <v>1870</v>
      </c>
      <c r="D982" t="s">
        <v>18</v>
      </c>
      <c r="E982" t="s">
        <v>27</v>
      </c>
      <c r="F982" t="s">
        <v>64</v>
      </c>
      <c r="G982">
        <v>121</v>
      </c>
      <c r="H982">
        <v>2648</v>
      </c>
      <c r="I982" t="s">
        <v>15</v>
      </c>
      <c r="J982">
        <v>1</v>
      </c>
      <c r="K982" s="1">
        <f t="shared" si="120"/>
        <v>46196</v>
      </c>
      <c r="L982" s="3">
        <f t="shared" si="121"/>
        <v>44.133333333333333</v>
      </c>
      <c r="M982" s="3">
        <f t="shared" si="122"/>
        <v>2.0166666666666666</v>
      </c>
      <c r="N982" t="str">
        <f t="shared" si="123"/>
        <v>Within SLA</v>
      </c>
      <c r="O982" t="str">
        <f t="shared" si="127"/>
        <v>Dissatisfied</v>
      </c>
      <c r="P982" t="str">
        <f t="shared" si="124"/>
        <v>Resolved</v>
      </c>
      <c r="Q982" s="2" t="str">
        <f t="shared" si="125"/>
        <v>Jun-2026</v>
      </c>
      <c r="R982" s="2">
        <f t="shared" si="126"/>
        <v>46174</v>
      </c>
    </row>
    <row r="983" spans="1:18">
      <c r="A983" t="s">
        <v>1994</v>
      </c>
      <c r="B983" s="2" t="s">
        <v>1995</v>
      </c>
      <c r="C983">
        <v>1640</v>
      </c>
      <c r="D983" t="s">
        <v>32</v>
      </c>
      <c r="E983" t="s">
        <v>27</v>
      </c>
      <c r="F983" t="s">
        <v>64</v>
      </c>
      <c r="G983">
        <v>67</v>
      </c>
      <c r="H983">
        <v>678</v>
      </c>
      <c r="I983" t="s">
        <v>15</v>
      </c>
      <c r="K983" s="1">
        <f t="shared" si="120"/>
        <v>46197</v>
      </c>
      <c r="L983" s="3">
        <f t="shared" si="121"/>
        <v>11.3</v>
      </c>
      <c r="M983" s="3">
        <f t="shared" si="122"/>
        <v>1.1166666666666667</v>
      </c>
      <c r="N983" t="str">
        <f t="shared" si="123"/>
        <v>Within SLA</v>
      </c>
      <c r="O983" t="str">
        <f t="shared" si="127"/>
        <v>No Rating</v>
      </c>
      <c r="P983" t="str">
        <f t="shared" si="124"/>
        <v>Resolved</v>
      </c>
      <c r="Q983" s="2" t="str">
        <f t="shared" si="125"/>
        <v>Jun-2026</v>
      </c>
      <c r="R983" s="2">
        <f t="shared" si="126"/>
        <v>46174</v>
      </c>
    </row>
    <row r="984" spans="1:18">
      <c r="A984" t="s">
        <v>1996</v>
      </c>
      <c r="B984" s="2" t="s">
        <v>1997</v>
      </c>
      <c r="C984">
        <v>1041</v>
      </c>
      <c r="D984" t="s">
        <v>47</v>
      </c>
      <c r="E984" t="s">
        <v>19</v>
      </c>
      <c r="F984" t="s">
        <v>64</v>
      </c>
      <c r="G984">
        <v>26</v>
      </c>
      <c r="H984">
        <v>1210</v>
      </c>
      <c r="I984" t="s">
        <v>20</v>
      </c>
      <c r="J984">
        <v>3</v>
      </c>
      <c r="K984" s="1">
        <f t="shared" si="120"/>
        <v>46197</v>
      </c>
      <c r="L984" s="3">
        <f t="shared" si="121"/>
        <v>20.166666666666668</v>
      </c>
      <c r="M984" s="3">
        <f t="shared" si="122"/>
        <v>0.43333333333333335</v>
      </c>
      <c r="N984" t="str">
        <f t="shared" si="123"/>
        <v>Within SLA</v>
      </c>
      <c r="O984" t="str">
        <f t="shared" si="127"/>
        <v>Neutral</v>
      </c>
      <c r="P984" t="str">
        <f t="shared" si="124"/>
        <v>Resolved</v>
      </c>
      <c r="Q984" s="2" t="str">
        <f t="shared" si="125"/>
        <v>Jun-2026</v>
      </c>
      <c r="R984" s="2">
        <f t="shared" si="126"/>
        <v>46174</v>
      </c>
    </row>
    <row r="985" spans="1:18">
      <c r="A985" t="s">
        <v>1998</v>
      </c>
      <c r="B985" s="2" t="s">
        <v>1999</v>
      </c>
      <c r="C985">
        <v>1662</v>
      </c>
      <c r="D985" t="s">
        <v>12</v>
      </c>
      <c r="E985" t="s">
        <v>33</v>
      </c>
      <c r="F985" t="s">
        <v>64</v>
      </c>
      <c r="G985">
        <v>120</v>
      </c>
      <c r="H985">
        <v>1927</v>
      </c>
      <c r="I985" t="s">
        <v>15</v>
      </c>
      <c r="K985" s="1">
        <f t="shared" si="120"/>
        <v>46197</v>
      </c>
      <c r="L985" s="3">
        <f t="shared" si="121"/>
        <v>32.116666666666667</v>
      </c>
      <c r="M985" s="3">
        <f t="shared" si="122"/>
        <v>2</v>
      </c>
      <c r="N985" t="str">
        <f t="shared" si="123"/>
        <v>Within SLA</v>
      </c>
      <c r="O985" t="str">
        <f t="shared" si="127"/>
        <v>No Rating</v>
      </c>
      <c r="P985" t="str">
        <f t="shared" si="124"/>
        <v>Resolved</v>
      </c>
      <c r="Q985" s="2" t="str">
        <f t="shared" si="125"/>
        <v>Jun-2026</v>
      </c>
      <c r="R985" s="2">
        <f t="shared" si="126"/>
        <v>46174</v>
      </c>
    </row>
    <row r="986" spans="1:18">
      <c r="A986" t="s">
        <v>2000</v>
      </c>
      <c r="B986" s="2" t="s">
        <v>2001</v>
      </c>
      <c r="C986">
        <v>1923</v>
      </c>
      <c r="D986" t="s">
        <v>32</v>
      </c>
      <c r="E986" t="s">
        <v>27</v>
      </c>
      <c r="F986" t="s">
        <v>28</v>
      </c>
      <c r="G986">
        <v>65</v>
      </c>
      <c r="H986">
        <v>995</v>
      </c>
      <c r="I986" t="s">
        <v>15</v>
      </c>
      <c r="K986" s="1">
        <f t="shared" si="120"/>
        <v>46198</v>
      </c>
      <c r="L986" s="3">
        <f t="shared" si="121"/>
        <v>16.583333333333332</v>
      </c>
      <c r="M986" s="3">
        <f t="shared" si="122"/>
        <v>1.0833333333333333</v>
      </c>
      <c r="N986" t="str">
        <f t="shared" si="123"/>
        <v>Within SLA</v>
      </c>
      <c r="O986" t="str">
        <f t="shared" si="127"/>
        <v>No Rating</v>
      </c>
      <c r="P986" t="str">
        <f t="shared" si="124"/>
        <v>Resolved</v>
      </c>
      <c r="Q986" s="2" t="str">
        <f t="shared" si="125"/>
        <v>Jun-2026</v>
      </c>
      <c r="R986" s="2">
        <f t="shared" si="126"/>
        <v>46174</v>
      </c>
    </row>
    <row r="987" spans="1:18">
      <c r="A987" t="s">
        <v>2002</v>
      </c>
      <c r="B987" s="2" t="s">
        <v>2003</v>
      </c>
      <c r="C987">
        <v>1179</v>
      </c>
      <c r="D987" t="s">
        <v>12</v>
      </c>
      <c r="E987" t="s">
        <v>13</v>
      </c>
      <c r="F987" t="s">
        <v>64</v>
      </c>
      <c r="G987">
        <v>3</v>
      </c>
      <c r="H987">
        <v>118</v>
      </c>
      <c r="I987" t="s">
        <v>15</v>
      </c>
      <c r="J987">
        <v>3</v>
      </c>
      <c r="K987" s="1">
        <f t="shared" si="120"/>
        <v>46198</v>
      </c>
      <c r="L987" s="3">
        <f t="shared" si="121"/>
        <v>1.9666666666666666</v>
      </c>
      <c r="M987" s="3">
        <f t="shared" si="122"/>
        <v>0.05</v>
      </c>
      <c r="N987" t="str">
        <f t="shared" si="123"/>
        <v>Within SLA</v>
      </c>
      <c r="O987" t="str">
        <f t="shared" si="127"/>
        <v>Neutral</v>
      </c>
      <c r="P987" t="str">
        <f t="shared" si="124"/>
        <v>Resolved</v>
      </c>
      <c r="Q987" s="2" t="str">
        <f t="shared" si="125"/>
        <v>Jun-2026</v>
      </c>
      <c r="R987" s="2">
        <f t="shared" si="126"/>
        <v>46174</v>
      </c>
    </row>
    <row r="988" spans="1:18">
      <c r="A988" t="s">
        <v>2004</v>
      </c>
      <c r="B988" s="2" t="s">
        <v>2005</v>
      </c>
      <c r="C988">
        <v>1537</v>
      </c>
      <c r="D988" t="s">
        <v>18</v>
      </c>
      <c r="E988" t="s">
        <v>33</v>
      </c>
      <c r="F988" t="s">
        <v>64</v>
      </c>
      <c r="G988">
        <v>317</v>
      </c>
      <c r="H988">
        <v>4817</v>
      </c>
      <c r="I988" t="s">
        <v>15</v>
      </c>
      <c r="K988" s="1">
        <f t="shared" si="120"/>
        <v>46198</v>
      </c>
      <c r="L988" s="3">
        <f t="shared" si="121"/>
        <v>80.283333333333331</v>
      </c>
      <c r="M988" s="3">
        <f t="shared" si="122"/>
        <v>5.2833333333333332</v>
      </c>
      <c r="N988" t="str">
        <f t="shared" si="123"/>
        <v>Breached</v>
      </c>
      <c r="O988" t="str">
        <f t="shared" si="127"/>
        <v>No Rating</v>
      </c>
      <c r="P988" t="str">
        <f t="shared" si="124"/>
        <v>Resolved</v>
      </c>
      <c r="Q988" s="2" t="str">
        <f t="shared" si="125"/>
        <v>Jun-2026</v>
      </c>
      <c r="R988" s="2">
        <f t="shared" si="126"/>
        <v>46174</v>
      </c>
    </row>
    <row r="989" spans="1:18">
      <c r="A989" t="s">
        <v>2006</v>
      </c>
      <c r="B989" s="2" t="s">
        <v>2007</v>
      </c>
      <c r="C989">
        <v>1862</v>
      </c>
      <c r="D989" t="s">
        <v>47</v>
      </c>
      <c r="E989" t="s">
        <v>27</v>
      </c>
      <c r="F989" t="s">
        <v>14</v>
      </c>
      <c r="G989">
        <v>74</v>
      </c>
      <c r="H989">
        <v>2949</v>
      </c>
      <c r="I989" t="s">
        <v>20</v>
      </c>
      <c r="J989">
        <v>5</v>
      </c>
      <c r="K989" s="1">
        <f t="shared" si="120"/>
        <v>46199</v>
      </c>
      <c r="L989" s="3">
        <f t="shared" si="121"/>
        <v>49.15</v>
      </c>
      <c r="M989" s="3">
        <f t="shared" si="122"/>
        <v>1.2333333333333334</v>
      </c>
      <c r="N989" t="str">
        <f t="shared" si="123"/>
        <v>Breached</v>
      </c>
      <c r="O989" t="str">
        <f t="shared" si="127"/>
        <v>Satisfied</v>
      </c>
      <c r="P989" t="str">
        <f t="shared" si="124"/>
        <v>Resolved</v>
      </c>
      <c r="Q989" s="2" t="str">
        <f t="shared" si="125"/>
        <v>Jun-2026</v>
      </c>
      <c r="R989" s="2">
        <f t="shared" si="126"/>
        <v>46174</v>
      </c>
    </row>
    <row r="990" spans="1:18">
      <c r="A990" t="s">
        <v>2008</v>
      </c>
      <c r="B990" s="2" t="s">
        <v>2009</v>
      </c>
      <c r="C990">
        <v>1847</v>
      </c>
      <c r="D990" t="s">
        <v>18</v>
      </c>
      <c r="E990" t="s">
        <v>33</v>
      </c>
      <c r="F990" t="s">
        <v>43</v>
      </c>
      <c r="G990">
        <v>289</v>
      </c>
      <c r="H990">
        <v>2968</v>
      </c>
      <c r="I990" t="s">
        <v>15</v>
      </c>
      <c r="K990" s="1">
        <f t="shared" si="120"/>
        <v>46199</v>
      </c>
      <c r="L990" s="3">
        <f t="shared" si="121"/>
        <v>49.466666666666669</v>
      </c>
      <c r="M990" s="3">
        <f t="shared" si="122"/>
        <v>4.8166666666666664</v>
      </c>
      <c r="N990" t="str">
        <f t="shared" si="123"/>
        <v>Within SLA</v>
      </c>
      <c r="O990" t="str">
        <f t="shared" si="127"/>
        <v>No Rating</v>
      </c>
      <c r="P990" t="str">
        <f t="shared" si="124"/>
        <v>Resolved</v>
      </c>
      <c r="Q990" s="2" t="str">
        <f t="shared" si="125"/>
        <v>Jun-2026</v>
      </c>
      <c r="R990" s="2">
        <f t="shared" si="126"/>
        <v>46174</v>
      </c>
    </row>
    <row r="991" spans="1:18">
      <c r="A991" t="s">
        <v>2010</v>
      </c>
      <c r="B991" s="2" t="s">
        <v>2011</v>
      </c>
      <c r="C991">
        <v>1994</v>
      </c>
      <c r="D991" t="s">
        <v>12</v>
      </c>
      <c r="E991" t="s">
        <v>19</v>
      </c>
      <c r="F991" t="s">
        <v>34</v>
      </c>
      <c r="G991">
        <v>44</v>
      </c>
      <c r="H991">
        <v>912</v>
      </c>
      <c r="I991" t="s">
        <v>15</v>
      </c>
      <c r="J991">
        <v>3</v>
      </c>
      <c r="K991" s="1">
        <f t="shared" si="120"/>
        <v>46199</v>
      </c>
      <c r="L991" s="3">
        <f t="shared" si="121"/>
        <v>15.2</v>
      </c>
      <c r="M991" s="3">
        <f t="shared" si="122"/>
        <v>0.73333333333333328</v>
      </c>
      <c r="N991" t="str">
        <f t="shared" si="123"/>
        <v>Within SLA</v>
      </c>
      <c r="O991" t="str">
        <f t="shared" si="127"/>
        <v>Neutral</v>
      </c>
      <c r="P991" t="str">
        <f t="shared" si="124"/>
        <v>Resolved</v>
      </c>
      <c r="Q991" s="2" t="str">
        <f t="shared" si="125"/>
        <v>Jun-2026</v>
      </c>
      <c r="R991" s="2">
        <f t="shared" si="126"/>
        <v>46174</v>
      </c>
    </row>
    <row r="992" spans="1:18">
      <c r="A992" t="s">
        <v>2012</v>
      </c>
      <c r="B992" s="2" t="s">
        <v>2013</v>
      </c>
      <c r="C992">
        <v>1728</v>
      </c>
      <c r="D992" t="s">
        <v>26</v>
      </c>
      <c r="E992" t="s">
        <v>27</v>
      </c>
      <c r="F992" t="s">
        <v>34</v>
      </c>
      <c r="G992">
        <v>156</v>
      </c>
      <c r="I992" t="s">
        <v>44</v>
      </c>
      <c r="K992" s="1">
        <f t="shared" si="120"/>
        <v>46200</v>
      </c>
      <c r="L992" s="3" t="str">
        <f t="shared" si="121"/>
        <v/>
      </c>
      <c r="M992" s="3">
        <f t="shared" si="122"/>
        <v>2.6</v>
      </c>
      <c r="N992" t="str">
        <f t="shared" si="123"/>
        <v>Open</v>
      </c>
      <c r="O992" t="str">
        <f t="shared" si="127"/>
        <v>No Rating</v>
      </c>
      <c r="P992" t="str">
        <f t="shared" si="124"/>
        <v>Unresolved</v>
      </c>
      <c r="Q992" s="2" t="str">
        <f t="shared" si="125"/>
        <v>Jun-2026</v>
      </c>
      <c r="R992" s="2">
        <f t="shared" si="126"/>
        <v>46174</v>
      </c>
    </row>
    <row r="993" spans="1:18">
      <c r="A993" t="s">
        <v>2014</v>
      </c>
      <c r="B993" s="2" t="s">
        <v>2015</v>
      </c>
      <c r="C993">
        <v>1426</v>
      </c>
      <c r="D993" t="s">
        <v>18</v>
      </c>
      <c r="E993" t="s">
        <v>13</v>
      </c>
      <c r="F993" t="s">
        <v>64</v>
      </c>
      <c r="G993">
        <v>8</v>
      </c>
      <c r="H993">
        <v>222</v>
      </c>
      <c r="I993" t="s">
        <v>20</v>
      </c>
      <c r="J993">
        <v>4</v>
      </c>
      <c r="K993" s="1">
        <f t="shared" si="120"/>
        <v>46200</v>
      </c>
      <c r="L993" s="3">
        <f t="shared" si="121"/>
        <v>3.7</v>
      </c>
      <c r="M993" s="3">
        <f t="shared" si="122"/>
        <v>0.13333333333333333</v>
      </c>
      <c r="N993" t="str">
        <f t="shared" si="123"/>
        <v>Within SLA</v>
      </c>
      <c r="O993" t="str">
        <f t="shared" si="127"/>
        <v>Satisfied</v>
      </c>
      <c r="P993" t="str">
        <f t="shared" si="124"/>
        <v>Resolved</v>
      </c>
      <c r="Q993" s="2" t="str">
        <f t="shared" si="125"/>
        <v>Jun-2026</v>
      </c>
      <c r="R993" s="2">
        <f t="shared" si="126"/>
        <v>46174</v>
      </c>
    </row>
    <row r="994" spans="1:18">
      <c r="A994" t="s">
        <v>2016</v>
      </c>
      <c r="B994" s="2" t="s">
        <v>2017</v>
      </c>
      <c r="C994">
        <v>1939</v>
      </c>
      <c r="D994" t="s">
        <v>32</v>
      </c>
      <c r="E994" t="s">
        <v>13</v>
      </c>
      <c r="F994" t="s">
        <v>71</v>
      </c>
      <c r="G994">
        <v>8</v>
      </c>
      <c r="H994">
        <v>332</v>
      </c>
      <c r="I994" t="s">
        <v>15</v>
      </c>
      <c r="K994" s="1">
        <f t="shared" si="120"/>
        <v>46201</v>
      </c>
      <c r="L994" s="3">
        <f t="shared" si="121"/>
        <v>5.5333333333333332</v>
      </c>
      <c r="M994" s="3">
        <f t="shared" si="122"/>
        <v>0.13333333333333333</v>
      </c>
      <c r="N994" t="str">
        <f t="shared" si="123"/>
        <v>Within SLA</v>
      </c>
      <c r="O994" t="str">
        <f t="shared" si="127"/>
        <v>No Rating</v>
      </c>
      <c r="P994" t="str">
        <f t="shared" si="124"/>
        <v>Resolved</v>
      </c>
      <c r="Q994" s="2" t="str">
        <f t="shared" si="125"/>
        <v>Jun-2026</v>
      </c>
      <c r="R994" s="2">
        <f t="shared" si="126"/>
        <v>46174</v>
      </c>
    </row>
    <row r="995" spans="1:18">
      <c r="A995" t="s">
        <v>2018</v>
      </c>
      <c r="B995" s="2" t="s">
        <v>2019</v>
      </c>
      <c r="C995">
        <v>1793</v>
      </c>
      <c r="D995" t="s">
        <v>18</v>
      </c>
      <c r="E995" t="s">
        <v>13</v>
      </c>
      <c r="F995" t="s">
        <v>34</v>
      </c>
      <c r="G995">
        <v>9</v>
      </c>
      <c r="H995">
        <v>230</v>
      </c>
      <c r="I995" t="s">
        <v>15</v>
      </c>
      <c r="K995" s="1">
        <f t="shared" si="120"/>
        <v>46201</v>
      </c>
      <c r="L995" s="3">
        <f t="shared" si="121"/>
        <v>3.8333333333333335</v>
      </c>
      <c r="M995" s="3">
        <f t="shared" si="122"/>
        <v>0.15</v>
      </c>
      <c r="N995" t="str">
        <f t="shared" si="123"/>
        <v>Within SLA</v>
      </c>
      <c r="O995" t="str">
        <f t="shared" si="127"/>
        <v>No Rating</v>
      </c>
      <c r="P995" t="str">
        <f t="shared" si="124"/>
        <v>Resolved</v>
      </c>
      <c r="Q995" s="2" t="str">
        <f t="shared" si="125"/>
        <v>Jun-2026</v>
      </c>
      <c r="R995" s="2">
        <f t="shared" si="126"/>
        <v>46174</v>
      </c>
    </row>
    <row r="996" spans="1:18">
      <c r="A996" t="s">
        <v>2020</v>
      </c>
      <c r="B996" s="2" t="s">
        <v>2021</v>
      </c>
      <c r="C996">
        <v>1322</v>
      </c>
      <c r="D996" t="s">
        <v>47</v>
      </c>
      <c r="E996" t="s">
        <v>27</v>
      </c>
      <c r="F996" t="s">
        <v>64</v>
      </c>
      <c r="G996">
        <v>38</v>
      </c>
      <c r="I996" t="s">
        <v>29</v>
      </c>
      <c r="K996" s="1">
        <f t="shared" si="120"/>
        <v>46201</v>
      </c>
      <c r="L996" s="3" t="str">
        <f t="shared" si="121"/>
        <v/>
      </c>
      <c r="M996" s="3">
        <f t="shared" si="122"/>
        <v>0.6333333333333333</v>
      </c>
      <c r="N996" t="str">
        <f t="shared" si="123"/>
        <v>Open</v>
      </c>
      <c r="O996" t="str">
        <f t="shared" si="127"/>
        <v>No Rating</v>
      </c>
      <c r="P996" t="str">
        <f t="shared" si="124"/>
        <v>Unresolved</v>
      </c>
      <c r="Q996" s="2" t="str">
        <f t="shared" si="125"/>
        <v>Jun-2026</v>
      </c>
      <c r="R996" s="2">
        <f t="shared" si="126"/>
        <v>46174</v>
      </c>
    </row>
    <row r="997" spans="1:18">
      <c r="A997" t="s">
        <v>2022</v>
      </c>
      <c r="B997" s="2" t="s">
        <v>2023</v>
      </c>
      <c r="C997">
        <v>1978</v>
      </c>
      <c r="D997" t="s">
        <v>18</v>
      </c>
      <c r="E997" t="s">
        <v>27</v>
      </c>
      <c r="F997" t="s">
        <v>59</v>
      </c>
      <c r="G997">
        <v>79</v>
      </c>
      <c r="H997">
        <v>831</v>
      </c>
      <c r="I997" t="s">
        <v>15</v>
      </c>
      <c r="J997">
        <v>1</v>
      </c>
      <c r="K997" s="1">
        <f t="shared" si="120"/>
        <v>46202</v>
      </c>
      <c r="L997" s="3">
        <f t="shared" si="121"/>
        <v>13.85</v>
      </c>
      <c r="M997" s="3">
        <f t="shared" si="122"/>
        <v>1.3166666666666667</v>
      </c>
      <c r="N997" t="str">
        <f t="shared" si="123"/>
        <v>Within SLA</v>
      </c>
      <c r="O997" t="str">
        <f t="shared" si="127"/>
        <v>Dissatisfied</v>
      </c>
      <c r="P997" t="str">
        <f t="shared" si="124"/>
        <v>Resolved</v>
      </c>
      <c r="Q997" s="2" t="str">
        <f t="shared" si="125"/>
        <v>Jun-2026</v>
      </c>
      <c r="R997" s="2">
        <f t="shared" si="126"/>
        <v>46174</v>
      </c>
    </row>
    <row r="998" spans="1:18">
      <c r="A998" t="s">
        <v>2024</v>
      </c>
      <c r="B998" s="2" t="s">
        <v>2025</v>
      </c>
      <c r="C998">
        <v>1521</v>
      </c>
      <c r="D998" t="s">
        <v>18</v>
      </c>
      <c r="E998" t="s">
        <v>13</v>
      </c>
      <c r="F998" t="s">
        <v>54</v>
      </c>
      <c r="G998">
        <v>10</v>
      </c>
      <c r="H998">
        <v>302</v>
      </c>
      <c r="I998" t="s">
        <v>15</v>
      </c>
      <c r="J998">
        <v>5</v>
      </c>
      <c r="K998" s="1">
        <f t="shared" si="120"/>
        <v>46202</v>
      </c>
      <c r="L998" s="3">
        <f t="shared" si="121"/>
        <v>5.0333333333333332</v>
      </c>
      <c r="M998" s="3">
        <f t="shared" si="122"/>
        <v>0.16666666666666666</v>
      </c>
      <c r="N998" t="str">
        <f t="shared" si="123"/>
        <v>Within SLA</v>
      </c>
      <c r="O998" t="str">
        <f t="shared" si="127"/>
        <v>Satisfied</v>
      </c>
      <c r="P998" t="str">
        <f t="shared" si="124"/>
        <v>Resolved</v>
      </c>
      <c r="Q998" s="2" t="str">
        <f t="shared" si="125"/>
        <v>Jun-2026</v>
      </c>
      <c r="R998" s="2">
        <f t="shared" si="126"/>
        <v>46174</v>
      </c>
    </row>
    <row r="999" spans="1:18">
      <c r="A999" t="s">
        <v>2026</v>
      </c>
      <c r="B999" s="2" t="s">
        <v>2027</v>
      </c>
      <c r="C999">
        <v>1845</v>
      </c>
      <c r="D999" t="s">
        <v>12</v>
      </c>
      <c r="E999" t="s">
        <v>27</v>
      </c>
      <c r="F999" t="s">
        <v>34</v>
      </c>
      <c r="G999">
        <v>162</v>
      </c>
      <c r="I999" t="s">
        <v>29</v>
      </c>
      <c r="K999" s="1">
        <f t="shared" si="120"/>
        <v>46202</v>
      </c>
      <c r="L999" s="3" t="str">
        <f t="shared" si="121"/>
        <v/>
      </c>
      <c r="M999" s="3">
        <f t="shared" si="122"/>
        <v>2.7</v>
      </c>
      <c r="N999" t="str">
        <f t="shared" si="123"/>
        <v>Open</v>
      </c>
      <c r="O999" t="str">
        <f t="shared" si="127"/>
        <v>No Rating</v>
      </c>
      <c r="P999" t="str">
        <f t="shared" si="124"/>
        <v>Unresolved</v>
      </c>
      <c r="Q999" s="2" t="str">
        <f t="shared" si="125"/>
        <v>Jun-2026</v>
      </c>
      <c r="R999" s="2">
        <f t="shared" si="126"/>
        <v>46174</v>
      </c>
    </row>
    <row r="1000" spans="1:18">
      <c r="A1000" t="s">
        <v>2028</v>
      </c>
      <c r="B1000" s="2" t="s">
        <v>2029</v>
      </c>
      <c r="C1000">
        <v>1169</v>
      </c>
      <c r="D1000" t="s">
        <v>18</v>
      </c>
      <c r="E1000" t="s">
        <v>33</v>
      </c>
      <c r="F1000" t="s">
        <v>28</v>
      </c>
      <c r="G1000">
        <v>83</v>
      </c>
      <c r="H1000">
        <v>5698</v>
      </c>
      <c r="I1000" t="s">
        <v>15</v>
      </c>
      <c r="J1000">
        <v>1</v>
      </c>
      <c r="K1000" s="1">
        <f t="shared" si="120"/>
        <v>46203</v>
      </c>
      <c r="L1000" s="3">
        <f t="shared" si="121"/>
        <v>94.966666666666669</v>
      </c>
      <c r="M1000" s="3">
        <f t="shared" si="122"/>
        <v>1.3833333333333333</v>
      </c>
      <c r="N1000" t="str">
        <f t="shared" si="123"/>
        <v>Breached</v>
      </c>
      <c r="O1000" t="str">
        <f t="shared" si="127"/>
        <v>Dissatisfied</v>
      </c>
      <c r="P1000" t="str">
        <f t="shared" si="124"/>
        <v>Resolved</v>
      </c>
      <c r="Q1000" s="2" t="str">
        <f t="shared" si="125"/>
        <v>Jun-2026</v>
      </c>
      <c r="R1000" s="2">
        <f t="shared" si="126"/>
        <v>46174</v>
      </c>
    </row>
    <row r="1001" spans="1:18">
      <c r="A1001" t="s">
        <v>2030</v>
      </c>
      <c r="B1001" s="2" t="s">
        <v>2031</v>
      </c>
      <c r="C1001">
        <v>1321</v>
      </c>
      <c r="D1001" t="s">
        <v>12</v>
      </c>
      <c r="E1001" t="s">
        <v>33</v>
      </c>
      <c r="F1001" t="s">
        <v>54</v>
      </c>
      <c r="G1001">
        <v>429</v>
      </c>
      <c r="I1001" t="s">
        <v>29</v>
      </c>
      <c r="K1001" s="1">
        <f t="shared" si="120"/>
        <v>46203</v>
      </c>
      <c r="L1001" s="3" t="str">
        <f t="shared" si="121"/>
        <v/>
      </c>
      <c r="M1001" s="3">
        <f t="shared" si="122"/>
        <v>7.15</v>
      </c>
      <c r="N1001" t="str">
        <f t="shared" si="123"/>
        <v>Open</v>
      </c>
      <c r="O1001" t="str">
        <f t="shared" si="127"/>
        <v>No Rating</v>
      </c>
      <c r="P1001" t="str">
        <f t="shared" si="124"/>
        <v>Unresolved</v>
      </c>
      <c r="Q1001" s="2" t="str">
        <f t="shared" si="125"/>
        <v>Jun-2026</v>
      </c>
      <c r="R1001" s="2">
        <f t="shared" si="126"/>
        <v>46174</v>
      </c>
    </row>
  </sheetData>
  <autoFilter ref="A1:P1001" xr:uid="{58604AE4-AEC9-4B1C-B6FE-A10B734DDE9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A1611-7C47-41FF-9FAD-A93CE075DE59}">
  <dimension ref="A1:O36"/>
  <sheetViews>
    <sheetView workbookViewId="0">
      <selection activeCell="O8" sqref="N1:O15"/>
    </sheetView>
  </sheetViews>
  <sheetFormatPr defaultRowHeight="15.75"/>
  <cols>
    <col min="1" max="1" width="27.375" bestFit="1" customWidth="1"/>
    <col min="2" max="2" width="11.625" bestFit="1" customWidth="1"/>
    <col min="4" max="4" width="10.75" bestFit="1" customWidth="1"/>
    <col min="5" max="5" width="15.625" bestFit="1" customWidth="1"/>
    <col min="8" max="8" width="16" bestFit="1" customWidth="1"/>
    <col min="9" max="9" width="12.875" bestFit="1" customWidth="1"/>
    <col min="10" max="10" width="5.375" bestFit="1" customWidth="1"/>
    <col min="11" max="11" width="9.875" bestFit="1" customWidth="1"/>
    <col min="12" max="12" width="10.625" bestFit="1" customWidth="1"/>
    <col min="14" max="14" width="14.25" bestFit="1" customWidth="1"/>
    <col min="15" max="15" width="15.625" bestFit="1" customWidth="1"/>
  </cols>
  <sheetData>
    <row r="1" spans="1:15">
      <c r="A1" t="s">
        <v>2040</v>
      </c>
      <c r="B1" t="s">
        <v>2041</v>
      </c>
      <c r="D1" s="5" t="s">
        <v>8</v>
      </c>
      <c r="E1" t="s">
        <v>2042</v>
      </c>
      <c r="H1" s="5" t="s">
        <v>2042</v>
      </c>
      <c r="I1" s="5" t="s">
        <v>2035</v>
      </c>
      <c r="N1" s="5" t="s">
        <v>2039</v>
      </c>
      <c r="O1" t="s">
        <v>2042</v>
      </c>
    </row>
    <row r="2" spans="1:15">
      <c r="A2" t="s">
        <v>2043</v>
      </c>
      <c r="B2">
        <f>COUNTA('Clean-Data'!A2:A1001)</f>
        <v>1000</v>
      </c>
      <c r="D2" t="s">
        <v>15</v>
      </c>
      <c r="E2">
        <v>616</v>
      </c>
      <c r="H2" s="5" t="s">
        <v>4</v>
      </c>
      <c r="I2" t="s">
        <v>2044</v>
      </c>
      <c r="J2" t="s">
        <v>2045</v>
      </c>
      <c r="K2" t="s">
        <v>2046</v>
      </c>
      <c r="L2" t="s">
        <v>2047</v>
      </c>
      <c r="O2">
        <v>1</v>
      </c>
    </row>
    <row r="3" spans="1:15">
      <c r="A3" t="s">
        <v>2048</v>
      </c>
      <c r="B3">
        <f>COUNTIF('Clean-Data'!P2:P1001,"Resolved")</f>
        <v>835</v>
      </c>
      <c r="D3" t="s">
        <v>29</v>
      </c>
      <c r="E3">
        <v>93</v>
      </c>
      <c r="H3" t="s">
        <v>19</v>
      </c>
      <c r="J3">
        <v>26</v>
      </c>
      <c r="K3">
        <v>145</v>
      </c>
      <c r="L3">
        <v>171</v>
      </c>
      <c r="N3" s="2">
        <v>45839</v>
      </c>
      <c r="O3">
        <v>84</v>
      </c>
    </row>
    <row r="4" spans="1:15">
      <c r="A4" t="s">
        <v>2049</v>
      </c>
      <c r="B4">
        <f>COUNTIF('Clean-Data'!P2:P1001,"Unresolved")</f>
        <v>165</v>
      </c>
      <c r="D4" t="s">
        <v>44</v>
      </c>
      <c r="E4">
        <v>72</v>
      </c>
      <c r="H4" t="s">
        <v>33</v>
      </c>
      <c r="I4">
        <v>96</v>
      </c>
      <c r="J4">
        <v>39</v>
      </c>
      <c r="K4">
        <v>79</v>
      </c>
      <c r="L4">
        <v>214</v>
      </c>
      <c r="N4" s="2">
        <v>45870</v>
      </c>
      <c r="O4">
        <v>85</v>
      </c>
    </row>
    <row r="5" spans="1:15">
      <c r="A5" t="s">
        <v>2050</v>
      </c>
      <c r="B5" s="4">
        <f>B3/B2</f>
        <v>0.83499999999999996</v>
      </c>
      <c r="D5" t="s">
        <v>20</v>
      </c>
      <c r="E5">
        <v>219</v>
      </c>
      <c r="H5" t="s">
        <v>27</v>
      </c>
      <c r="I5">
        <v>83</v>
      </c>
      <c r="J5">
        <v>67</v>
      </c>
      <c r="K5">
        <v>255</v>
      </c>
      <c r="L5">
        <v>405</v>
      </c>
      <c r="N5" s="2">
        <v>45901</v>
      </c>
      <c r="O5">
        <v>83</v>
      </c>
    </row>
    <row r="6" spans="1:15">
      <c r="A6" t="s">
        <v>2051</v>
      </c>
      <c r="B6" s="3">
        <f>AVERAGE('Clean-Data'!M2:M1001)</f>
        <v>1.8076166666666673</v>
      </c>
      <c r="D6" t="s">
        <v>2047</v>
      </c>
      <c r="E6">
        <v>1000</v>
      </c>
      <c r="H6" t="s">
        <v>13</v>
      </c>
      <c r="J6">
        <v>33</v>
      </c>
      <c r="K6">
        <v>177</v>
      </c>
      <c r="L6">
        <v>210</v>
      </c>
      <c r="N6" s="2">
        <v>45931</v>
      </c>
      <c r="O6">
        <v>84</v>
      </c>
    </row>
    <row r="7" spans="1:15">
      <c r="A7" t="s">
        <v>2052</v>
      </c>
      <c r="B7" s="3">
        <f>AVERAGE('Clean-Data'!L2:L1001)</f>
        <v>33.6147904191617</v>
      </c>
      <c r="H7" t="s">
        <v>2047</v>
      </c>
      <c r="I7">
        <v>179</v>
      </c>
      <c r="J7">
        <v>165</v>
      </c>
      <c r="K7">
        <v>656</v>
      </c>
      <c r="L7">
        <v>1000</v>
      </c>
      <c r="N7" s="2">
        <v>45962</v>
      </c>
      <c r="O7">
        <v>83</v>
      </c>
    </row>
    <row r="8" spans="1:15">
      <c r="A8" t="s">
        <v>2053</v>
      </c>
      <c r="B8" s="4">
        <f>COUNTIF('Clean-Data'!N2:N1001,"Within SLA")/B3</f>
        <v>0.78562874251497006</v>
      </c>
      <c r="N8" s="2">
        <v>45992</v>
      </c>
      <c r="O8">
        <v>85</v>
      </c>
    </row>
    <row r="9" spans="1:15">
      <c r="A9" t="s">
        <v>2054</v>
      </c>
      <c r="B9" s="3">
        <f>AVERAGE('Clean-Data'!J2:J1001)</f>
        <v>2.9696394686907022</v>
      </c>
      <c r="N9" s="2">
        <v>46023</v>
      </c>
      <c r="O9">
        <v>85</v>
      </c>
    </row>
    <row r="10" spans="1:15">
      <c r="A10" t="s">
        <v>2055</v>
      </c>
      <c r="B10" s="4">
        <f>B4/B2</f>
        <v>0.16500000000000001</v>
      </c>
      <c r="D10" s="5" t="s">
        <v>4</v>
      </c>
      <c r="E10" t="s">
        <v>2042</v>
      </c>
      <c r="N10" s="2">
        <v>46054</v>
      </c>
      <c r="O10">
        <v>76</v>
      </c>
    </row>
    <row r="11" spans="1:15">
      <c r="D11" t="s">
        <v>19</v>
      </c>
      <c r="E11">
        <v>171</v>
      </c>
      <c r="N11" s="2">
        <v>46082</v>
      </c>
      <c r="O11">
        <v>85</v>
      </c>
    </row>
    <row r="12" spans="1:15">
      <c r="A12" t="s">
        <v>2056</v>
      </c>
      <c r="D12" t="s">
        <v>33</v>
      </c>
      <c r="E12">
        <v>214</v>
      </c>
      <c r="H12" s="5" t="s">
        <v>5</v>
      </c>
      <c r="I12" t="s">
        <v>2057</v>
      </c>
      <c r="N12" s="2">
        <v>46113</v>
      </c>
      <c r="O12">
        <v>82</v>
      </c>
    </row>
    <row r="13" spans="1:15">
      <c r="A13" t="s">
        <v>2058</v>
      </c>
      <c r="B13" t="s">
        <v>2059</v>
      </c>
      <c r="D13" t="s">
        <v>27</v>
      </c>
      <c r="E13">
        <v>405</v>
      </c>
      <c r="H13" t="s">
        <v>64</v>
      </c>
      <c r="I13" s="3">
        <v>34.14515503875969</v>
      </c>
      <c r="N13" s="2">
        <v>46143</v>
      </c>
      <c r="O13">
        <v>85</v>
      </c>
    </row>
    <row r="14" spans="1:15">
      <c r="D14" t="s">
        <v>13</v>
      </c>
      <c r="E14">
        <v>210</v>
      </c>
      <c r="H14" t="s">
        <v>28</v>
      </c>
      <c r="I14" s="3">
        <v>34.113440860215057</v>
      </c>
      <c r="N14" s="2">
        <v>46174</v>
      </c>
      <c r="O14">
        <v>82</v>
      </c>
    </row>
    <row r="15" spans="1:15">
      <c r="D15" t="s">
        <v>2047</v>
      </c>
      <c r="E15">
        <v>1000</v>
      </c>
      <c r="H15" t="s">
        <v>54</v>
      </c>
      <c r="I15" s="3">
        <v>34.926602564102559</v>
      </c>
      <c r="N15" t="s">
        <v>2047</v>
      </c>
      <c r="O15">
        <v>1000</v>
      </c>
    </row>
    <row r="16" spans="1:15">
      <c r="H16" t="s">
        <v>14</v>
      </c>
      <c r="I16" s="3">
        <v>31.922222222222235</v>
      </c>
    </row>
    <row r="17" spans="4:9">
      <c r="H17" t="s">
        <v>59</v>
      </c>
      <c r="I17" s="3">
        <v>34.811797752808985</v>
      </c>
    </row>
    <row r="18" spans="4:9">
      <c r="D18" s="5" t="s">
        <v>3</v>
      </c>
      <c r="E18" t="s">
        <v>2042</v>
      </c>
      <c r="H18" t="s">
        <v>34</v>
      </c>
      <c r="I18" s="3">
        <v>36.205303030303007</v>
      </c>
    </row>
    <row r="19" spans="4:9">
      <c r="D19" t="s">
        <v>12</v>
      </c>
      <c r="E19">
        <v>202</v>
      </c>
      <c r="H19" t="s">
        <v>43</v>
      </c>
      <c r="I19" s="3">
        <v>33.558647798742143</v>
      </c>
    </row>
    <row r="20" spans="4:9">
      <c r="D20" t="s">
        <v>32</v>
      </c>
      <c r="E20">
        <v>199</v>
      </c>
      <c r="H20" t="s">
        <v>71</v>
      </c>
      <c r="I20" s="3">
        <v>28.245555555555566</v>
      </c>
    </row>
    <row r="21" spans="4:9">
      <c r="D21" t="s">
        <v>47</v>
      </c>
      <c r="E21">
        <v>178</v>
      </c>
      <c r="H21" t="s">
        <v>23</v>
      </c>
      <c r="I21" s="3">
        <v>34.587790697674428</v>
      </c>
    </row>
    <row r="22" spans="4:9">
      <c r="D22" t="s">
        <v>18</v>
      </c>
      <c r="E22">
        <v>221</v>
      </c>
      <c r="H22" t="s">
        <v>2047</v>
      </c>
      <c r="I22" s="3">
        <v>33.6147904191617</v>
      </c>
    </row>
    <row r="23" spans="4:9">
      <c r="D23" t="s">
        <v>26</v>
      </c>
      <c r="E23">
        <v>200</v>
      </c>
    </row>
    <row r="24" spans="4:9">
      <c r="D24" t="s">
        <v>2047</v>
      </c>
      <c r="E24">
        <v>1000</v>
      </c>
    </row>
    <row r="26" spans="4:9">
      <c r="D26" s="5" t="s">
        <v>5</v>
      </c>
      <c r="E26" t="s">
        <v>2042</v>
      </c>
    </row>
    <row r="27" spans="4:9">
      <c r="D27" t="s">
        <v>64</v>
      </c>
      <c r="E27">
        <v>107</v>
      </c>
    </row>
    <row r="28" spans="4:9">
      <c r="D28" t="s">
        <v>28</v>
      </c>
      <c r="E28">
        <v>105</v>
      </c>
    </row>
    <row r="29" spans="4:9">
      <c r="D29" t="s">
        <v>54</v>
      </c>
      <c r="E29">
        <v>130</v>
      </c>
    </row>
    <row r="30" spans="4:9">
      <c r="D30" t="s">
        <v>14</v>
      </c>
      <c r="E30">
        <v>117</v>
      </c>
    </row>
    <row r="31" spans="4:9">
      <c r="D31" t="s">
        <v>59</v>
      </c>
      <c r="E31">
        <v>103</v>
      </c>
    </row>
    <row r="32" spans="4:9">
      <c r="D32" t="s">
        <v>34</v>
      </c>
      <c r="E32">
        <v>101</v>
      </c>
    </row>
    <row r="33" spans="4:5">
      <c r="D33" t="s">
        <v>43</v>
      </c>
      <c r="E33">
        <v>120</v>
      </c>
    </row>
    <row r="34" spans="4:5">
      <c r="D34" t="s">
        <v>71</v>
      </c>
      <c r="E34">
        <v>106</v>
      </c>
    </row>
    <row r="35" spans="4:5">
      <c r="D35" t="s">
        <v>23</v>
      </c>
      <c r="E35">
        <v>111</v>
      </c>
    </row>
    <row r="36" spans="4:5">
      <c r="D36" t="s">
        <v>2047</v>
      </c>
      <c r="E36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6FA3-6394-411C-98C7-5C9BDF504BB2}">
  <dimension ref="A1:X46"/>
  <sheetViews>
    <sheetView showGridLines="0" tabSelected="1" workbookViewId="0">
      <selection activeCell="Q24" sqref="Q24"/>
    </sheetView>
  </sheetViews>
  <sheetFormatPr defaultRowHeight="15.75"/>
  <cols>
    <col min="1" max="1" width="35.375" bestFit="1" customWidth="1"/>
    <col min="3" max="3" width="17" bestFit="1" customWidth="1"/>
    <col min="5" max="5" width="17" bestFit="1" customWidth="1"/>
    <col min="7" max="7" width="21.75" bestFit="1" customWidth="1"/>
    <col min="9" max="9" width="17.125" bestFit="1" customWidth="1"/>
  </cols>
  <sheetData>
    <row r="1" spans="1:24" ht="26.25">
      <c r="A1" s="16" t="s">
        <v>2060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3" spans="1:24" ht="18.75">
      <c r="A3" s="7" t="s">
        <v>2043</v>
      </c>
      <c r="B3" s="10"/>
      <c r="C3" s="7" t="s">
        <v>2050</v>
      </c>
      <c r="D3" s="10"/>
      <c r="E3" s="7" t="s">
        <v>2061</v>
      </c>
      <c r="F3" s="10"/>
      <c r="G3" s="7" t="s">
        <v>2062</v>
      </c>
      <c r="H3" s="10"/>
      <c r="I3" s="7" t="s">
        <v>2063</v>
      </c>
      <c r="J3" s="14"/>
      <c r="L3" s="6" t="s">
        <v>2064</v>
      </c>
    </row>
    <row r="4" spans="1:24" ht="23.25">
      <c r="A4" s="8">
        <f>Analysis!B2</f>
        <v>1000</v>
      </c>
      <c r="B4" s="11"/>
      <c r="C4" s="9">
        <f>Analysis!B5</f>
        <v>0.83499999999999996</v>
      </c>
      <c r="D4" s="11"/>
      <c r="E4" s="9">
        <f>Analysis!B8</f>
        <v>0.78562874251497006</v>
      </c>
      <c r="F4" s="11"/>
      <c r="G4" s="12">
        <f>Analysis!B7</f>
        <v>33.6147904191617</v>
      </c>
      <c r="H4" s="11"/>
      <c r="I4" s="13">
        <f>Analysis!B9</f>
        <v>2.9696394686907022</v>
      </c>
      <c r="J4" s="15"/>
      <c r="L4" s="17" t="s">
        <v>2065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1:24">
      <c r="L5" s="17" t="s">
        <v>2066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 spans="1:24">
      <c r="L6" s="17" t="s">
        <v>2067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4">
      <c r="L7" s="17" t="s">
        <v>2068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 spans="1:24">
      <c r="L8" s="17" t="s">
        <v>2069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 spans="1:24">
      <c r="L9" s="17" t="s">
        <v>2070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  <row r="40" ht="26.25" customHeight="1"/>
    <row r="41" ht="26.25" customHeight="1"/>
    <row r="42" ht="26.25" customHeight="1"/>
    <row r="43" ht="26.25" customHeight="1"/>
    <row r="44" ht="26.25" customHeight="1"/>
    <row r="45" ht="26.25" customHeight="1"/>
    <row r="46" ht="26.25" customHeight="1"/>
  </sheetData>
  <mergeCells count="7">
    <mergeCell ref="L8:X8"/>
    <mergeCell ref="L9:X9"/>
    <mergeCell ref="A1:M1"/>
    <mergeCell ref="L4:X4"/>
    <mergeCell ref="L5:X5"/>
    <mergeCell ref="L6:X6"/>
    <mergeCell ref="L7:X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Support Tickets sample data</dc:title>
  <dc:subject/>
  <dc:creator>ExploreMyData</dc:creator>
  <cp:keywords/>
  <dc:description/>
  <cp:lastModifiedBy/>
  <cp:revision/>
  <dcterms:created xsi:type="dcterms:W3CDTF">2026-09-03T00:00:00Z</dcterms:created>
  <dcterms:modified xsi:type="dcterms:W3CDTF">2026-10-04T14:26:24Z</dcterms:modified>
  <cp:category/>
  <cp:contentStatus/>
</cp:coreProperties>
</file>